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D:\2026\Data Analyst\project1\"/>
    </mc:Choice>
  </mc:AlternateContent>
  <xr:revisionPtr revIDLastSave="0" documentId="8_{9EA18EF7-137E-4A56-A85D-F8062F0D11DB}" xr6:coauthVersionLast="47" xr6:coauthVersionMax="47" xr10:uidLastSave="{00000000-0000-0000-0000-000000000000}"/>
  <bookViews>
    <workbookView xWindow="-108" yWindow="-108" windowWidth="23256" windowHeight="12456" tabRatio="561" activeTab="3" xr2:uid="{00000000-000D-0000-FFFF-FFFF00000000}"/>
  </bookViews>
  <sheets>
    <sheet name="row data" sheetId="1" r:id="rId1"/>
    <sheet name="clean data" sheetId="2" r:id="rId2"/>
    <sheet name="KPI" sheetId="4" r:id="rId3"/>
    <sheet name="Dashboard" sheetId="5" r:id="rId4"/>
  </sheets>
  <definedNames>
    <definedName name="NativeTimeline_Date">#N/A</definedName>
    <definedName name="Slicer_Brand">#N/A</definedName>
    <definedName name="Slicer_Category">#N/A</definedName>
    <definedName name="Slicer_City">#N/A</definedName>
    <definedName name="Slicer_PaymentMode">#N/A</definedName>
  </definedNames>
  <calcPr calcId="191029"/>
  <pivotCaches>
    <pivotCache cacheId="7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3" i="2"/>
  <c r="A11" i="4"/>
  <c r="A9" i="4"/>
  <c r="R11" i="4"/>
  <c r="W15" i="4"/>
  <c r="V15" i="4"/>
  <c r="U15" i="4"/>
  <c r="W13" i="4"/>
  <c r="W14" i="4"/>
  <c r="W12" i="4"/>
  <c r="V13" i="4"/>
  <c r="V14" i="4"/>
  <c r="V12" i="4"/>
  <c r="U13" i="4"/>
  <c r="U14" i="4"/>
  <c r="U12" i="4"/>
  <c r="R10" i="4"/>
  <c r="R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E9F48-E944-4F90-BF7D-64A6AA75068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2F47071C-F967-4CDD-B320-B3CD412D27C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<sst xmlns="http://schemas.openxmlformats.org/spreadsheetml/2006/main" count="13160" uniqueCount="48">
  <si>
    <t>Brand</t>
  </si>
  <si>
    <t>Date</t>
  </si>
  <si>
    <t>Product</t>
  </si>
  <si>
    <t>Category</t>
  </si>
  <si>
    <t>City</t>
  </si>
  <si>
    <t>Price</t>
  </si>
  <si>
    <t>Quantity</t>
  </si>
  <si>
    <t>DeliveryTime(min)</t>
  </si>
  <si>
    <t>PaymentMode</t>
  </si>
  <si>
    <t>Rating</t>
  </si>
  <si>
    <t>Blinkit</t>
  </si>
  <si>
    <t>Zepto</t>
  </si>
  <si>
    <t>Biscuits</t>
  </si>
  <si>
    <t>Atta</t>
  </si>
  <si>
    <t>Paneer</t>
  </si>
  <si>
    <t>Milk</t>
  </si>
  <si>
    <t>Juice</t>
  </si>
  <si>
    <t>Rice</t>
  </si>
  <si>
    <t>Eggs</t>
  </si>
  <si>
    <t>Bread</t>
  </si>
  <si>
    <t>Snacks</t>
  </si>
  <si>
    <t>Coke</t>
  </si>
  <si>
    <t>Butter</t>
  </si>
  <si>
    <t>Bakery</t>
  </si>
  <si>
    <t>Grains</t>
  </si>
  <si>
    <t>Dairy</t>
  </si>
  <si>
    <t>Beverages</t>
  </si>
  <si>
    <t>Poultry</t>
  </si>
  <si>
    <t>Hyderabad</t>
  </si>
  <si>
    <t>Bangalore</t>
  </si>
  <si>
    <t>Chennai</t>
  </si>
  <si>
    <t>Mumbai</t>
  </si>
  <si>
    <t>Delhi</t>
  </si>
  <si>
    <t>Card</t>
  </si>
  <si>
    <t>UPI</t>
  </si>
  <si>
    <t>COD</t>
  </si>
  <si>
    <t>S. No</t>
  </si>
  <si>
    <t>ro</t>
  </si>
  <si>
    <t>Row Labels</t>
  </si>
  <si>
    <t>Grand Total</t>
  </si>
  <si>
    <t>Average of DeliveryTime(min)</t>
  </si>
  <si>
    <t>Column Labels</t>
  </si>
  <si>
    <t>Revenue</t>
  </si>
  <si>
    <t>Sum of Revenue</t>
  </si>
  <si>
    <t>Average of Rating</t>
  </si>
  <si>
    <t>Count of PaymentMode</t>
  </si>
  <si>
    <t>blinkit</t>
  </si>
  <si>
    <t>zepto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</si>
</sst>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bgColor theme="7"/>
      </patternFill>
    </fill>
    <fill>
      <patternFill patternType="solid">
        <fgColor rgb="FFFFFFFF"/>
        <bgColor indexed="64"/>
      </patternFill>
    </fill>
  </fills>
  <borders count="8">
    <border>
      <left/>
      <right/>
      <top/>
      <bottom/>
      <diagonal/>
    </border>
    <border>
      <left/>
      <right/>
      <top style="thin">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5">
    <xf numFmtId="0" fontId="0" fillId="0" borderId="0" xfId="0"/>
    <xf numFmtId="0" fontId="1" fillId="0" borderId="0" xfId="0" applyFont="1"/>
    <xf numFmtId="0" fontId="2" fillId="5" borderId="0" xfId="0" applyFont="1" applyFill="1" applyBorder="1" applyAlignment="1">
      <alignment horizontal="center" vertical="center"/>
    </xf>
    <xf numFmtId="0" fontId="2" fillId="5" borderId="3" xfId="0" applyFont="1" applyFill="1" applyBorder="1" applyAlignment="1">
      <alignment horizontal="center"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3" borderId="1" xfId="0" applyFont="1" applyFill="1" applyBorder="1" applyAlignment="1">
      <alignment horizontal="center" vertical="center"/>
    </xf>
    <xf numFmtId="0" fontId="0" fillId="3" borderId="2" xfId="0" applyFont="1" applyFill="1" applyBorder="1" applyAlignment="1">
      <alignment horizontal="center" vertical="center"/>
    </xf>
    <xf numFmtId="0" fontId="0" fillId="4" borderId="1" xfId="0" applyFont="1" applyFill="1" applyBorder="1" applyAlignment="1">
      <alignment horizontal="center" vertical="center"/>
    </xf>
    <xf numFmtId="0" fontId="0" fillId="4"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1" fontId="0" fillId="0" borderId="0" xfId="0" applyNumberFormat="1"/>
    <xf numFmtId="14" fontId="0" fillId="4" borderId="5" xfId="0" applyNumberFormat="1" applyFont="1" applyFill="1" applyBorder="1" applyAlignment="1">
      <alignment horizontal="center" vertical="center"/>
    </xf>
    <xf numFmtId="14" fontId="0" fillId="3" borderId="2" xfId="0" applyNumberFormat="1" applyFont="1" applyFill="1" applyBorder="1" applyAlignment="1">
      <alignment horizontal="center" vertical="center"/>
    </xf>
    <xf numFmtId="14" fontId="0" fillId="4" borderId="2" xfId="0" applyNumberFormat="1" applyFont="1" applyFill="1" applyBorder="1" applyAlignment="1">
      <alignment horizontal="center" vertical="center"/>
    </xf>
    <xf numFmtId="2" fontId="1" fillId="2" borderId="6" xfId="0" applyNumberFormat="1" applyFont="1" applyFill="1" applyBorder="1"/>
    <xf numFmtId="2" fontId="1" fillId="2" borderId="7" xfId="0" applyNumberFormat="1" applyFont="1" applyFill="1" applyBorder="1" applyAlignment="1">
      <alignment horizontal="left"/>
    </xf>
    <xf numFmtId="10" fontId="0" fillId="0" borderId="0" xfId="0" applyNumberFormat="1"/>
    <xf numFmtId="2" fontId="1" fillId="2" borderId="0" xfId="0" applyNumberFormat="1" applyFont="1" applyFill="1"/>
    <xf numFmtId="0" fontId="0" fillId="6" borderId="0" xfId="0" applyFill="1"/>
  </cellXfs>
  <cellStyles count="1">
    <cellStyle name="Normal" xfId="0" builtinId="0"/>
  </cellStyles>
  <dxfs count="132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colors>
    <mruColors>
      <color rgb="FFFFF176"/>
      <color rgb="FFD6A6F2"/>
      <color rgb="FF950EDB"/>
      <color rgb="FFC7BA13"/>
      <color rgb="FFFFF9C4"/>
      <color rgb="FFFFFF00"/>
      <color rgb="FFEAD7F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[Blinkit_vs_Zepto_Comparison_Analysis.xlsx]KPI!avgdeliverytime</c:name>
    <c:fmtId val="0"/>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KPI!$E$3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D08-475A-90F7-674E08223DBB}"/>
              </c:ext>
            </c:extLst>
          </c:dPt>
          <c:dPt>
            <c:idx val="1"/>
            <c:invertIfNegative val="0"/>
            <c:bubble3D val="0"/>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D08-475A-90F7-674E08223D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KPI!$D$4:$D$6</c:f>
              <c:strCache>
                <c:ptCount val="2"/>
                <c:pt idx="0">
                  <c:v>Blinkit</c:v>
                </c:pt>
                <c:pt idx="1">
                  <c:v>Zepto</c:v>
                </c:pt>
              </c:strCache>
            </c:strRef>
          </c:cat>
          <c:val>
            <c:numRef>
              <c:f>KPI!$E$4:$E$6</c:f>
              <c:numCache>
                <c:formatCode>0.00</c:formatCode>
                <c:ptCount val="2"/>
                <c:pt idx="0">
                  <c:v>16.77956989247312</c:v>
                </c:pt>
                <c:pt idx="1">
                  <c:v>13.561904761904762</c:v>
                </c:pt>
              </c:numCache>
            </c:numRef>
          </c:val>
          <c:extLst>
            <c:ext xmlns:c16="http://schemas.microsoft.com/office/drawing/2014/chart" uri="{C3380CC4-5D6E-409C-BE32-E72D297353CC}">
              <c16:uniqueId val="{00000000-BD08-475A-90F7-674E08223DBB}"/>
            </c:ext>
          </c:extLst>
        </c:ser>
        <c:dLbls>
          <c:dLblPos val="outEnd"/>
          <c:showLegendKey val="0"/>
          <c:showVal val="1"/>
          <c:showCatName val="0"/>
          <c:showSerName val="0"/>
          <c:showPercent val="0"/>
          <c:showBubbleSize val="0"/>
        </c:dLbls>
        <c:gapWidth val="100"/>
        <c:overlap val="-24"/>
        <c:axId val="1126690975"/>
        <c:axId val="1126692415"/>
      </c:barChart>
      <c:catAx>
        <c:axId val="1126690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6692415"/>
        <c:crosses val="autoZero"/>
        <c:auto val="1"/>
        <c:lblAlgn val="ctr"/>
        <c:lblOffset val="100"/>
        <c:noMultiLvlLbl val="0"/>
      </c:catAx>
      <c:valAx>
        <c:axId val="1126692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669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50EDB">
          <a:alpha val="86000"/>
        </a:srgb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[Blinkit_vs_Zepto_Comparison_Analysis.xlsx]KPI!categorywisesale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Catogery</a:t>
            </a:r>
            <a:r>
              <a:rPr lang="en-IN" b="1" baseline="0">
                <a:solidFill>
                  <a:schemeClr val="tx1"/>
                </a:solidFill>
              </a:rPr>
              <a:t> wise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1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KPI!$H$3:$H$4</c:f>
              <c:strCache>
                <c:ptCount val="1"/>
                <c:pt idx="0">
                  <c:v>Blinkit</c:v>
                </c:pt>
              </c:strCache>
            </c:strRef>
          </c:tx>
          <c:spPr>
            <a:solidFill>
              <a:srgbClr val="FFF17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KPI!$G$5:$G$6</c:f>
              <c:strCache>
                <c:ptCount val="1"/>
                <c:pt idx="0">
                  <c:v>Bakery</c:v>
                </c:pt>
              </c:strCache>
            </c:strRef>
          </c:cat>
          <c:val>
            <c:numRef>
              <c:f>KPI!$H$5:$H$6</c:f>
              <c:numCache>
                <c:formatCode>0</c:formatCode>
                <c:ptCount val="1"/>
                <c:pt idx="0">
                  <c:v>3343680</c:v>
                </c:pt>
              </c:numCache>
            </c:numRef>
          </c:val>
          <c:extLst>
            <c:ext xmlns:c16="http://schemas.microsoft.com/office/drawing/2014/chart" uri="{C3380CC4-5D6E-409C-BE32-E72D297353CC}">
              <c16:uniqueId val="{00000000-12CA-4F0A-8E0E-98155F4586B1}"/>
            </c:ext>
          </c:extLst>
        </c:ser>
        <c:ser>
          <c:idx val="1"/>
          <c:order val="1"/>
          <c:tx>
            <c:strRef>
              <c:f>KPI!$I$3:$I$4</c:f>
              <c:strCache>
                <c:ptCount val="1"/>
                <c:pt idx="0">
                  <c:v>Zepto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KPI!$G$5:$G$6</c:f>
              <c:strCache>
                <c:ptCount val="1"/>
                <c:pt idx="0">
                  <c:v>Bakery</c:v>
                </c:pt>
              </c:strCache>
            </c:strRef>
          </c:cat>
          <c:val>
            <c:numRef>
              <c:f>KPI!$I$5:$I$6</c:f>
              <c:numCache>
                <c:formatCode>0</c:formatCode>
                <c:ptCount val="1"/>
                <c:pt idx="0">
                  <c:v>1827405</c:v>
                </c:pt>
              </c:numCache>
            </c:numRef>
          </c:val>
          <c:extLst>
            <c:ext xmlns:c16="http://schemas.microsoft.com/office/drawing/2014/chart" uri="{C3380CC4-5D6E-409C-BE32-E72D297353CC}">
              <c16:uniqueId val="{0000000E-12CA-4F0A-8E0E-98155F4586B1}"/>
            </c:ext>
          </c:extLst>
        </c:ser>
        <c:dLbls>
          <c:dLblPos val="ctr"/>
          <c:showLegendKey val="0"/>
          <c:showVal val="1"/>
          <c:showCatName val="0"/>
          <c:showSerName val="0"/>
          <c:showPercent val="0"/>
          <c:showBubbleSize val="0"/>
        </c:dLbls>
        <c:gapWidth val="150"/>
        <c:overlap val="100"/>
        <c:axId val="1486352047"/>
        <c:axId val="1486354447"/>
      </c:barChart>
      <c:catAx>
        <c:axId val="1486352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54447"/>
        <c:crosses val="autoZero"/>
        <c:auto val="1"/>
        <c:lblAlgn val="ctr"/>
        <c:lblOffset val="100"/>
        <c:noMultiLvlLbl val="0"/>
      </c:catAx>
      <c:valAx>
        <c:axId val="148635444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50ED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[Blinkit_vs_Zepto_Comparison_Analysis.xlsx]KPI!citywisesale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City</a:t>
            </a:r>
            <a:r>
              <a:rPr lang="en-US" baseline="0">
                <a:solidFill>
                  <a:schemeClr val="tx1"/>
                </a:solidFill>
              </a:rPr>
              <a:t> Wise Revenue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KPI!$M$3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KPI!$L$4:$L$9</c:f>
              <c:strCache>
                <c:ptCount val="5"/>
                <c:pt idx="0">
                  <c:v>Bangalore</c:v>
                </c:pt>
                <c:pt idx="1">
                  <c:v>Chennai</c:v>
                </c:pt>
                <c:pt idx="2">
                  <c:v>Delhi</c:v>
                </c:pt>
                <c:pt idx="3">
                  <c:v>Hyderabad</c:v>
                </c:pt>
                <c:pt idx="4">
                  <c:v>Mumbai</c:v>
                </c:pt>
              </c:strCache>
            </c:strRef>
          </c:cat>
          <c:val>
            <c:numRef>
              <c:f>KPI!$M$4:$M$9</c:f>
              <c:numCache>
                <c:formatCode>0</c:formatCode>
                <c:ptCount val="5"/>
                <c:pt idx="0">
                  <c:v>752715</c:v>
                </c:pt>
                <c:pt idx="1">
                  <c:v>1086345</c:v>
                </c:pt>
                <c:pt idx="2">
                  <c:v>1223055</c:v>
                </c:pt>
                <c:pt idx="3">
                  <c:v>985365</c:v>
                </c:pt>
                <c:pt idx="4">
                  <c:v>1123605</c:v>
                </c:pt>
              </c:numCache>
            </c:numRef>
          </c:val>
          <c:extLst>
            <c:ext xmlns:c16="http://schemas.microsoft.com/office/drawing/2014/chart" uri="{C3380CC4-5D6E-409C-BE32-E72D297353CC}">
              <c16:uniqueId val="{00000000-2D43-43B3-9CA7-F8C1797230D5}"/>
            </c:ext>
          </c:extLst>
        </c:ser>
        <c:dLbls>
          <c:dLblPos val="outEnd"/>
          <c:showLegendKey val="0"/>
          <c:showVal val="1"/>
          <c:showCatName val="0"/>
          <c:showSerName val="0"/>
          <c:showPercent val="0"/>
          <c:showBubbleSize val="0"/>
        </c:dLbls>
        <c:gapWidth val="115"/>
        <c:overlap val="-20"/>
        <c:axId val="1126691935"/>
        <c:axId val="1126689055"/>
      </c:barChart>
      <c:catAx>
        <c:axId val="1126691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689055"/>
        <c:crosses val="autoZero"/>
        <c:auto val="1"/>
        <c:lblAlgn val="ctr"/>
        <c:lblOffset val="100"/>
        <c:noMultiLvlLbl val="0"/>
      </c:catAx>
      <c:valAx>
        <c:axId val="11266890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6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Payment</a:t>
            </a:r>
            <a:r>
              <a:rPr lang="en-US" sz="1400" b="1" baseline="0">
                <a:solidFill>
                  <a:schemeClr val="tx1"/>
                </a:solidFill>
              </a:rPr>
              <a: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KPI!$T$12</c:f>
              <c:strCache>
                <c:ptCount val="1"/>
                <c:pt idx="0">
                  <c:v>Card</c:v>
                </c:pt>
              </c:strCache>
            </c:strRef>
          </c:tx>
          <c:spPr>
            <a:solidFill>
              <a:srgbClr val="C7BA1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KPI!$U$12:$V$12</c:f>
              <c:numCache>
                <c:formatCode>0.00%</c:formatCode>
                <c:ptCount val="2"/>
                <c:pt idx="0">
                  <c:v>0.19243986254295534</c:v>
                </c:pt>
                <c:pt idx="1">
                  <c:v>9.6219931271477668E-2</c:v>
                </c:pt>
              </c:numCache>
            </c:numRef>
          </c:val>
          <c:extLst>
            <c:ext xmlns:c16="http://schemas.microsoft.com/office/drawing/2014/chart" uri="{C3380CC4-5D6E-409C-BE32-E72D297353CC}">
              <c16:uniqueId val="{00000000-6191-43C5-8446-BFE848C50B7E}"/>
            </c:ext>
          </c:extLst>
        </c:ser>
        <c:ser>
          <c:idx val="1"/>
          <c:order val="1"/>
          <c:tx>
            <c:strRef>
              <c:f>KPI!$T$13</c:f>
              <c:strCache>
                <c:ptCount val="1"/>
                <c:pt idx="0">
                  <c:v>COD</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KPI!$U$13:$V$13</c:f>
              <c:numCache>
                <c:formatCode>0.00%</c:formatCode>
                <c:ptCount val="2"/>
                <c:pt idx="0">
                  <c:v>0.25773195876288657</c:v>
                </c:pt>
                <c:pt idx="1">
                  <c:v>0.12371134020618557</c:v>
                </c:pt>
              </c:numCache>
            </c:numRef>
          </c:val>
          <c:extLst>
            <c:ext xmlns:c16="http://schemas.microsoft.com/office/drawing/2014/chart" uri="{C3380CC4-5D6E-409C-BE32-E72D297353CC}">
              <c16:uniqueId val="{00000001-6191-43C5-8446-BFE848C50B7E}"/>
            </c:ext>
          </c:extLst>
        </c:ser>
        <c:ser>
          <c:idx val="2"/>
          <c:order val="2"/>
          <c:tx>
            <c:strRef>
              <c:f>KPI!$T$14</c:f>
              <c:strCache>
                <c:ptCount val="1"/>
                <c:pt idx="0">
                  <c:v>UPI</c:v>
                </c:pt>
              </c:strCache>
            </c:strRef>
          </c:tx>
          <c:spPr>
            <a:solidFill>
              <a:schemeClr val="tx1">
                <a:lumMod val="50000"/>
                <a:lumOff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KPI!$U$14:$V$14</c:f>
              <c:numCache>
                <c:formatCode>0.00%</c:formatCode>
                <c:ptCount val="2"/>
                <c:pt idx="0">
                  <c:v>0.18900343642611683</c:v>
                </c:pt>
                <c:pt idx="1">
                  <c:v>0.14089347079037801</c:v>
                </c:pt>
              </c:numCache>
            </c:numRef>
          </c:val>
          <c:extLst>
            <c:ext xmlns:c16="http://schemas.microsoft.com/office/drawing/2014/chart" uri="{C3380CC4-5D6E-409C-BE32-E72D297353CC}">
              <c16:uniqueId val="{00000002-6191-43C5-8446-BFE848C50B7E}"/>
            </c:ext>
          </c:extLst>
        </c:ser>
        <c:dLbls>
          <c:showLegendKey val="0"/>
          <c:showVal val="1"/>
          <c:showCatName val="0"/>
          <c:showSerName val="0"/>
          <c:showPercent val="0"/>
          <c:showBubbleSize val="0"/>
        </c:dLbls>
        <c:gapWidth val="150"/>
        <c:shape val="box"/>
        <c:axId val="132630719"/>
        <c:axId val="132631679"/>
        <c:axId val="0"/>
      </c:bar3DChart>
      <c:catAx>
        <c:axId val="13263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1679"/>
        <c:crosses val="autoZero"/>
        <c:auto val="1"/>
        <c:lblAlgn val="ctr"/>
        <c:lblOffset val="100"/>
        <c:noMultiLvlLbl val="0"/>
      </c:catAx>
      <c:valAx>
        <c:axId val="132631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KPI!$Q$9</c:f>
              <c:strCache>
                <c:ptCount val="1"/>
                <c:pt idx="0">
                  <c:v>Blinkit</c:v>
                </c:pt>
              </c:strCache>
            </c:strRef>
          </c:tx>
          <c:spPr>
            <a:solidFill>
              <a:srgbClr val="FFF176"/>
            </a:solidFill>
            <a:ln>
              <a:noFill/>
            </a:ln>
            <a:effectLst/>
          </c:spPr>
          <c:invertIfNegative val="0"/>
          <c:cat>
            <c:strRef>
              <c:f>KPI!$R$8</c:f>
              <c:strCache>
                <c:ptCount val="1"/>
                <c:pt idx="0">
                  <c:v>Average of Rating</c:v>
                </c:pt>
              </c:strCache>
            </c:strRef>
          </c:cat>
          <c:val>
            <c:numRef>
              <c:f>KPI!$R$9</c:f>
              <c:numCache>
                <c:formatCode>0.00</c:formatCode>
                <c:ptCount val="1"/>
                <c:pt idx="0">
                  <c:v>2.9927007299270074</c:v>
                </c:pt>
              </c:numCache>
            </c:numRef>
          </c:val>
          <c:extLst>
            <c:ext xmlns:c16="http://schemas.microsoft.com/office/drawing/2014/chart" uri="{C3380CC4-5D6E-409C-BE32-E72D297353CC}">
              <c16:uniqueId val="{00000000-4CC2-4BA9-8CD3-8E38670C3523}"/>
            </c:ext>
          </c:extLst>
        </c:ser>
        <c:ser>
          <c:idx val="1"/>
          <c:order val="1"/>
          <c:tx>
            <c:strRef>
              <c:f>KPI!$Q$10</c:f>
              <c:strCache>
                <c:ptCount val="1"/>
                <c:pt idx="0">
                  <c:v>Zepto</c:v>
                </c:pt>
              </c:strCache>
            </c:strRef>
          </c:tx>
          <c:spPr>
            <a:solidFill>
              <a:schemeClr val="accent2"/>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4CC2-4BA9-8CD3-8E38670C3523}"/>
              </c:ext>
            </c:extLst>
          </c:dPt>
          <c:cat>
            <c:strRef>
              <c:f>KPI!$R$8</c:f>
              <c:strCache>
                <c:ptCount val="1"/>
                <c:pt idx="0">
                  <c:v>Average of Rating</c:v>
                </c:pt>
              </c:strCache>
            </c:strRef>
          </c:cat>
          <c:val>
            <c:numRef>
              <c:f>KPI!$R$10</c:f>
              <c:numCache>
                <c:formatCode>0.00</c:formatCode>
                <c:ptCount val="1"/>
                <c:pt idx="0">
                  <c:v>3.1627906976744184</c:v>
                </c:pt>
              </c:numCache>
            </c:numRef>
          </c:val>
          <c:extLst>
            <c:ext xmlns:c16="http://schemas.microsoft.com/office/drawing/2014/chart" uri="{C3380CC4-5D6E-409C-BE32-E72D297353CC}">
              <c16:uniqueId val="{00000001-4CC2-4BA9-8CD3-8E38670C3523}"/>
            </c:ext>
          </c:extLst>
        </c:ser>
        <c:dLbls>
          <c:showLegendKey val="0"/>
          <c:showVal val="0"/>
          <c:showCatName val="0"/>
          <c:showSerName val="0"/>
          <c:showPercent val="0"/>
          <c:showBubbleSize val="0"/>
        </c:dLbls>
        <c:gapWidth val="219"/>
        <c:overlap val="-27"/>
        <c:axId val="66984671"/>
        <c:axId val="66974591"/>
      </c:barChart>
      <c:catAx>
        <c:axId val="6698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4591"/>
        <c:crosses val="autoZero"/>
        <c:auto val="1"/>
        <c:lblAlgn val="ctr"/>
        <c:lblOffset val="100"/>
        <c:noMultiLvlLbl val="0"/>
      </c:catAx>
      <c:valAx>
        <c:axId val="66974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8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950EDB"/>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[Blinkit_vs_Zepto_Comparison_Analysis.xlsx]KPI!categorywisesale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Category</a:t>
            </a:r>
            <a:r>
              <a:rPr lang="en-IN" b="1" baseline="0">
                <a:solidFill>
                  <a:schemeClr val="tx1"/>
                </a:solidFill>
              </a:rPr>
              <a:t> wise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1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1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1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KPI!$H$3:$H$4</c:f>
              <c:strCache>
                <c:ptCount val="1"/>
                <c:pt idx="0">
                  <c:v>Blinkit</c:v>
                </c:pt>
              </c:strCache>
            </c:strRef>
          </c:tx>
          <c:spPr>
            <a:solidFill>
              <a:srgbClr val="FFF17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KPI!$G$5:$G$6</c:f>
              <c:strCache>
                <c:ptCount val="1"/>
                <c:pt idx="0">
                  <c:v>Bakery</c:v>
                </c:pt>
              </c:strCache>
            </c:strRef>
          </c:cat>
          <c:val>
            <c:numRef>
              <c:f>KPI!$H$5:$H$6</c:f>
              <c:numCache>
                <c:formatCode>0</c:formatCode>
                <c:ptCount val="1"/>
                <c:pt idx="0">
                  <c:v>3343680</c:v>
                </c:pt>
              </c:numCache>
            </c:numRef>
          </c:val>
          <c:extLst>
            <c:ext xmlns:c16="http://schemas.microsoft.com/office/drawing/2014/chart" uri="{C3380CC4-5D6E-409C-BE32-E72D297353CC}">
              <c16:uniqueId val="{00000000-9410-477F-9B1A-231FE418C8E6}"/>
            </c:ext>
          </c:extLst>
        </c:ser>
        <c:ser>
          <c:idx val="1"/>
          <c:order val="1"/>
          <c:tx>
            <c:strRef>
              <c:f>KPI!$I$3:$I$4</c:f>
              <c:strCache>
                <c:ptCount val="1"/>
                <c:pt idx="0">
                  <c:v>Zepto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KPI!$G$5:$G$6</c:f>
              <c:strCache>
                <c:ptCount val="1"/>
                <c:pt idx="0">
                  <c:v>Bakery</c:v>
                </c:pt>
              </c:strCache>
            </c:strRef>
          </c:cat>
          <c:val>
            <c:numRef>
              <c:f>KPI!$I$5:$I$6</c:f>
              <c:numCache>
                <c:formatCode>0</c:formatCode>
                <c:ptCount val="1"/>
                <c:pt idx="0">
                  <c:v>1827405</c:v>
                </c:pt>
              </c:numCache>
            </c:numRef>
          </c:val>
          <c:extLst>
            <c:ext xmlns:c16="http://schemas.microsoft.com/office/drawing/2014/chart" uri="{C3380CC4-5D6E-409C-BE32-E72D297353CC}">
              <c16:uniqueId val="{0000000B-9410-477F-9B1A-231FE418C8E6}"/>
            </c:ext>
          </c:extLst>
        </c:ser>
        <c:dLbls>
          <c:dLblPos val="ctr"/>
          <c:showLegendKey val="0"/>
          <c:showVal val="1"/>
          <c:showCatName val="0"/>
          <c:showSerName val="0"/>
          <c:showPercent val="0"/>
          <c:showBubbleSize val="0"/>
        </c:dLbls>
        <c:gapWidth val="150"/>
        <c:overlap val="100"/>
        <c:axId val="1486352047"/>
        <c:axId val="1486354447"/>
      </c:barChart>
      <c:catAx>
        <c:axId val="1486352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54447"/>
        <c:crosses val="autoZero"/>
        <c:auto val="1"/>
        <c:lblAlgn val="ctr"/>
        <c:lblOffset val="100"/>
        <c:noMultiLvlLbl val="0"/>
      </c:catAx>
      <c:valAx>
        <c:axId val="148635444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[Blinkit_vs_Zepto_Comparison_Analysis.xlsx]KPI!citywisesale</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City</a:t>
            </a:r>
            <a:r>
              <a:rPr lang="en-US" baseline="0">
                <a:solidFill>
                  <a:schemeClr val="tx1"/>
                </a:solidFill>
              </a:rPr>
              <a:t> Wise Revenue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KPI!$M$3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KPI!$L$4:$L$9</c:f>
              <c:strCache>
                <c:ptCount val="5"/>
                <c:pt idx="0">
                  <c:v>Bangalore</c:v>
                </c:pt>
                <c:pt idx="1">
                  <c:v>Chennai</c:v>
                </c:pt>
                <c:pt idx="2">
                  <c:v>Delhi</c:v>
                </c:pt>
                <c:pt idx="3">
                  <c:v>Hyderabad</c:v>
                </c:pt>
                <c:pt idx="4">
                  <c:v>Mumbai</c:v>
                </c:pt>
              </c:strCache>
            </c:strRef>
          </c:cat>
          <c:val>
            <c:numRef>
              <c:f>KPI!$M$4:$M$9</c:f>
              <c:numCache>
                <c:formatCode>0</c:formatCode>
                <c:ptCount val="5"/>
                <c:pt idx="0">
                  <c:v>752715</c:v>
                </c:pt>
                <c:pt idx="1">
                  <c:v>1086345</c:v>
                </c:pt>
                <c:pt idx="2">
                  <c:v>1223055</c:v>
                </c:pt>
                <c:pt idx="3">
                  <c:v>985365</c:v>
                </c:pt>
                <c:pt idx="4">
                  <c:v>1123605</c:v>
                </c:pt>
              </c:numCache>
            </c:numRef>
          </c:val>
          <c:extLst>
            <c:ext xmlns:c16="http://schemas.microsoft.com/office/drawing/2014/chart" uri="{C3380CC4-5D6E-409C-BE32-E72D297353CC}">
              <c16:uniqueId val="{00000000-D6DB-4F61-9A1E-55BE8106543B}"/>
            </c:ext>
          </c:extLst>
        </c:ser>
        <c:dLbls>
          <c:dLblPos val="outEnd"/>
          <c:showLegendKey val="0"/>
          <c:showVal val="1"/>
          <c:showCatName val="0"/>
          <c:showSerName val="0"/>
          <c:showPercent val="0"/>
          <c:showBubbleSize val="0"/>
        </c:dLbls>
        <c:gapWidth val="115"/>
        <c:overlap val="-20"/>
        <c:axId val="1126691935"/>
        <c:axId val="1126689055"/>
      </c:barChart>
      <c:catAx>
        <c:axId val="1126691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689055"/>
        <c:crosses val="autoZero"/>
        <c:auto val="1"/>
        <c:lblAlgn val="ctr"/>
        <c:lblOffset val="100"/>
        <c:noMultiLvlLbl val="0"/>
      </c:catAx>
      <c:valAx>
        <c:axId val="11266890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6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[Blinkit_vs_Zepto_Comparison_Analysis.xlsx]KPI!avgdeliverytime</c:name>
    <c:fmtId val="27"/>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KPI!$E$3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F17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F54-48D7-97FD-905657C39A11}"/>
              </c:ext>
            </c:extLst>
          </c:dPt>
          <c:dPt>
            <c:idx val="1"/>
            <c:invertIfNegative val="0"/>
            <c:bubble3D val="0"/>
            <c:spPr>
              <a:solidFill>
                <a:srgbClr val="D6A6F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F54-48D7-97FD-905657C39A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KPI!$D$4:$D$6</c:f>
              <c:strCache>
                <c:ptCount val="2"/>
                <c:pt idx="0">
                  <c:v>Blinkit</c:v>
                </c:pt>
                <c:pt idx="1">
                  <c:v>Zepto</c:v>
                </c:pt>
              </c:strCache>
            </c:strRef>
          </c:cat>
          <c:val>
            <c:numRef>
              <c:f>KPI!$E$4:$E$6</c:f>
              <c:numCache>
                <c:formatCode>0.00</c:formatCode>
                <c:ptCount val="2"/>
                <c:pt idx="0">
                  <c:v>16.77956989247312</c:v>
                </c:pt>
                <c:pt idx="1">
                  <c:v>13.561904761904762</c:v>
                </c:pt>
              </c:numCache>
            </c:numRef>
          </c:val>
          <c:extLst>
            <c:ext xmlns:c16="http://schemas.microsoft.com/office/drawing/2014/chart" uri="{C3380CC4-5D6E-409C-BE32-E72D297353CC}">
              <c16:uniqueId val="{00000004-CF54-48D7-97FD-905657C39A11}"/>
            </c:ext>
          </c:extLst>
        </c:ser>
        <c:dLbls>
          <c:dLblPos val="outEnd"/>
          <c:showLegendKey val="0"/>
          <c:showVal val="1"/>
          <c:showCatName val="0"/>
          <c:showSerName val="0"/>
          <c:showPercent val="0"/>
          <c:showBubbleSize val="0"/>
        </c:dLbls>
        <c:gapWidth val="100"/>
        <c:overlap val="-24"/>
        <c:axId val="1126690975"/>
        <c:axId val="1126692415"/>
      </c:barChart>
      <c:catAx>
        <c:axId val="1126690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6692415"/>
        <c:crosses val="autoZero"/>
        <c:auto val="1"/>
        <c:lblAlgn val="ctr"/>
        <c:lblOffset val="100"/>
        <c:noMultiLvlLbl val="0"/>
      </c:catAx>
      <c:valAx>
        <c:axId val="1126692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12669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50EDB">
          <a:alpha val="86000"/>
        </a:srgb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KPI!$Q$9</c:f>
              <c:strCache>
                <c:ptCount val="1"/>
                <c:pt idx="0">
                  <c:v>Blinkit</c:v>
                </c:pt>
              </c:strCache>
            </c:strRef>
          </c:tx>
          <c:spPr>
            <a:solidFill>
              <a:srgbClr val="FFF176"/>
            </a:solidFill>
            <a:ln>
              <a:noFill/>
            </a:ln>
            <a:effectLst/>
          </c:spPr>
          <c:invertIfNegative val="0"/>
          <c:cat>
            <c:strRef>
              <c:f>KPI!$R$8</c:f>
              <c:strCache>
                <c:ptCount val="1"/>
                <c:pt idx="0">
                  <c:v>Average of Rating</c:v>
                </c:pt>
              </c:strCache>
            </c:strRef>
          </c:cat>
          <c:val>
            <c:numRef>
              <c:f>KPI!$R$9</c:f>
              <c:numCache>
                <c:formatCode>0.00</c:formatCode>
                <c:ptCount val="1"/>
                <c:pt idx="0">
                  <c:v>2.9927007299270074</c:v>
                </c:pt>
              </c:numCache>
            </c:numRef>
          </c:val>
          <c:extLst>
            <c:ext xmlns:c16="http://schemas.microsoft.com/office/drawing/2014/chart" uri="{C3380CC4-5D6E-409C-BE32-E72D297353CC}">
              <c16:uniqueId val="{00000000-3815-411D-BADE-B57DB76444A8}"/>
            </c:ext>
          </c:extLst>
        </c:ser>
        <c:ser>
          <c:idx val="1"/>
          <c:order val="1"/>
          <c:tx>
            <c:strRef>
              <c:f>KPI!$Q$10</c:f>
              <c:strCache>
                <c:ptCount val="1"/>
                <c:pt idx="0">
                  <c:v>Zepto</c:v>
                </c:pt>
              </c:strCache>
            </c:strRef>
          </c:tx>
          <c:spPr>
            <a:solidFill>
              <a:schemeClr val="accent2"/>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3815-411D-BADE-B57DB76444A8}"/>
              </c:ext>
            </c:extLst>
          </c:dPt>
          <c:cat>
            <c:strRef>
              <c:f>KPI!$R$8</c:f>
              <c:strCache>
                <c:ptCount val="1"/>
                <c:pt idx="0">
                  <c:v>Average of Rating</c:v>
                </c:pt>
              </c:strCache>
            </c:strRef>
          </c:cat>
          <c:val>
            <c:numRef>
              <c:f>KPI!$R$10</c:f>
              <c:numCache>
                <c:formatCode>0.00</c:formatCode>
                <c:ptCount val="1"/>
                <c:pt idx="0">
                  <c:v>3.1627906976744184</c:v>
                </c:pt>
              </c:numCache>
            </c:numRef>
          </c:val>
          <c:extLst>
            <c:ext xmlns:c16="http://schemas.microsoft.com/office/drawing/2014/chart" uri="{C3380CC4-5D6E-409C-BE32-E72D297353CC}">
              <c16:uniqueId val="{00000003-3815-411D-BADE-B57DB76444A8}"/>
            </c:ext>
          </c:extLst>
        </c:ser>
        <c:dLbls>
          <c:showLegendKey val="0"/>
          <c:showVal val="0"/>
          <c:showCatName val="0"/>
          <c:showSerName val="0"/>
          <c:showPercent val="0"/>
          <c:showBubbleSize val="0"/>
        </c:dLbls>
        <c:gapWidth val="219"/>
        <c:overlap val="-27"/>
        <c:axId val="66984671"/>
        <c:axId val="66974591"/>
      </c:barChart>
      <c:catAx>
        <c:axId val="6698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4591"/>
        <c:crosses val="autoZero"/>
        <c:auto val="1"/>
        <c:lblAlgn val="ctr"/>
        <c:lblOffset val="100"/>
        <c:noMultiLvlLbl val="0"/>
      </c:catAx>
      <c:valAx>
        <c:axId val="66974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8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Payment</a:t>
            </a:r>
            <a:r>
              <a:rPr lang="en-US" sz="1400" b="1" baseline="0">
                <a:solidFill>
                  <a:schemeClr val="tx1"/>
                </a:solidFill>
              </a:rPr>
              <a: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KPI!$T$12</c:f>
              <c:strCache>
                <c:ptCount val="1"/>
                <c:pt idx="0">
                  <c:v>Card</c:v>
                </c:pt>
              </c:strCache>
            </c:strRef>
          </c:tx>
          <c:spPr>
            <a:solidFill>
              <a:srgbClr val="C7BA1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KPI!$U$12:$V$12</c:f>
              <c:numCache>
                <c:formatCode>0.00%</c:formatCode>
                <c:ptCount val="2"/>
                <c:pt idx="0">
                  <c:v>0.19243986254295534</c:v>
                </c:pt>
                <c:pt idx="1">
                  <c:v>9.6219931271477668E-2</c:v>
                </c:pt>
              </c:numCache>
            </c:numRef>
          </c:val>
          <c:extLst>
            <c:ext xmlns:c16="http://schemas.microsoft.com/office/drawing/2014/chart" uri="{C3380CC4-5D6E-409C-BE32-E72D297353CC}">
              <c16:uniqueId val="{00000000-0EFE-465C-9BAB-05BBC75226BB}"/>
            </c:ext>
          </c:extLst>
        </c:ser>
        <c:ser>
          <c:idx val="1"/>
          <c:order val="1"/>
          <c:tx>
            <c:strRef>
              <c:f>KPI!$T$13</c:f>
              <c:strCache>
                <c:ptCount val="1"/>
                <c:pt idx="0">
                  <c:v>COD</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KPI!$U$13:$V$13</c:f>
              <c:numCache>
                <c:formatCode>0.00%</c:formatCode>
                <c:ptCount val="2"/>
                <c:pt idx="0">
                  <c:v>0.25773195876288657</c:v>
                </c:pt>
                <c:pt idx="1">
                  <c:v>0.12371134020618557</c:v>
                </c:pt>
              </c:numCache>
            </c:numRef>
          </c:val>
          <c:extLst>
            <c:ext xmlns:c16="http://schemas.microsoft.com/office/drawing/2014/chart" uri="{C3380CC4-5D6E-409C-BE32-E72D297353CC}">
              <c16:uniqueId val="{00000001-0EFE-465C-9BAB-05BBC75226BB}"/>
            </c:ext>
          </c:extLst>
        </c:ser>
        <c:ser>
          <c:idx val="2"/>
          <c:order val="2"/>
          <c:tx>
            <c:strRef>
              <c:f>KPI!$T$14</c:f>
              <c:strCache>
                <c:ptCount val="1"/>
                <c:pt idx="0">
                  <c:v>UPI</c:v>
                </c:pt>
              </c:strCache>
            </c:strRef>
          </c:tx>
          <c:spPr>
            <a:solidFill>
              <a:schemeClr val="tx1">
                <a:lumMod val="50000"/>
                <a:lumOff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KPI!$U$10:$V$11</c:f>
              <c:multiLvlStrCache>
                <c:ptCount val="2"/>
                <c:lvl>
                  <c:pt idx="0">
                    <c:v>Blinkit</c:v>
                  </c:pt>
                  <c:pt idx="1">
                    <c:v>Zepto</c:v>
                  </c:pt>
                </c:lvl>
                <c:lvl>
                  <c:pt idx="0">
                    <c:v>Column Labels</c:v>
                  </c:pt>
                </c:lvl>
              </c:multiLvlStrCache>
            </c:multiLvlStrRef>
          </c:cat>
          <c:val>
            <c:numRef>
              <c:f>KPI!$U$14:$V$14</c:f>
              <c:numCache>
                <c:formatCode>0.00%</c:formatCode>
                <c:ptCount val="2"/>
                <c:pt idx="0">
                  <c:v>0.18900343642611683</c:v>
                </c:pt>
                <c:pt idx="1">
                  <c:v>0.14089347079037801</c:v>
                </c:pt>
              </c:numCache>
            </c:numRef>
          </c:val>
          <c:extLst>
            <c:ext xmlns:c16="http://schemas.microsoft.com/office/drawing/2014/chart" uri="{C3380CC4-5D6E-409C-BE32-E72D297353CC}">
              <c16:uniqueId val="{00000002-0EFE-465C-9BAB-05BBC75226BB}"/>
            </c:ext>
          </c:extLst>
        </c:ser>
        <c:dLbls>
          <c:showLegendKey val="0"/>
          <c:showVal val="1"/>
          <c:showCatName val="0"/>
          <c:showSerName val="0"/>
          <c:showPercent val="0"/>
          <c:showBubbleSize val="0"/>
        </c:dLbls>
        <c:gapWidth val="150"/>
        <c:shape val="box"/>
        <c:axId val="132630719"/>
        <c:axId val="132631679"/>
        <c:axId val="0"/>
      </c:bar3DChart>
      <c:catAx>
        <c:axId val="13263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1679"/>
        <c:crosses val="autoZero"/>
        <c:auto val="1"/>
        <c:lblAlgn val="ctr"/>
        <c:lblOffset val="100"/>
        <c:noMultiLvlLbl val="0"/>
      </c:catAx>
      <c:valAx>
        <c:axId val="132631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251114</xdr:colOff>
      <xdr:row>56</xdr:row>
      <xdr:rowOff>145115</xdr:rowOff>
    </xdr:from>
    <xdr:to>
      <xdr:col>4</xdr:col>
      <xdr:colOff>180860</xdr:colOff>
      <xdr:row>64</xdr:row>
      <xdr:rowOff>52201</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C347312E-6226-3042-D45A-5DBAAF15E9D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51114" y="10552920"/>
              <a:ext cx="3349453" cy="13939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258619</xdr:colOff>
      <xdr:row>67</xdr:row>
      <xdr:rowOff>6485</xdr:rowOff>
    </xdr:from>
    <xdr:to>
      <xdr:col>2</xdr:col>
      <xdr:colOff>160947</xdr:colOff>
      <xdr:row>72</xdr:row>
      <xdr:rowOff>3712</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DF65BAB5-8D06-3BC5-6EE3-212A9CF4E91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58619" y="12458680"/>
              <a:ext cx="1816621" cy="926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272143</xdr:colOff>
      <xdr:row>73</xdr:row>
      <xdr:rowOff>151309</xdr:rowOff>
    </xdr:from>
    <xdr:to>
      <xdr:col>2</xdr:col>
      <xdr:colOff>185253</xdr:colOff>
      <xdr:row>84</xdr:row>
      <xdr:rowOff>28452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C706740-1875-91D0-DF32-F493921B64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2143" y="13718626"/>
              <a:ext cx="1827403" cy="1921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14994</xdr:colOff>
      <xdr:row>58</xdr:row>
      <xdr:rowOff>139372</xdr:rowOff>
    </xdr:from>
    <xdr:to>
      <xdr:col>7</xdr:col>
      <xdr:colOff>833619</xdr:colOff>
      <xdr:row>68</xdr:row>
      <xdr:rowOff>17318</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3109F48F-446C-7212-17A1-4C30B8C237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934433" y="10918884"/>
              <a:ext cx="1840820" cy="173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238678</xdr:colOff>
      <xdr:row>58</xdr:row>
      <xdr:rowOff>114793</xdr:rowOff>
    </xdr:from>
    <xdr:to>
      <xdr:col>11</xdr:col>
      <xdr:colOff>33549</xdr:colOff>
      <xdr:row>65</xdr:row>
      <xdr:rowOff>1</xdr:rowOff>
    </xdr:to>
    <mc:AlternateContent xmlns:mc="http://schemas.openxmlformats.org/markup-compatibility/2006">
      <mc:Choice xmlns:a14="http://schemas.microsoft.com/office/drawing/2010/main" Requires="a14">
        <xdr:graphicFrame macro="">
          <xdr:nvGraphicFramePr>
            <xdr:cNvPr id="6" name="PaymentMode">
              <a:extLst>
                <a:ext uri="{FF2B5EF4-FFF2-40B4-BE49-F238E27FC236}">
                  <a16:creationId xmlns:a16="http://schemas.microsoft.com/office/drawing/2014/main" id="{F977352B-868E-A17D-1497-BBB1FC385E79}"/>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8276849" y="10894305"/>
              <a:ext cx="1829968" cy="118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105382</xdr:colOff>
      <xdr:row>11</xdr:row>
      <xdr:rowOff>178340</xdr:rowOff>
    </xdr:from>
    <xdr:to>
      <xdr:col>1</xdr:col>
      <xdr:colOff>843063</xdr:colOff>
      <xdr:row>13</xdr:row>
      <xdr:rowOff>162127</xdr:rowOff>
    </xdr:to>
    <xdr:sp macro="" textlink="$A$9">
      <xdr:nvSpPr>
        <xdr:cNvPr id="8" name="TextBox 7">
          <a:extLst>
            <a:ext uri="{FF2B5EF4-FFF2-40B4-BE49-F238E27FC236}">
              <a16:creationId xmlns:a16="http://schemas.microsoft.com/office/drawing/2014/main" id="{791B7C88-1AAE-FD9D-F86E-239630387928}"/>
            </a:ext>
          </a:extLst>
        </xdr:cNvPr>
        <xdr:cNvSpPr txBox="1"/>
      </xdr:nvSpPr>
      <xdr:spPr>
        <a:xfrm>
          <a:off x="105382" y="2229255"/>
          <a:ext cx="1596958" cy="356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C3DFDB-376F-4C80-9DFC-42EC9D32D5D1}" type="TxLink">
            <a:rPr lang="en-US" sz="1100" b="0" i="0" u="none" strike="noStrike">
              <a:solidFill>
                <a:srgbClr val="000000"/>
              </a:solidFill>
              <a:latin typeface="Calibri"/>
              <a:ea typeface="Calibri"/>
              <a:cs typeface="Calibri"/>
            </a:rPr>
            <a:t>3343680</a:t>
          </a:fld>
          <a:endParaRPr lang="en-IN" sz="1100"/>
        </a:p>
      </xdr:txBody>
    </xdr:sp>
    <xdr:clientData/>
  </xdr:twoCellAnchor>
  <xdr:twoCellAnchor>
    <xdr:from>
      <xdr:col>0</xdr:col>
      <xdr:colOff>92711</xdr:colOff>
      <xdr:row>14</xdr:row>
      <xdr:rowOff>53485</xdr:rowOff>
    </xdr:from>
    <xdr:to>
      <xdr:col>1</xdr:col>
      <xdr:colOff>870924</xdr:colOff>
      <xdr:row>16</xdr:row>
      <xdr:rowOff>78827</xdr:rowOff>
    </xdr:to>
    <xdr:sp macro="" textlink="$A$11">
      <xdr:nvSpPr>
        <xdr:cNvPr id="9" name="TextBox 8">
          <a:extLst>
            <a:ext uri="{FF2B5EF4-FFF2-40B4-BE49-F238E27FC236}">
              <a16:creationId xmlns:a16="http://schemas.microsoft.com/office/drawing/2014/main" id="{F2183E6E-49F1-2FC8-39F3-768D77C1F4E0}"/>
            </a:ext>
          </a:extLst>
        </xdr:cNvPr>
        <xdr:cNvSpPr txBox="1"/>
      </xdr:nvSpPr>
      <xdr:spPr>
        <a:xfrm>
          <a:off x="92711" y="2628519"/>
          <a:ext cx="1680351" cy="3932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8DF37C-C1E4-4CCC-8E32-DA6321235F3E}" type="TxLink">
            <a:rPr lang="en-US" sz="1100" b="0" i="0" u="none" strike="noStrike">
              <a:solidFill>
                <a:srgbClr val="000000"/>
              </a:solidFill>
              <a:latin typeface="Calibri"/>
              <a:ea typeface="Calibri"/>
              <a:cs typeface="Calibri"/>
            </a:rPr>
            <a:t>1827405</a:t>
          </a:fld>
          <a:endParaRPr lang="en-IN" sz="1100"/>
        </a:p>
      </xdr:txBody>
    </xdr:sp>
    <xdr:clientData/>
  </xdr:twoCellAnchor>
  <xdr:twoCellAnchor>
    <xdr:from>
      <xdr:col>2</xdr:col>
      <xdr:colOff>188310</xdr:colOff>
      <xdr:row>12</xdr:row>
      <xdr:rowOff>69193</xdr:rowOff>
    </xdr:from>
    <xdr:to>
      <xdr:col>5</xdr:col>
      <xdr:colOff>359103</xdr:colOff>
      <xdr:row>25</xdr:row>
      <xdr:rowOff>8758</xdr:rowOff>
    </xdr:to>
    <xdr:graphicFrame macro="">
      <xdr:nvGraphicFramePr>
        <xdr:cNvPr id="10" name="Chart 9">
          <a:extLst>
            <a:ext uri="{FF2B5EF4-FFF2-40B4-BE49-F238E27FC236}">
              <a16:creationId xmlns:a16="http://schemas.microsoft.com/office/drawing/2014/main" id="{25F1E242-7F99-6192-13C1-6EBD1DF65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1414517</xdr:colOff>
      <xdr:row>26</xdr:row>
      <xdr:rowOff>165538</xdr:rowOff>
    </xdr:from>
    <xdr:to>
      <xdr:col>10</xdr:col>
      <xdr:colOff>341586</xdr:colOff>
      <xdr:row>41</xdr:row>
      <xdr:rowOff>149773</xdr:rowOff>
    </xdr:to>
    <xdr:graphicFrame macro="">
      <xdr:nvGraphicFramePr>
        <xdr:cNvPr id="11" name="Chart 10">
          <a:extLst>
            <a:ext uri="{FF2B5EF4-FFF2-40B4-BE49-F238E27FC236}">
              <a16:creationId xmlns:a16="http://schemas.microsoft.com/office/drawing/2014/main" id="{88241DC3-B7EE-671F-F186-E4FD37E69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100724</xdr:colOff>
      <xdr:row>12</xdr:row>
      <xdr:rowOff>25400</xdr:rowOff>
    </xdr:from>
    <xdr:to>
      <xdr:col>14</xdr:col>
      <xdr:colOff>731345</xdr:colOff>
      <xdr:row>27</xdr:row>
      <xdr:rowOff>9634</xdr:rowOff>
    </xdr:to>
    <xdr:graphicFrame macro="">
      <xdr:nvGraphicFramePr>
        <xdr:cNvPr id="12" name="Chart 11">
          <a:extLst>
            <a:ext uri="{FF2B5EF4-FFF2-40B4-BE49-F238E27FC236}">
              <a16:creationId xmlns:a16="http://schemas.microsoft.com/office/drawing/2014/main" id="{0391A52D-5F5E-AE56-38C4-1B519F2F9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1037896</xdr:colOff>
      <xdr:row>15</xdr:row>
      <xdr:rowOff>152400</xdr:rowOff>
    </xdr:from>
    <xdr:to>
      <xdr:col>24</xdr:col>
      <xdr:colOff>48172</xdr:colOff>
      <xdr:row>30</xdr:row>
      <xdr:rowOff>136635</xdr:rowOff>
    </xdr:to>
    <xdr:graphicFrame macro="">
      <xdr:nvGraphicFramePr>
        <xdr:cNvPr id="15" name="Chart 14">
          <a:extLst>
            <a:ext uri="{FF2B5EF4-FFF2-40B4-BE49-F238E27FC236}">
              <a16:creationId xmlns:a16="http://schemas.microsoft.com/office/drawing/2014/main" id="{07543FCD-6DCA-ACB5-E27A-B0727B19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762000</xdr:colOff>
      <xdr:row>11</xdr:row>
      <xdr:rowOff>165100</xdr:rowOff>
    </xdr:from>
    <xdr:to>
      <xdr:col>18</xdr:col>
      <xdr:colOff>431800</xdr:colOff>
      <xdr:row>23</xdr:row>
      <xdr:rowOff>38100</xdr:rowOff>
    </xdr:to>
    <xdr:graphicFrame macro="">
      <xdr:nvGraphicFramePr>
        <xdr:cNvPr id="17" name="Chart 16">
          <a:extLst>
            <a:ext uri="{FF2B5EF4-FFF2-40B4-BE49-F238E27FC236}">
              <a16:creationId xmlns:a16="http://schemas.microsoft.com/office/drawing/2014/main" id="{E7B3E9F8-6BA3-E9AC-1BB2-6234C8E13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xdr:col>
      <xdr:colOff>274320</xdr:colOff>
      <xdr:row>3</xdr:row>
      <xdr:rowOff>106680</xdr:rowOff>
    </xdr:to>
    <xdr:sp macro="" textlink="">
      <xdr:nvSpPr>
        <xdr:cNvPr id="2" name="Rectangle 1">
          <a:extLst>
            <a:ext uri="{FF2B5EF4-FFF2-40B4-BE49-F238E27FC236}">
              <a16:creationId xmlns:a16="http://schemas.microsoft.com/office/drawing/2014/main" id="{87B5D19D-08A9-36F7-8F4F-F4242EF6A600}"/>
            </a:ext>
          </a:extLst>
        </xdr:cNvPr>
        <xdr:cNvSpPr/>
      </xdr:nvSpPr>
      <xdr:spPr>
        <a:xfrm>
          <a:off x="22860" y="22860"/>
          <a:ext cx="1470660" cy="63246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152400</xdr:rowOff>
    </xdr:from>
    <xdr:to>
      <xdr:col>5</xdr:col>
      <xdr:colOff>68580</xdr:colOff>
      <xdr:row>8</xdr:row>
      <xdr:rowOff>30480</xdr:rowOff>
    </xdr:to>
    <xdr:sp macro="" textlink="">
      <xdr:nvSpPr>
        <xdr:cNvPr id="3" name="Rectangle 2">
          <a:extLst>
            <a:ext uri="{FF2B5EF4-FFF2-40B4-BE49-F238E27FC236}">
              <a16:creationId xmlns:a16="http://schemas.microsoft.com/office/drawing/2014/main" id="{18D4FAA6-FFBF-2039-A8AB-A4F9CAC4DCFA}"/>
            </a:ext>
          </a:extLst>
        </xdr:cNvPr>
        <xdr:cNvSpPr/>
      </xdr:nvSpPr>
      <xdr:spPr>
        <a:xfrm>
          <a:off x="121920" y="152400"/>
          <a:ext cx="2994660" cy="1341120"/>
        </a:xfrm>
        <a:prstGeom prst="rect">
          <a:avLst/>
        </a:prstGeom>
        <a:solidFill>
          <a:srgbClr val="FFF17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a:solidFill>
                <a:schemeClr val="tx1"/>
              </a:solidFill>
              <a:effectLst/>
              <a:latin typeface="+mn-lt"/>
              <a:ea typeface="+mn-ea"/>
              <a:cs typeface="+mn-cs"/>
            </a:rPr>
            <a:t>Zepto vs Blinkit </a:t>
          </a:r>
        </a:p>
      </xdr:txBody>
    </xdr:sp>
    <xdr:clientData/>
  </xdr:twoCellAnchor>
  <xdr:twoCellAnchor>
    <xdr:from>
      <xdr:col>5</xdr:col>
      <xdr:colOff>198120</xdr:colOff>
      <xdr:row>0</xdr:row>
      <xdr:rowOff>144780</xdr:rowOff>
    </xdr:from>
    <xdr:to>
      <xdr:col>10</xdr:col>
      <xdr:colOff>137160</xdr:colOff>
      <xdr:row>8</xdr:row>
      <xdr:rowOff>38100</xdr:rowOff>
    </xdr:to>
    <mc:AlternateContent xmlns:mc="http://schemas.openxmlformats.org/markup-compatibility/2006">
      <mc:Choice xmlns:a14="http://schemas.microsoft.com/office/drawing/2010/main" Requires="a14">
        <xdr:graphicFrame macro="">
          <xdr:nvGraphicFramePr>
            <xdr:cNvPr id="5" name="Brand 1">
              <a:extLst>
                <a:ext uri="{FF2B5EF4-FFF2-40B4-BE49-F238E27FC236}">
                  <a16:creationId xmlns:a16="http://schemas.microsoft.com/office/drawing/2014/main" id="{6B09018D-E295-4D70-9343-4D8B18A481D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3246120" y="144780"/>
              <a:ext cx="29870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0</xdr:row>
      <xdr:rowOff>134884</xdr:rowOff>
    </xdr:from>
    <xdr:to>
      <xdr:col>17</xdr:col>
      <xdr:colOff>251460</xdr:colOff>
      <xdr:row>8</xdr:row>
      <xdr:rowOff>45720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53E1F74D-5179-4BB8-B139-88F4AB88C90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339840" y="134884"/>
              <a:ext cx="4274820" cy="1373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449580</xdr:colOff>
      <xdr:row>0</xdr:row>
      <xdr:rowOff>121920</xdr:rowOff>
    </xdr:from>
    <xdr:to>
      <xdr:col>23</xdr:col>
      <xdr:colOff>289560</xdr:colOff>
      <xdr:row>8</xdr:row>
      <xdr:rowOff>15240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0607FC01-D5E3-47B0-B288-2B10048A49D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812780" y="121920"/>
              <a:ext cx="349758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xdr:colOff>
      <xdr:row>9</xdr:row>
      <xdr:rowOff>83821</xdr:rowOff>
    </xdr:from>
    <xdr:to>
      <xdr:col>5</xdr:col>
      <xdr:colOff>57912</xdr:colOff>
      <xdr:row>18</xdr:row>
      <xdr:rowOff>152400</xdr:rowOff>
    </xdr:to>
    <mc:AlternateContent xmlns:mc="http://schemas.openxmlformats.org/markup-compatibility/2006">
      <mc:Choice xmlns:a14="http://schemas.microsoft.com/office/drawing/2010/main" Requires="a14">
        <xdr:graphicFrame macro="">
          <xdr:nvGraphicFramePr>
            <xdr:cNvPr id="8" name="PaymentMode 1">
              <a:extLst>
                <a:ext uri="{FF2B5EF4-FFF2-40B4-BE49-F238E27FC236}">
                  <a16:creationId xmlns:a16="http://schemas.microsoft.com/office/drawing/2014/main" id="{FCCC2307-DE4B-4DDA-8196-A2ABF676601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15240" y="1729741"/>
              <a:ext cx="3090672"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24</xdr:row>
      <xdr:rowOff>121920</xdr:rowOff>
    </xdr:from>
    <xdr:to>
      <xdr:col>5</xdr:col>
      <xdr:colOff>68580</xdr:colOff>
      <xdr:row>39</xdr:row>
      <xdr:rowOff>99060</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95132D8B-B4CC-4D6B-9D34-D7B6EF37966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0480" y="4511040"/>
              <a:ext cx="308610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9</xdr:row>
      <xdr:rowOff>60960</xdr:rowOff>
    </xdr:from>
    <xdr:to>
      <xdr:col>23</xdr:col>
      <xdr:colOff>342900</xdr:colOff>
      <xdr:row>39</xdr:row>
      <xdr:rowOff>83820</xdr:rowOff>
    </xdr:to>
    <xdr:sp macro="" textlink="">
      <xdr:nvSpPr>
        <xdr:cNvPr id="10" name="Rectangle 9">
          <a:extLst>
            <a:ext uri="{FF2B5EF4-FFF2-40B4-BE49-F238E27FC236}">
              <a16:creationId xmlns:a16="http://schemas.microsoft.com/office/drawing/2014/main" id="{E3FAC9CC-04E1-D971-29E9-5DE1BDB39178}"/>
            </a:ext>
          </a:extLst>
        </xdr:cNvPr>
        <xdr:cNvSpPr/>
      </xdr:nvSpPr>
      <xdr:spPr>
        <a:xfrm>
          <a:off x="3314700" y="1706880"/>
          <a:ext cx="11049000" cy="550926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366634</xdr:colOff>
      <xdr:row>24</xdr:row>
      <xdr:rowOff>120421</xdr:rowOff>
    </xdr:from>
    <xdr:to>
      <xdr:col>14</xdr:col>
      <xdr:colOff>324787</xdr:colOff>
      <xdr:row>38</xdr:row>
      <xdr:rowOff>170789</xdr:rowOff>
    </xdr:to>
    <xdr:graphicFrame macro="">
      <xdr:nvGraphicFramePr>
        <xdr:cNvPr id="11" name="Chart 10">
          <a:extLst>
            <a:ext uri="{FF2B5EF4-FFF2-40B4-BE49-F238E27FC236}">
              <a16:creationId xmlns:a16="http://schemas.microsoft.com/office/drawing/2014/main" id="{DCF4C85D-29F2-42ED-B34A-399755580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462198</xdr:colOff>
      <xdr:row>24</xdr:row>
      <xdr:rowOff>107930</xdr:rowOff>
    </xdr:from>
    <xdr:to>
      <xdr:col>23</xdr:col>
      <xdr:colOff>252159</xdr:colOff>
      <xdr:row>38</xdr:row>
      <xdr:rowOff>158297</xdr:rowOff>
    </xdr:to>
    <xdr:graphicFrame macro="">
      <xdr:nvGraphicFramePr>
        <xdr:cNvPr id="13" name="Chart 12">
          <a:extLst>
            <a:ext uri="{FF2B5EF4-FFF2-40B4-BE49-F238E27FC236}">
              <a16:creationId xmlns:a16="http://schemas.microsoft.com/office/drawing/2014/main" id="{914F42DC-4B08-4A7A-A1F2-6844F1B68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329159</xdr:colOff>
      <xdr:row>14</xdr:row>
      <xdr:rowOff>95438</xdr:rowOff>
    </xdr:from>
    <xdr:to>
      <xdr:col>10</xdr:col>
      <xdr:colOff>335280</xdr:colOff>
      <xdr:row>24</xdr:row>
      <xdr:rowOff>62459</xdr:rowOff>
    </xdr:to>
    <xdr:graphicFrame macro="">
      <xdr:nvGraphicFramePr>
        <xdr:cNvPr id="14" name="Chart 13">
          <a:extLst>
            <a:ext uri="{FF2B5EF4-FFF2-40B4-BE49-F238E27FC236}">
              <a16:creationId xmlns:a16="http://schemas.microsoft.com/office/drawing/2014/main" id="{C5EEF77B-EA33-4FDB-8CDF-7236E2CC5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14</xdr:row>
      <xdr:rowOff>90565</xdr:rowOff>
    </xdr:from>
    <xdr:to>
      <xdr:col>15</xdr:col>
      <xdr:colOff>408493</xdr:colOff>
      <xdr:row>24</xdr:row>
      <xdr:rowOff>53340</xdr:rowOff>
    </xdr:to>
    <xdr:graphicFrame macro="">
      <xdr:nvGraphicFramePr>
        <xdr:cNvPr id="15" name="Chart 14">
          <a:extLst>
            <a:ext uri="{FF2B5EF4-FFF2-40B4-BE49-F238E27FC236}">
              <a16:creationId xmlns:a16="http://schemas.microsoft.com/office/drawing/2014/main" id="{62112073-8132-48BB-854C-B5F7450D0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312295</xdr:colOff>
      <xdr:row>9</xdr:row>
      <xdr:rowOff>112427</xdr:rowOff>
    </xdr:from>
    <xdr:to>
      <xdr:col>10</xdr:col>
      <xdr:colOff>324786</xdr:colOff>
      <xdr:row>14</xdr:row>
      <xdr:rowOff>24983</xdr:rowOff>
    </xdr:to>
    <xdr:sp macro="" textlink="">
      <xdr:nvSpPr>
        <xdr:cNvPr id="17" name="Rectangle 16">
          <a:extLst>
            <a:ext uri="{FF2B5EF4-FFF2-40B4-BE49-F238E27FC236}">
              <a16:creationId xmlns:a16="http://schemas.microsoft.com/office/drawing/2014/main" id="{ECB205C4-9F79-682E-0D0A-FB2CE9DA960F}"/>
            </a:ext>
          </a:extLst>
        </xdr:cNvPr>
        <xdr:cNvSpPr/>
      </xdr:nvSpPr>
      <xdr:spPr>
        <a:xfrm>
          <a:off x="3372787" y="1798820"/>
          <a:ext cx="3072983" cy="849442"/>
        </a:xfrm>
        <a:prstGeom prst="rect">
          <a:avLst/>
        </a:prstGeom>
        <a:solidFill>
          <a:srgbClr val="D6A6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a:t>
          </a:r>
          <a:r>
            <a:rPr lang="en-IN" sz="2000" b="1" baseline="0">
              <a:solidFill>
                <a:schemeClr val="tx1"/>
              </a:solidFill>
            </a:rPr>
            <a:t> Revenue by Zepto</a:t>
          </a:r>
          <a:endParaRPr lang="en-IN" sz="2000" b="1">
            <a:solidFill>
              <a:schemeClr val="tx1"/>
            </a:solidFill>
          </a:endParaRPr>
        </a:p>
      </xdr:txBody>
    </xdr:sp>
    <xdr:clientData/>
  </xdr:twoCellAnchor>
  <xdr:twoCellAnchor>
    <xdr:from>
      <xdr:col>10</xdr:col>
      <xdr:colOff>416602</xdr:colOff>
      <xdr:row>9</xdr:row>
      <xdr:rowOff>107929</xdr:rowOff>
    </xdr:from>
    <xdr:to>
      <xdr:col>15</xdr:col>
      <xdr:colOff>429094</xdr:colOff>
      <xdr:row>14</xdr:row>
      <xdr:rowOff>20485</xdr:rowOff>
    </xdr:to>
    <xdr:sp macro="" textlink="">
      <xdr:nvSpPr>
        <xdr:cNvPr id="18" name="Rectangle 17">
          <a:extLst>
            <a:ext uri="{FF2B5EF4-FFF2-40B4-BE49-F238E27FC236}">
              <a16:creationId xmlns:a16="http://schemas.microsoft.com/office/drawing/2014/main" id="{979B0E4F-D69B-4A10-9338-B7CC2690C0E1}"/>
            </a:ext>
          </a:extLst>
        </xdr:cNvPr>
        <xdr:cNvSpPr/>
      </xdr:nvSpPr>
      <xdr:spPr>
        <a:xfrm>
          <a:off x="6537586" y="1794322"/>
          <a:ext cx="3072983" cy="849442"/>
        </a:xfrm>
        <a:prstGeom prst="rect">
          <a:avLst/>
        </a:prstGeom>
        <a:solidFill>
          <a:srgbClr val="FFF17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Revenue by</a:t>
          </a:r>
          <a:r>
            <a:rPr lang="en-IN" sz="2000" b="1" baseline="0">
              <a:solidFill>
                <a:schemeClr val="tx1"/>
              </a:solidFill>
            </a:rPr>
            <a:t> Blinkit</a:t>
          </a:r>
          <a:endParaRPr lang="en-IN" sz="2000" b="1">
            <a:solidFill>
              <a:schemeClr val="tx1"/>
            </a:solidFill>
          </a:endParaRPr>
        </a:p>
      </xdr:txBody>
    </xdr:sp>
    <xdr:clientData/>
  </xdr:twoCellAnchor>
  <xdr:twoCellAnchor>
    <xdr:from>
      <xdr:col>11</xdr:col>
      <xdr:colOff>466569</xdr:colOff>
      <xdr:row>11</xdr:row>
      <xdr:rowOff>120420</xdr:rowOff>
    </xdr:from>
    <xdr:to>
      <xdr:col>14</xdr:col>
      <xdr:colOff>279367</xdr:colOff>
      <xdr:row>13</xdr:row>
      <xdr:rowOff>88042</xdr:rowOff>
    </xdr:to>
    <xdr:sp macro="" textlink="KPI!$A$9">
      <xdr:nvSpPr>
        <xdr:cNvPr id="22" name="TextBox 21">
          <a:extLst>
            <a:ext uri="{FF2B5EF4-FFF2-40B4-BE49-F238E27FC236}">
              <a16:creationId xmlns:a16="http://schemas.microsoft.com/office/drawing/2014/main" id="{2DB029DF-F3E5-46A3-AC35-CB4EC321844B}"/>
            </a:ext>
          </a:extLst>
        </xdr:cNvPr>
        <xdr:cNvSpPr txBox="1"/>
      </xdr:nvSpPr>
      <xdr:spPr>
        <a:xfrm>
          <a:off x="7199651" y="2181568"/>
          <a:ext cx="1649093" cy="342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D389F9-D73C-4B01-986B-8AD20B2036A2}" type="TxLink">
            <a:rPr lang="en-US" sz="2000" b="1" i="0" u="none" strike="noStrike">
              <a:solidFill>
                <a:schemeClr val="tx1"/>
              </a:solidFill>
              <a:latin typeface="Calibri"/>
              <a:ea typeface="Calibri"/>
              <a:cs typeface="Calibri"/>
            </a:rPr>
            <a:pPr algn="ctr"/>
            <a:t>3343680</a:t>
          </a:fld>
          <a:endParaRPr lang="en-IN" sz="2000" b="1">
            <a:solidFill>
              <a:schemeClr val="tx1"/>
            </a:solidFill>
          </a:endParaRPr>
        </a:p>
      </xdr:txBody>
    </xdr:sp>
    <xdr:clientData/>
  </xdr:twoCellAnchor>
  <xdr:twoCellAnchor>
    <xdr:from>
      <xdr:col>6</xdr:col>
      <xdr:colOff>349771</xdr:colOff>
      <xdr:row>11</xdr:row>
      <xdr:rowOff>124918</xdr:rowOff>
    </xdr:from>
    <xdr:to>
      <xdr:col>9</xdr:col>
      <xdr:colOff>203101</xdr:colOff>
      <xdr:row>13</xdr:row>
      <xdr:rowOff>134094</xdr:rowOff>
    </xdr:to>
    <xdr:sp macro="" textlink="KPI!A11">
      <xdr:nvSpPr>
        <xdr:cNvPr id="23" name="TextBox 22">
          <a:extLst>
            <a:ext uri="{FF2B5EF4-FFF2-40B4-BE49-F238E27FC236}">
              <a16:creationId xmlns:a16="http://schemas.microsoft.com/office/drawing/2014/main" id="{95137C1B-0CE5-4904-8EB5-375A3F81D92E}"/>
            </a:ext>
          </a:extLst>
        </xdr:cNvPr>
        <xdr:cNvSpPr txBox="1"/>
      </xdr:nvSpPr>
      <xdr:spPr>
        <a:xfrm>
          <a:off x="4022361" y="2186066"/>
          <a:ext cx="1689625" cy="383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295AC3-D5B2-404F-9C51-F569DB6271BA}" type="TxLink">
            <a:rPr lang="en-US" sz="2000" b="1" i="0" u="none" strike="noStrike">
              <a:solidFill>
                <a:srgbClr val="000000"/>
              </a:solidFill>
              <a:latin typeface="Calibri"/>
              <a:ea typeface="Calibri"/>
              <a:cs typeface="Calibri"/>
            </a:rPr>
            <a:t>1827405</a:t>
          </a:fld>
          <a:endParaRPr lang="en-IN" sz="4000" b="1"/>
        </a:p>
      </xdr:txBody>
    </xdr:sp>
    <xdr:clientData/>
  </xdr:twoCellAnchor>
  <xdr:twoCellAnchor>
    <xdr:from>
      <xdr:col>15</xdr:col>
      <xdr:colOff>515353</xdr:colOff>
      <xdr:row>9</xdr:row>
      <xdr:rowOff>118711</xdr:rowOff>
    </xdr:from>
    <xdr:to>
      <xdr:col>23</xdr:col>
      <xdr:colOff>248653</xdr:colOff>
      <xdr:row>24</xdr:row>
      <xdr:rowOff>56147</xdr:rowOff>
    </xdr:to>
    <xdr:graphicFrame macro="">
      <xdr:nvGraphicFramePr>
        <xdr:cNvPr id="24" name="Chart 23">
          <a:extLst>
            <a:ext uri="{FF2B5EF4-FFF2-40B4-BE49-F238E27FC236}">
              <a16:creationId xmlns:a16="http://schemas.microsoft.com/office/drawing/2014/main" id="{1B373171-152F-4C38-AF21-8C461D99C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hit Kumar" refreshedDate="46027.727034143521" createdVersion="8" refreshedVersion="8" minRefreshableVersion="3" recordCount="1616" xr:uid="{BDF52445-3F28-4611-8BB8-AAE0BD1F3E5B}">
  <cacheSource type="worksheet">
    <worksheetSource ref="B2:M1618" sheet="clean data"/>
  </cacheSource>
  <cacheFields count="12">
    <cacheField name="S. No" numFmtId="0">
      <sharedItems containsSemiMixedTypes="0" containsString="0" containsNumber="1" containsInteger="1" minValue="1" maxValue="1616"/>
    </cacheField>
    <cacheField name="Brand" numFmtId="0">
      <sharedItems count="2">
        <s v="Blinkit"/>
        <s v="Zepto"/>
      </sharedItems>
    </cacheField>
    <cacheField name="Date" numFmtId="14">
      <sharedItems containsSemiMixedTypes="0" containsNonDate="0" containsDate="1" containsString="0" minDate="2024-04-01T00:00:00" maxDate="2025-04-01T00:00:00" count="365">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sharedItems>
    </cacheField>
    <cacheField name="Product" numFmtId="0">
      <sharedItems/>
    </cacheField>
    <cacheField name="Category" numFmtId="0">
      <sharedItems count="6">
        <s v="Bakery"/>
        <s v="Grains"/>
        <s v="Dairy"/>
        <s v="Beverages"/>
        <s v="Poultry"/>
        <s v="Snacks"/>
      </sharedItems>
    </cacheField>
    <cacheField name="City" numFmtId="0">
      <sharedItems count="5">
        <s v="Hyderabad"/>
        <s v="Bangalore"/>
        <s v="Chennai"/>
        <s v="Mumbai"/>
        <s v="Delhi"/>
      </sharedItems>
    </cacheField>
    <cacheField name="Price" numFmtId="0">
      <sharedItems containsSemiMixedTypes="0" containsString="0" containsNumber="1" containsInteger="1" minValue="30" maxValue="250"/>
    </cacheField>
    <cacheField name="Quantity" numFmtId="0">
      <sharedItems containsSemiMixedTypes="0" containsString="0" containsNumber="1" containsInteger="1" minValue="45" maxValue="225"/>
    </cacheField>
    <cacheField name="Revenue" numFmtId="0">
      <sharedItems containsSemiMixedTypes="0" containsString="0" containsNumber="1" containsInteger="1" minValue="1440" maxValue="56025"/>
    </cacheField>
    <cacheField name="DeliveryTime(min)" numFmtId="0">
      <sharedItems containsSemiMixedTypes="0" containsString="0" containsNumber="1" containsInteger="1" minValue="7" maxValue="25"/>
    </cacheField>
    <cacheField name="PaymentMode" numFmtId="0">
      <sharedItems count="3">
        <s v="Card"/>
        <s v="UPI"/>
        <s v="COD"/>
      </sharedItems>
    </cacheField>
    <cacheField name="Rating" numFmtId="0">
      <sharedItems containsString="0" containsBlank="1" containsNumber="1" containsInteger="1" minValue="1" maxValue="5"/>
    </cacheField>
  </cacheFields>
  <extLst>
    <ext xmlns:x14="http://schemas.microsoft.com/office/spreadsheetml/2009/9/main" uri="{725AE2AE-9491-48be-B2B4-4EB974FC3084}">
      <x14:pivotCacheDefinition pivotCacheId="1840925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6">
  <r>
    <n v="1"/>
    <x v="0"/>
    <x v="0"/>
    <s v="Biscuits"/>
    <x v="0"/>
    <x v="0"/>
    <n v="127"/>
    <n v="135"/>
    <n v="17145"/>
    <n v="18"/>
    <x v="0"/>
    <n v="3"/>
  </r>
  <r>
    <n v="2"/>
    <x v="0"/>
    <x v="1"/>
    <s v="Atta"/>
    <x v="1"/>
    <x v="1"/>
    <n v="142"/>
    <n v="135"/>
    <n v="19170"/>
    <n v="12"/>
    <x v="1"/>
    <n v="1"/>
  </r>
  <r>
    <n v="3"/>
    <x v="1"/>
    <x v="2"/>
    <s v="Paneer"/>
    <x v="2"/>
    <x v="2"/>
    <n v="170"/>
    <n v="225"/>
    <n v="38250"/>
    <n v="9"/>
    <x v="1"/>
    <n v="3"/>
  </r>
  <r>
    <n v="4"/>
    <x v="0"/>
    <x v="3"/>
    <s v="Milk"/>
    <x v="2"/>
    <x v="3"/>
    <n v="249"/>
    <n v="135"/>
    <n v="33615"/>
    <n v="16"/>
    <x v="1"/>
    <n v="2"/>
  </r>
  <r>
    <n v="5"/>
    <x v="1"/>
    <x v="4"/>
    <s v="Biscuits"/>
    <x v="0"/>
    <x v="4"/>
    <n v="161"/>
    <n v="180"/>
    <n v="28980"/>
    <n v="12"/>
    <x v="1"/>
    <n v="2"/>
  </r>
  <r>
    <n v="6"/>
    <x v="1"/>
    <x v="5"/>
    <s v="Juice"/>
    <x v="3"/>
    <x v="0"/>
    <n v="124"/>
    <n v="45"/>
    <n v="5580"/>
    <n v="18"/>
    <x v="1"/>
    <n v="5"/>
  </r>
  <r>
    <n v="7"/>
    <x v="0"/>
    <x v="6"/>
    <s v="Rice"/>
    <x v="1"/>
    <x v="0"/>
    <n v="64"/>
    <n v="180"/>
    <n v="11520"/>
    <n v="20"/>
    <x v="0"/>
    <m/>
  </r>
  <r>
    <n v="8"/>
    <x v="1"/>
    <x v="7"/>
    <s v="Atta"/>
    <x v="1"/>
    <x v="2"/>
    <n v="163"/>
    <n v="135"/>
    <n v="22005"/>
    <n v="10"/>
    <x v="0"/>
    <m/>
  </r>
  <r>
    <n v="9"/>
    <x v="1"/>
    <x v="8"/>
    <s v="Eggs"/>
    <x v="4"/>
    <x v="3"/>
    <n v="154"/>
    <n v="90"/>
    <n v="13860"/>
    <n v="10"/>
    <x v="0"/>
    <n v="3"/>
  </r>
  <r>
    <n v="10"/>
    <x v="0"/>
    <x v="9"/>
    <s v="Bread"/>
    <x v="0"/>
    <x v="3"/>
    <n v="166"/>
    <n v="90"/>
    <n v="14940"/>
    <n v="10"/>
    <x v="2"/>
    <m/>
  </r>
  <r>
    <n v="11"/>
    <x v="0"/>
    <x v="10"/>
    <s v="Rice"/>
    <x v="1"/>
    <x v="3"/>
    <n v="76"/>
    <n v="135"/>
    <n v="10260"/>
    <n v="14"/>
    <x v="0"/>
    <m/>
  </r>
  <r>
    <n v="12"/>
    <x v="1"/>
    <x v="11"/>
    <s v="Rice"/>
    <x v="1"/>
    <x v="3"/>
    <n v="240"/>
    <n v="45"/>
    <n v="10800"/>
    <n v="16"/>
    <x v="1"/>
    <n v="2"/>
  </r>
  <r>
    <n v="13"/>
    <x v="1"/>
    <x v="12"/>
    <s v="Milk"/>
    <x v="2"/>
    <x v="0"/>
    <n v="195"/>
    <n v="225"/>
    <n v="43875"/>
    <n v="12"/>
    <x v="2"/>
    <n v="3"/>
  </r>
  <r>
    <n v="14"/>
    <x v="0"/>
    <x v="13"/>
    <s v="Milk"/>
    <x v="2"/>
    <x v="1"/>
    <n v="178"/>
    <n v="135"/>
    <n v="24030"/>
    <n v="10"/>
    <x v="2"/>
    <m/>
  </r>
  <r>
    <n v="15"/>
    <x v="1"/>
    <x v="14"/>
    <s v="Milk"/>
    <x v="2"/>
    <x v="3"/>
    <n v="51"/>
    <n v="90"/>
    <n v="4590"/>
    <n v="20"/>
    <x v="0"/>
    <m/>
  </r>
  <r>
    <n v="16"/>
    <x v="0"/>
    <x v="15"/>
    <s v="Milk"/>
    <x v="2"/>
    <x v="2"/>
    <n v="153"/>
    <n v="180"/>
    <n v="27540"/>
    <n v="10"/>
    <x v="2"/>
    <m/>
  </r>
  <r>
    <n v="17"/>
    <x v="1"/>
    <x v="16"/>
    <s v="Snacks"/>
    <x v="5"/>
    <x v="1"/>
    <n v="190"/>
    <n v="45"/>
    <n v="8550"/>
    <n v="16"/>
    <x v="1"/>
    <m/>
  </r>
  <r>
    <n v="18"/>
    <x v="0"/>
    <x v="17"/>
    <s v="Bread"/>
    <x v="0"/>
    <x v="0"/>
    <n v="234"/>
    <n v="180"/>
    <n v="42120"/>
    <n v="21"/>
    <x v="2"/>
    <m/>
  </r>
  <r>
    <n v="19"/>
    <x v="0"/>
    <x v="18"/>
    <s v="Snacks"/>
    <x v="5"/>
    <x v="1"/>
    <n v="54"/>
    <n v="90"/>
    <n v="4860"/>
    <n v="23"/>
    <x v="1"/>
    <n v="5"/>
  </r>
  <r>
    <n v="20"/>
    <x v="0"/>
    <x v="19"/>
    <s v="Milk"/>
    <x v="2"/>
    <x v="4"/>
    <n v="62"/>
    <n v="180"/>
    <n v="11160"/>
    <n v="16"/>
    <x v="0"/>
    <m/>
  </r>
  <r>
    <n v="21"/>
    <x v="1"/>
    <x v="20"/>
    <s v="Snacks"/>
    <x v="5"/>
    <x v="3"/>
    <n v="61"/>
    <n v="225"/>
    <n v="13725"/>
    <n v="8"/>
    <x v="2"/>
    <m/>
  </r>
  <r>
    <n v="22"/>
    <x v="0"/>
    <x v="21"/>
    <s v="Eggs"/>
    <x v="4"/>
    <x v="3"/>
    <n v="234"/>
    <n v="90"/>
    <n v="21060"/>
    <n v="19"/>
    <x v="2"/>
    <n v="2"/>
  </r>
  <r>
    <n v="23"/>
    <x v="0"/>
    <x v="22"/>
    <s v="Rice"/>
    <x v="1"/>
    <x v="3"/>
    <n v="61"/>
    <n v="135"/>
    <n v="8235"/>
    <n v="22"/>
    <x v="1"/>
    <n v="3"/>
  </r>
  <r>
    <n v="24"/>
    <x v="1"/>
    <x v="23"/>
    <s v="Atta"/>
    <x v="1"/>
    <x v="4"/>
    <n v="57"/>
    <n v="90"/>
    <n v="5130"/>
    <n v="9"/>
    <x v="1"/>
    <n v="4"/>
  </r>
  <r>
    <n v="25"/>
    <x v="1"/>
    <x v="24"/>
    <s v="Coke"/>
    <x v="3"/>
    <x v="3"/>
    <n v="84"/>
    <n v="225"/>
    <n v="18900"/>
    <n v="13"/>
    <x v="0"/>
    <n v="1"/>
  </r>
  <r>
    <n v="26"/>
    <x v="1"/>
    <x v="25"/>
    <s v="Paneer"/>
    <x v="2"/>
    <x v="3"/>
    <n v="78"/>
    <n v="90"/>
    <n v="7020"/>
    <n v="7"/>
    <x v="1"/>
    <n v="4"/>
  </r>
  <r>
    <n v="27"/>
    <x v="0"/>
    <x v="26"/>
    <s v="Atta"/>
    <x v="1"/>
    <x v="1"/>
    <n v="117"/>
    <n v="180"/>
    <n v="21060"/>
    <n v="18"/>
    <x v="0"/>
    <n v="1"/>
  </r>
  <r>
    <n v="28"/>
    <x v="1"/>
    <x v="27"/>
    <s v="Paneer"/>
    <x v="2"/>
    <x v="3"/>
    <n v="127"/>
    <n v="225"/>
    <n v="28575"/>
    <n v="12"/>
    <x v="0"/>
    <n v="5"/>
  </r>
  <r>
    <n v="29"/>
    <x v="1"/>
    <x v="28"/>
    <s v="Juice"/>
    <x v="3"/>
    <x v="1"/>
    <n v="67"/>
    <n v="135"/>
    <n v="9045"/>
    <n v="7"/>
    <x v="0"/>
    <n v="2"/>
  </r>
  <r>
    <n v="30"/>
    <x v="0"/>
    <x v="29"/>
    <s v="Milk"/>
    <x v="2"/>
    <x v="1"/>
    <n v="69"/>
    <n v="135"/>
    <n v="9315"/>
    <n v="21"/>
    <x v="0"/>
    <n v="2"/>
  </r>
  <r>
    <n v="31"/>
    <x v="1"/>
    <x v="30"/>
    <s v="Snacks"/>
    <x v="5"/>
    <x v="0"/>
    <n v="110"/>
    <n v="45"/>
    <n v="4950"/>
    <n v="18"/>
    <x v="0"/>
    <n v="3"/>
  </r>
  <r>
    <n v="32"/>
    <x v="0"/>
    <x v="31"/>
    <s v="Bread"/>
    <x v="0"/>
    <x v="3"/>
    <n v="213"/>
    <n v="225"/>
    <n v="47925"/>
    <n v="21"/>
    <x v="2"/>
    <n v="4"/>
  </r>
  <r>
    <n v="33"/>
    <x v="0"/>
    <x v="32"/>
    <s v="Coke"/>
    <x v="3"/>
    <x v="4"/>
    <n v="152"/>
    <n v="45"/>
    <n v="6840"/>
    <n v="25"/>
    <x v="0"/>
    <n v="1"/>
  </r>
  <r>
    <n v="34"/>
    <x v="1"/>
    <x v="33"/>
    <s v="Milk"/>
    <x v="2"/>
    <x v="2"/>
    <n v="135"/>
    <n v="225"/>
    <n v="30375"/>
    <n v="12"/>
    <x v="1"/>
    <n v="4"/>
  </r>
  <r>
    <n v="35"/>
    <x v="1"/>
    <x v="34"/>
    <s v="Paneer"/>
    <x v="2"/>
    <x v="3"/>
    <n v="192"/>
    <n v="225"/>
    <n v="43200"/>
    <n v="8"/>
    <x v="1"/>
    <n v="1"/>
  </r>
  <r>
    <n v="36"/>
    <x v="1"/>
    <x v="35"/>
    <s v="Eggs"/>
    <x v="4"/>
    <x v="3"/>
    <n v="63"/>
    <n v="45"/>
    <n v="2835"/>
    <n v="13"/>
    <x v="2"/>
    <n v="5"/>
  </r>
  <r>
    <n v="37"/>
    <x v="0"/>
    <x v="36"/>
    <s v="Eggs"/>
    <x v="4"/>
    <x v="4"/>
    <n v="166"/>
    <n v="90"/>
    <n v="14940"/>
    <n v="14"/>
    <x v="2"/>
    <n v="1"/>
  </r>
  <r>
    <n v="38"/>
    <x v="1"/>
    <x v="37"/>
    <s v="Bread"/>
    <x v="0"/>
    <x v="0"/>
    <n v="181"/>
    <n v="135"/>
    <n v="24435"/>
    <n v="13"/>
    <x v="0"/>
    <n v="5"/>
  </r>
  <r>
    <n v="39"/>
    <x v="0"/>
    <x v="38"/>
    <s v="Atta"/>
    <x v="1"/>
    <x v="4"/>
    <n v="60"/>
    <n v="135"/>
    <n v="8100"/>
    <n v="24"/>
    <x v="0"/>
    <n v="1"/>
  </r>
  <r>
    <n v="40"/>
    <x v="0"/>
    <x v="39"/>
    <s v="Coke"/>
    <x v="3"/>
    <x v="0"/>
    <n v="119"/>
    <n v="135"/>
    <n v="16065"/>
    <n v="17"/>
    <x v="2"/>
    <n v="2"/>
  </r>
  <r>
    <n v="41"/>
    <x v="1"/>
    <x v="40"/>
    <s v="Rice"/>
    <x v="1"/>
    <x v="4"/>
    <n v="224"/>
    <n v="225"/>
    <n v="50400"/>
    <n v="20"/>
    <x v="0"/>
    <n v="3"/>
  </r>
  <r>
    <n v="42"/>
    <x v="0"/>
    <x v="41"/>
    <s v="Juice"/>
    <x v="3"/>
    <x v="1"/>
    <n v="82"/>
    <n v="135"/>
    <n v="11070"/>
    <n v="12"/>
    <x v="0"/>
    <n v="1"/>
  </r>
  <r>
    <n v="43"/>
    <x v="1"/>
    <x v="42"/>
    <s v="Atta"/>
    <x v="1"/>
    <x v="0"/>
    <n v="75"/>
    <n v="45"/>
    <n v="3375"/>
    <n v="17"/>
    <x v="2"/>
    <n v="2"/>
  </r>
  <r>
    <n v="44"/>
    <x v="1"/>
    <x v="43"/>
    <s v="Butter"/>
    <x v="2"/>
    <x v="2"/>
    <n v="87"/>
    <n v="90"/>
    <n v="7830"/>
    <n v="9"/>
    <x v="1"/>
    <n v="2"/>
  </r>
  <r>
    <n v="45"/>
    <x v="0"/>
    <x v="44"/>
    <s v="Snacks"/>
    <x v="5"/>
    <x v="3"/>
    <n v="118"/>
    <n v="45"/>
    <n v="5310"/>
    <n v="17"/>
    <x v="1"/>
    <n v="1"/>
  </r>
  <r>
    <n v="46"/>
    <x v="0"/>
    <x v="45"/>
    <s v="Juice"/>
    <x v="3"/>
    <x v="0"/>
    <n v="199"/>
    <n v="90"/>
    <n v="17910"/>
    <n v="11"/>
    <x v="1"/>
    <n v="2"/>
  </r>
  <r>
    <n v="47"/>
    <x v="0"/>
    <x v="46"/>
    <s v="Eggs"/>
    <x v="4"/>
    <x v="0"/>
    <n v="131"/>
    <n v="90"/>
    <n v="11790"/>
    <n v="12"/>
    <x v="2"/>
    <n v="3"/>
  </r>
  <r>
    <n v="48"/>
    <x v="0"/>
    <x v="47"/>
    <s v="Bread"/>
    <x v="0"/>
    <x v="2"/>
    <n v="88"/>
    <n v="45"/>
    <n v="3960"/>
    <n v="18"/>
    <x v="1"/>
    <n v="1"/>
  </r>
  <r>
    <n v="49"/>
    <x v="0"/>
    <x v="48"/>
    <s v="Coke"/>
    <x v="3"/>
    <x v="2"/>
    <n v="209"/>
    <n v="180"/>
    <n v="37620"/>
    <n v="15"/>
    <x v="2"/>
    <m/>
  </r>
  <r>
    <n v="50"/>
    <x v="1"/>
    <x v="49"/>
    <s v="Atta"/>
    <x v="1"/>
    <x v="0"/>
    <n v="223"/>
    <n v="45"/>
    <n v="10035"/>
    <n v="20"/>
    <x v="0"/>
    <n v="4"/>
  </r>
  <r>
    <n v="51"/>
    <x v="1"/>
    <x v="50"/>
    <s v="Bread"/>
    <x v="0"/>
    <x v="3"/>
    <n v="164"/>
    <n v="90"/>
    <n v="14760"/>
    <n v="17"/>
    <x v="1"/>
    <n v="3"/>
  </r>
  <r>
    <n v="52"/>
    <x v="1"/>
    <x v="51"/>
    <s v="Paneer"/>
    <x v="2"/>
    <x v="1"/>
    <n v="109"/>
    <n v="90"/>
    <n v="9810"/>
    <n v="14"/>
    <x v="2"/>
    <m/>
  </r>
  <r>
    <n v="53"/>
    <x v="1"/>
    <x v="52"/>
    <s v="Biscuits"/>
    <x v="0"/>
    <x v="3"/>
    <n v="51"/>
    <n v="180"/>
    <n v="9180"/>
    <n v="9"/>
    <x v="0"/>
    <n v="1"/>
  </r>
  <r>
    <n v="54"/>
    <x v="0"/>
    <x v="53"/>
    <s v="Rice"/>
    <x v="1"/>
    <x v="0"/>
    <n v="208"/>
    <n v="45"/>
    <n v="9360"/>
    <n v="12"/>
    <x v="0"/>
    <n v="2"/>
  </r>
  <r>
    <n v="55"/>
    <x v="1"/>
    <x v="54"/>
    <s v="Juice"/>
    <x v="3"/>
    <x v="2"/>
    <n v="146"/>
    <n v="135"/>
    <n v="19710"/>
    <n v="9"/>
    <x v="0"/>
    <n v="2"/>
  </r>
  <r>
    <n v="56"/>
    <x v="0"/>
    <x v="55"/>
    <s v="Coke"/>
    <x v="3"/>
    <x v="1"/>
    <n v="79"/>
    <n v="135"/>
    <n v="10665"/>
    <n v="17"/>
    <x v="0"/>
    <n v="5"/>
  </r>
  <r>
    <n v="57"/>
    <x v="0"/>
    <x v="56"/>
    <s v="Rice"/>
    <x v="1"/>
    <x v="4"/>
    <n v="61"/>
    <n v="135"/>
    <n v="8235"/>
    <n v="20"/>
    <x v="0"/>
    <n v="5"/>
  </r>
  <r>
    <n v="58"/>
    <x v="1"/>
    <x v="57"/>
    <s v="Eggs"/>
    <x v="4"/>
    <x v="2"/>
    <n v="152"/>
    <n v="135"/>
    <n v="20520"/>
    <n v="20"/>
    <x v="1"/>
    <m/>
  </r>
  <r>
    <n v="59"/>
    <x v="1"/>
    <x v="58"/>
    <s v="Rice"/>
    <x v="1"/>
    <x v="4"/>
    <n v="185"/>
    <n v="90"/>
    <n v="16650"/>
    <n v="12"/>
    <x v="2"/>
    <n v="2"/>
  </r>
  <r>
    <n v="60"/>
    <x v="1"/>
    <x v="59"/>
    <s v="Butter"/>
    <x v="2"/>
    <x v="3"/>
    <n v="172"/>
    <n v="90"/>
    <n v="15480"/>
    <n v="11"/>
    <x v="0"/>
    <n v="3"/>
  </r>
  <r>
    <n v="61"/>
    <x v="0"/>
    <x v="60"/>
    <s v="Atta"/>
    <x v="1"/>
    <x v="0"/>
    <n v="124"/>
    <n v="90"/>
    <n v="11160"/>
    <n v="14"/>
    <x v="2"/>
    <n v="1"/>
  </r>
  <r>
    <n v="62"/>
    <x v="1"/>
    <x v="61"/>
    <s v="Biscuits"/>
    <x v="0"/>
    <x v="0"/>
    <n v="104"/>
    <n v="225"/>
    <n v="23400"/>
    <n v="18"/>
    <x v="1"/>
    <n v="3"/>
  </r>
  <r>
    <n v="63"/>
    <x v="0"/>
    <x v="62"/>
    <s v="Eggs"/>
    <x v="4"/>
    <x v="3"/>
    <n v="150"/>
    <n v="45"/>
    <n v="6750"/>
    <n v="17"/>
    <x v="1"/>
    <n v="4"/>
  </r>
  <r>
    <n v="64"/>
    <x v="0"/>
    <x v="63"/>
    <s v="Atta"/>
    <x v="1"/>
    <x v="4"/>
    <n v="192"/>
    <n v="225"/>
    <n v="43200"/>
    <n v="22"/>
    <x v="2"/>
    <n v="3"/>
  </r>
  <r>
    <n v="65"/>
    <x v="0"/>
    <x v="64"/>
    <s v="Butter"/>
    <x v="2"/>
    <x v="1"/>
    <n v="115"/>
    <n v="90"/>
    <n v="10350"/>
    <n v="25"/>
    <x v="2"/>
    <n v="3"/>
  </r>
  <r>
    <n v="66"/>
    <x v="1"/>
    <x v="65"/>
    <s v="Snacks"/>
    <x v="5"/>
    <x v="0"/>
    <n v="80"/>
    <n v="180"/>
    <n v="14400"/>
    <n v="8"/>
    <x v="2"/>
    <n v="3"/>
  </r>
  <r>
    <n v="67"/>
    <x v="1"/>
    <x v="66"/>
    <s v="Milk"/>
    <x v="2"/>
    <x v="1"/>
    <n v="79"/>
    <n v="180"/>
    <n v="14220"/>
    <n v="8"/>
    <x v="2"/>
    <n v="3"/>
  </r>
  <r>
    <n v="68"/>
    <x v="0"/>
    <x v="67"/>
    <s v="Snacks"/>
    <x v="5"/>
    <x v="4"/>
    <n v="59"/>
    <n v="180"/>
    <n v="10620"/>
    <n v="13"/>
    <x v="0"/>
    <n v="3"/>
  </r>
  <r>
    <n v="69"/>
    <x v="0"/>
    <x v="68"/>
    <s v="Paneer"/>
    <x v="2"/>
    <x v="1"/>
    <n v="210"/>
    <n v="225"/>
    <n v="47250"/>
    <n v="15"/>
    <x v="0"/>
    <n v="5"/>
  </r>
  <r>
    <n v="70"/>
    <x v="0"/>
    <x v="69"/>
    <s v="Biscuits"/>
    <x v="0"/>
    <x v="2"/>
    <n v="144"/>
    <n v="45"/>
    <n v="6480"/>
    <n v="15"/>
    <x v="0"/>
    <n v="2"/>
  </r>
  <r>
    <n v="71"/>
    <x v="0"/>
    <x v="70"/>
    <s v="Rice"/>
    <x v="1"/>
    <x v="4"/>
    <n v="73"/>
    <n v="45"/>
    <n v="3285"/>
    <n v="15"/>
    <x v="1"/>
    <n v="3"/>
  </r>
  <r>
    <n v="72"/>
    <x v="1"/>
    <x v="71"/>
    <s v="Paneer"/>
    <x v="2"/>
    <x v="3"/>
    <n v="34"/>
    <n v="180"/>
    <n v="6120"/>
    <n v="9"/>
    <x v="2"/>
    <n v="1"/>
  </r>
  <r>
    <n v="73"/>
    <x v="1"/>
    <x v="72"/>
    <s v="Coke"/>
    <x v="3"/>
    <x v="4"/>
    <n v="228"/>
    <n v="180"/>
    <n v="41040"/>
    <n v="8"/>
    <x v="1"/>
    <n v="5"/>
  </r>
  <r>
    <n v="74"/>
    <x v="0"/>
    <x v="73"/>
    <s v="Biscuits"/>
    <x v="0"/>
    <x v="2"/>
    <n v="170"/>
    <n v="180"/>
    <n v="30600"/>
    <n v="19"/>
    <x v="2"/>
    <n v="1"/>
  </r>
  <r>
    <n v="75"/>
    <x v="0"/>
    <x v="74"/>
    <s v="Eggs"/>
    <x v="4"/>
    <x v="3"/>
    <n v="184"/>
    <n v="45"/>
    <n v="8280"/>
    <n v="25"/>
    <x v="0"/>
    <m/>
  </r>
  <r>
    <n v="76"/>
    <x v="1"/>
    <x v="75"/>
    <s v="Rice"/>
    <x v="1"/>
    <x v="2"/>
    <n v="153"/>
    <n v="45"/>
    <n v="6885"/>
    <n v="18"/>
    <x v="1"/>
    <n v="5"/>
  </r>
  <r>
    <n v="77"/>
    <x v="0"/>
    <x v="76"/>
    <s v="Rice"/>
    <x v="1"/>
    <x v="3"/>
    <n v="249"/>
    <n v="135"/>
    <n v="33615"/>
    <n v="16"/>
    <x v="1"/>
    <n v="5"/>
  </r>
  <r>
    <n v="78"/>
    <x v="0"/>
    <x v="77"/>
    <s v="Biscuits"/>
    <x v="0"/>
    <x v="3"/>
    <n v="159"/>
    <n v="45"/>
    <n v="7155"/>
    <n v="11"/>
    <x v="0"/>
    <n v="4"/>
  </r>
  <r>
    <n v="79"/>
    <x v="1"/>
    <x v="78"/>
    <s v="Paneer"/>
    <x v="2"/>
    <x v="0"/>
    <n v="234"/>
    <n v="135"/>
    <n v="31590"/>
    <n v="14"/>
    <x v="1"/>
    <n v="5"/>
  </r>
  <r>
    <n v="80"/>
    <x v="0"/>
    <x v="79"/>
    <s v="Juice"/>
    <x v="3"/>
    <x v="1"/>
    <n v="204"/>
    <n v="45"/>
    <n v="9180"/>
    <n v="23"/>
    <x v="2"/>
    <n v="4"/>
  </r>
  <r>
    <n v="81"/>
    <x v="0"/>
    <x v="80"/>
    <s v="Juice"/>
    <x v="3"/>
    <x v="4"/>
    <n v="203"/>
    <n v="180"/>
    <n v="36540"/>
    <n v="10"/>
    <x v="2"/>
    <n v="5"/>
  </r>
  <r>
    <n v="82"/>
    <x v="1"/>
    <x v="81"/>
    <s v="Atta"/>
    <x v="1"/>
    <x v="4"/>
    <n v="160"/>
    <n v="180"/>
    <n v="28800"/>
    <n v="18"/>
    <x v="1"/>
    <n v="5"/>
  </r>
  <r>
    <n v="83"/>
    <x v="0"/>
    <x v="82"/>
    <s v="Rice"/>
    <x v="1"/>
    <x v="0"/>
    <n v="221"/>
    <n v="225"/>
    <n v="49725"/>
    <n v="24"/>
    <x v="1"/>
    <n v="5"/>
  </r>
  <r>
    <n v="84"/>
    <x v="1"/>
    <x v="83"/>
    <s v="Juice"/>
    <x v="3"/>
    <x v="1"/>
    <n v="238"/>
    <n v="225"/>
    <n v="53550"/>
    <n v="8"/>
    <x v="1"/>
    <n v="3"/>
  </r>
  <r>
    <n v="85"/>
    <x v="0"/>
    <x v="84"/>
    <s v="Biscuits"/>
    <x v="0"/>
    <x v="0"/>
    <n v="225"/>
    <n v="90"/>
    <n v="20250"/>
    <n v="21"/>
    <x v="0"/>
    <n v="1"/>
  </r>
  <r>
    <n v="86"/>
    <x v="1"/>
    <x v="85"/>
    <s v="Snacks"/>
    <x v="5"/>
    <x v="1"/>
    <n v="201"/>
    <n v="225"/>
    <n v="45225"/>
    <n v="12"/>
    <x v="1"/>
    <n v="3"/>
  </r>
  <r>
    <n v="87"/>
    <x v="0"/>
    <x v="86"/>
    <s v="Biscuits"/>
    <x v="0"/>
    <x v="1"/>
    <n v="172"/>
    <n v="225"/>
    <n v="38700"/>
    <n v="23"/>
    <x v="1"/>
    <m/>
  </r>
  <r>
    <n v="88"/>
    <x v="1"/>
    <x v="87"/>
    <s v="Biscuits"/>
    <x v="0"/>
    <x v="2"/>
    <n v="184"/>
    <n v="45"/>
    <n v="8280"/>
    <n v="14"/>
    <x v="1"/>
    <n v="5"/>
  </r>
  <r>
    <n v="89"/>
    <x v="0"/>
    <x v="88"/>
    <s v="Juice"/>
    <x v="3"/>
    <x v="2"/>
    <n v="142"/>
    <n v="135"/>
    <n v="19170"/>
    <n v="18"/>
    <x v="0"/>
    <n v="2"/>
  </r>
  <r>
    <n v="90"/>
    <x v="0"/>
    <x v="89"/>
    <s v="Atta"/>
    <x v="1"/>
    <x v="2"/>
    <n v="31"/>
    <n v="180"/>
    <n v="5580"/>
    <n v="22"/>
    <x v="1"/>
    <n v="2"/>
  </r>
  <r>
    <n v="91"/>
    <x v="1"/>
    <x v="90"/>
    <s v="Bread"/>
    <x v="0"/>
    <x v="2"/>
    <n v="113"/>
    <n v="135"/>
    <n v="15255"/>
    <n v="14"/>
    <x v="2"/>
    <n v="5"/>
  </r>
  <r>
    <n v="92"/>
    <x v="1"/>
    <x v="91"/>
    <s v="Milk"/>
    <x v="2"/>
    <x v="4"/>
    <n v="208"/>
    <n v="45"/>
    <n v="9360"/>
    <n v="12"/>
    <x v="2"/>
    <n v="5"/>
  </r>
  <r>
    <n v="93"/>
    <x v="1"/>
    <x v="92"/>
    <s v="Juice"/>
    <x v="3"/>
    <x v="1"/>
    <n v="197"/>
    <n v="180"/>
    <n v="35460"/>
    <n v="16"/>
    <x v="0"/>
    <n v="2"/>
  </r>
  <r>
    <n v="94"/>
    <x v="0"/>
    <x v="93"/>
    <s v="Juice"/>
    <x v="3"/>
    <x v="4"/>
    <n v="104"/>
    <n v="225"/>
    <n v="23400"/>
    <n v="12"/>
    <x v="0"/>
    <n v="3"/>
  </r>
  <r>
    <n v="95"/>
    <x v="0"/>
    <x v="94"/>
    <s v="Snacks"/>
    <x v="5"/>
    <x v="2"/>
    <n v="202"/>
    <n v="225"/>
    <n v="45450"/>
    <n v="11"/>
    <x v="0"/>
    <n v="2"/>
  </r>
  <r>
    <n v="96"/>
    <x v="0"/>
    <x v="95"/>
    <s v="Butter"/>
    <x v="2"/>
    <x v="2"/>
    <n v="216"/>
    <n v="180"/>
    <n v="38880"/>
    <n v="14"/>
    <x v="1"/>
    <n v="4"/>
  </r>
  <r>
    <n v="97"/>
    <x v="1"/>
    <x v="96"/>
    <s v="Rice"/>
    <x v="1"/>
    <x v="4"/>
    <n v="95"/>
    <n v="225"/>
    <n v="21375"/>
    <n v="18"/>
    <x v="0"/>
    <n v="1"/>
  </r>
  <r>
    <n v="98"/>
    <x v="0"/>
    <x v="97"/>
    <s v="Butter"/>
    <x v="2"/>
    <x v="1"/>
    <n v="145"/>
    <n v="225"/>
    <n v="32625"/>
    <n v="25"/>
    <x v="0"/>
    <n v="2"/>
  </r>
  <r>
    <n v="99"/>
    <x v="0"/>
    <x v="98"/>
    <s v="Snacks"/>
    <x v="5"/>
    <x v="1"/>
    <n v="240"/>
    <n v="225"/>
    <n v="54000"/>
    <n v="21"/>
    <x v="1"/>
    <n v="3"/>
  </r>
  <r>
    <n v="100"/>
    <x v="0"/>
    <x v="99"/>
    <s v="Snacks"/>
    <x v="5"/>
    <x v="1"/>
    <n v="133"/>
    <n v="45"/>
    <n v="5985"/>
    <n v="25"/>
    <x v="1"/>
    <n v="2"/>
  </r>
  <r>
    <n v="101"/>
    <x v="1"/>
    <x v="100"/>
    <s v="Atta"/>
    <x v="1"/>
    <x v="0"/>
    <n v="38"/>
    <n v="225"/>
    <n v="8550"/>
    <n v="12"/>
    <x v="1"/>
    <n v="3"/>
  </r>
  <r>
    <n v="102"/>
    <x v="1"/>
    <x v="101"/>
    <s v="Biscuits"/>
    <x v="0"/>
    <x v="2"/>
    <n v="116"/>
    <n v="135"/>
    <n v="15660"/>
    <n v="9"/>
    <x v="1"/>
    <n v="1"/>
  </r>
  <r>
    <n v="103"/>
    <x v="1"/>
    <x v="102"/>
    <s v="Rice"/>
    <x v="1"/>
    <x v="2"/>
    <n v="131"/>
    <n v="225"/>
    <n v="29475"/>
    <n v="14"/>
    <x v="1"/>
    <n v="2"/>
  </r>
  <r>
    <n v="104"/>
    <x v="1"/>
    <x v="103"/>
    <s v="Juice"/>
    <x v="3"/>
    <x v="4"/>
    <n v="37"/>
    <n v="90"/>
    <n v="3330"/>
    <n v="20"/>
    <x v="1"/>
    <n v="1"/>
  </r>
  <r>
    <n v="105"/>
    <x v="1"/>
    <x v="104"/>
    <s v="Coke"/>
    <x v="3"/>
    <x v="4"/>
    <n v="49"/>
    <n v="90"/>
    <n v="4410"/>
    <n v="16"/>
    <x v="2"/>
    <n v="3"/>
  </r>
  <r>
    <n v="106"/>
    <x v="1"/>
    <x v="105"/>
    <s v="Snacks"/>
    <x v="5"/>
    <x v="0"/>
    <n v="59"/>
    <n v="135"/>
    <n v="7965"/>
    <n v="8"/>
    <x v="0"/>
    <m/>
  </r>
  <r>
    <n v="107"/>
    <x v="0"/>
    <x v="106"/>
    <s v="Paneer"/>
    <x v="2"/>
    <x v="0"/>
    <n v="168"/>
    <n v="135"/>
    <n v="22680"/>
    <n v="13"/>
    <x v="1"/>
    <n v="1"/>
  </r>
  <r>
    <n v="108"/>
    <x v="0"/>
    <x v="107"/>
    <s v="Biscuits"/>
    <x v="0"/>
    <x v="1"/>
    <n v="167"/>
    <n v="45"/>
    <n v="7515"/>
    <n v="11"/>
    <x v="1"/>
    <n v="5"/>
  </r>
  <r>
    <n v="109"/>
    <x v="0"/>
    <x v="108"/>
    <s v="Milk"/>
    <x v="2"/>
    <x v="4"/>
    <n v="164"/>
    <n v="45"/>
    <n v="7380"/>
    <n v="11"/>
    <x v="1"/>
    <n v="2"/>
  </r>
  <r>
    <n v="110"/>
    <x v="0"/>
    <x v="109"/>
    <s v="Bread"/>
    <x v="0"/>
    <x v="1"/>
    <n v="136"/>
    <n v="45"/>
    <n v="6120"/>
    <n v="19"/>
    <x v="0"/>
    <n v="2"/>
  </r>
  <r>
    <n v="111"/>
    <x v="1"/>
    <x v="110"/>
    <s v="Coke"/>
    <x v="3"/>
    <x v="0"/>
    <n v="97"/>
    <n v="225"/>
    <n v="21825"/>
    <n v="17"/>
    <x v="2"/>
    <n v="2"/>
  </r>
  <r>
    <n v="112"/>
    <x v="1"/>
    <x v="111"/>
    <s v="Coke"/>
    <x v="3"/>
    <x v="4"/>
    <n v="56"/>
    <n v="90"/>
    <n v="5040"/>
    <n v="12"/>
    <x v="0"/>
    <n v="4"/>
  </r>
  <r>
    <n v="113"/>
    <x v="0"/>
    <x v="112"/>
    <s v="Butter"/>
    <x v="2"/>
    <x v="3"/>
    <n v="36"/>
    <n v="180"/>
    <n v="6480"/>
    <n v="14"/>
    <x v="0"/>
    <n v="5"/>
  </r>
  <r>
    <n v="114"/>
    <x v="1"/>
    <x v="113"/>
    <s v="Bread"/>
    <x v="0"/>
    <x v="0"/>
    <n v="214"/>
    <n v="90"/>
    <n v="19260"/>
    <n v="15"/>
    <x v="0"/>
    <n v="4"/>
  </r>
  <r>
    <n v="115"/>
    <x v="1"/>
    <x v="114"/>
    <s v="Biscuits"/>
    <x v="0"/>
    <x v="3"/>
    <n v="234"/>
    <n v="90"/>
    <n v="21060"/>
    <n v="16"/>
    <x v="1"/>
    <n v="3"/>
  </r>
  <r>
    <n v="116"/>
    <x v="1"/>
    <x v="115"/>
    <s v="Snacks"/>
    <x v="5"/>
    <x v="4"/>
    <n v="101"/>
    <n v="45"/>
    <n v="4545"/>
    <n v="13"/>
    <x v="2"/>
    <n v="5"/>
  </r>
  <r>
    <n v="117"/>
    <x v="1"/>
    <x v="116"/>
    <s v="Biscuits"/>
    <x v="0"/>
    <x v="4"/>
    <n v="136"/>
    <n v="45"/>
    <n v="6120"/>
    <n v="11"/>
    <x v="2"/>
    <n v="2"/>
  </r>
  <r>
    <n v="118"/>
    <x v="0"/>
    <x v="117"/>
    <s v="Butter"/>
    <x v="2"/>
    <x v="1"/>
    <n v="219"/>
    <n v="135"/>
    <n v="29565"/>
    <n v="25"/>
    <x v="0"/>
    <n v="5"/>
  </r>
  <r>
    <n v="119"/>
    <x v="0"/>
    <x v="118"/>
    <s v="Atta"/>
    <x v="1"/>
    <x v="4"/>
    <n v="177"/>
    <n v="180"/>
    <n v="31860"/>
    <n v="23"/>
    <x v="0"/>
    <n v="3"/>
  </r>
  <r>
    <n v="120"/>
    <x v="1"/>
    <x v="119"/>
    <s v="Coke"/>
    <x v="3"/>
    <x v="4"/>
    <n v="239"/>
    <n v="90"/>
    <n v="21510"/>
    <n v="8"/>
    <x v="2"/>
    <n v="4"/>
  </r>
  <r>
    <n v="121"/>
    <x v="0"/>
    <x v="120"/>
    <s v="Paneer"/>
    <x v="2"/>
    <x v="0"/>
    <n v="128"/>
    <n v="90"/>
    <n v="11520"/>
    <n v="20"/>
    <x v="0"/>
    <n v="5"/>
  </r>
  <r>
    <n v="122"/>
    <x v="0"/>
    <x v="121"/>
    <s v="Juice"/>
    <x v="3"/>
    <x v="2"/>
    <n v="249"/>
    <n v="225"/>
    <n v="56025"/>
    <n v="13"/>
    <x v="1"/>
    <n v="4"/>
  </r>
  <r>
    <n v="123"/>
    <x v="1"/>
    <x v="122"/>
    <s v="Juice"/>
    <x v="3"/>
    <x v="0"/>
    <n v="124"/>
    <n v="135"/>
    <n v="16740"/>
    <n v="18"/>
    <x v="0"/>
    <n v="2"/>
  </r>
  <r>
    <n v="124"/>
    <x v="1"/>
    <x v="123"/>
    <s v="Milk"/>
    <x v="2"/>
    <x v="0"/>
    <n v="238"/>
    <n v="180"/>
    <n v="42840"/>
    <n v="19"/>
    <x v="2"/>
    <n v="3"/>
  </r>
  <r>
    <n v="125"/>
    <x v="1"/>
    <x v="124"/>
    <s v="Bread"/>
    <x v="0"/>
    <x v="1"/>
    <n v="231"/>
    <n v="90"/>
    <n v="20790"/>
    <n v="18"/>
    <x v="2"/>
    <n v="5"/>
  </r>
  <r>
    <n v="126"/>
    <x v="1"/>
    <x v="125"/>
    <s v="Eggs"/>
    <x v="4"/>
    <x v="0"/>
    <n v="153"/>
    <n v="45"/>
    <n v="6885"/>
    <n v="12"/>
    <x v="2"/>
    <n v="4"/>
  </r>
  <r>
    <n v="127"/>
    <x v="0"/>
    <x v="126"/>
    <s v="Bread"/>
    <x v="0"/>
    <x v="1"/>
    <n v="101"/>
    <n v="45"/>
    <n v="4545"/>
    <n v="19"/>
    <x v="0"/>
    <m/>
  </r>
  <r>
    <n v="128"/>
    <x v="1"/>
    <x v="127"/>
    <s v="Milk"/>
    <x v="2"/>
    <x v="3"/>
    <n v="161"/>
    <n v="135"/>
    <n v="21735"/>
    <n v="19"/>
    <x v="0"/>
    <n v="3"/>
  </r>
  <r>
    <n v="129"/>
    <x v="1"/>
    <x v="128"/>
    <s v="Coke"/>
    <x v="3"/>
    <x v="3"/>
    <n v="180"/>
    <n v="135"/>
    <n v="24300"/>
    <n v="9"/>
    <x v="2"/>
    <n v="1"/>
  </r>
  <r>
    <n v="130"/>
    <x v="0"/>
    <x v="129"/>
    <s v="Snacks"/>
    <x v="5"/>
    <x v="3"/>
    <n v="63"/>
    <n v="45"/>
    <n v="2835"/>
    <n v="24"/>
    <x v="0"/>
    <n v="5"/>
  </r>
  <r>
    <n v="131"/>
    <x v="0"/>
    <x v="130"/>
    <s v="Rice"/>
    <x v="1"/>
    <x v="4"/>
    <n v="64"/>
    <n v="45"/>
    <n v="2880"/>
    <n v="19"/>
    <x v="0"/>
    <m/>
  </r>
  <r>
    <n v="132"/>
    <x v="1"/>
    <x v="131"/>
    <s v="Snacks"/>
    <x v="5"/>
    <x v="1"/>
    <n v="206"/>
    <n v="135"/>
    <n v="27810"/>
    <n v="8"/>
    <x v="0"/>
    <n v="4"/>
  </r>
  <r>
    <n v="133"/>
    <x v="1"/>
    <x v="132"/>
    <s v="Bread"/>
    <x v="0"/>
    <x v="1"/>
    <n v="89"/>
    <n v="45"/>
    <n v="4005"/>
    <n v="17"/>
    <x v="2"/>
    <m/>
  </r>
  <r>
    <n v="134"/>
    <x v="0"/>
    <x v="133"/>
    <s v="Juice"/>
    <x v="3"/>
    <x v="0"/>
    <n v="40"/>
    <n v="45"/>
    <n v="1800"/>
    <n v="24"/>
    <x v="2"/>
    <n v="4"/>
  </r>
  <r>
    <n v="135"/>
    <x v="1"/>
    <x v="134"/>
    <s v="Rice"/>
    <x v="1"/>
    <x v="3"/>
    <n v="110"/>
    <n v="180"/>
    <n v="19800"/>
    <n v="9"/>
    <x v="2"/>
    <n v="1"/>
  </r>
  <r>
    <n v="136"/>
    <x v="1"/>
    <x v="135"/>
    <s v="Milk"/>
    <x v="2"/>
    <x v="2"/>
    <n v="180"/>
    <n v="225"/>
    <n v="40500"/>
    <n v="18"/>
    <x v="2"/>
    <n v="2"/>
  </r>
  <r>
    <n v="137"/>
    <x v="0"/>
    <x v="136"/>
    <s v="Eggs"/>
    <x v="4"/>
    <x v="3"/>
    <n v="158"/>
    <n v="45"/>
    <n v="7110"/>
    <n v="11"/>
    <x v="2"/>
    <n v="3"/>
  </r>
  <r>
    <n v="138"/>
    <x v="0"/>
    <x v="137"/>
    <s v="Butter"/>
    <x v="2"/>
    <x v="2"/>
    <n v="73"/>
    <n v="90"/>
    <n v="6570"/>
    <n v="21"/>
    <x v="1"/>
    <n v="5"/>
  </r>
  <r>
    <n v="139"/>
    <x v="1"/>
    <x v="138"/>
    <s v="Eggs"/>
    <x v="4"/>
    <x v="0"/>
    <n v="127"/>
    <n v="45"/>
    <n v="5715"/>
    <n v="13"/>
    <x v="1"/>
    <n v="3"/>
  </r>
  <r>
    <n v="140"/>
    <x v="0"/>
    <x v="139"/>
    <s v="Coke"/>
    <x v="3"/>
    <x v="2"/>
    <n v="157"/>
    <n v="90"/>
    <n v="14130"/>
    <n v="10"/>
    <x v="0"/>
    <n v="2"/>
  </r>
  <r>
    <n v="141"/>
    <x v="0"/>
    <x v="140"/>
    <s v="Bread"/>
    <x v="0"/>
    <x v="0"/>
    <n v="150"/>
    <n v="45"/>
    <n v="6750"/>
    <n v="17"/>
    <x v="0"/>
    <n v="1"/>
  </r>
  <r>
    <n v="142"/>
    <x v="1"/>
    <x v="141"/>
    <s v="Rice"/>
    <x v="1"/>
    <x v="4"/>
    <n v="133"/>
    <n v="135"/>
    <n v="17955"/>
    <n v="12"/>
    <x v="0"/>
    <n v="2"/>
  </r>
  <r>
    <n v="143"/>
    <x v="0"/>
    <x v="142"/>
    <s v="Coke"/>
    <x v="3"/>
    <x v="2"/>
    <n v="153"/>
    <n v="135"/>
    <n v="20655"/>
    <n v="15"/>
    <x v="1"/>
    <n v="4"/>
  </r>
  <r>
    <n v="144"/>
    <x v="1"/>
    <x v="143"/>
    <s v="Butter"/>
    <x v="2"/>
    <x v="2"/>
    <n v="96"/>
    <n v="135"/>
    <n v="12960"/>
    <n v="16"/>
    <x v="0"/>
    <n v="4"/>
  </r>
  <r>
    <n v="145"/>
    <x v="0"/>
    <x v="144"/>
    <s v="Atta"/>
    <x v="1"/>
    <x v="1"/>
    <n v="220"/>
    <n v="45"/>
    <n v="9900"/>
    <n v="18"/>
    <x v="0"/>
    <n v="5"/>
  </r>
  <r>
    <n v="146"/>
    <x v="0"/>
    <x v="145"/>
    <s v="Butter"/>
    <x v="2"/>
    <x v="3"/>
    <n v="227"/>
    <n v="45"/>
    <n v="10215"/>
    <n v="24"/>
    <x v="2"/>
    <n v="2"/>
  </r>
  <r>
    <n v="147"/>
    <x v="0"/>
    <x v="146"/>
    <s v="Bread"/>
    <x v="0"/>
    <x v="2"/>
    <n v="160"/>
    <n v="225"/>
    <n v="36000"/>
    <n v="16"/>
    <x v="2"/>
    <n v="4"/>
  </r>
  <r>
    <n v="148"/>
    <x v="1"/>
    <x v="147"/>
    <s v="Milk"/>
    <x v="2"/>
    <x v="4"/>
    <n v="34"/>
    <n v="45"/>
    <n v="1530"/>
    <n v="9"/>
    <x v="1"/>
    <m/>
  </r>
  <r>
    <n v="149"/>
    <x v="0"/>
    <x v="148"/>
    <s v="Bread"/>
    <x v="0"/>
    <x v="4"/>
    <n v="36"/>
    <n v="225"/>
    <n v="8100"/>
    <n v="20"/>
    <x v="0"/>
    <n v="1"/>
  </r>
  <r>
    <n v="150"/>
    <x v="1"/>
    <x v="149"/>
    <s v="Rice"/>
    <x v="1"/>
    <x v="4"/>
    <n v="126"/>
    <n v="45"/>
    <n v="5670"/>
    <n v="10"/>
    <x v="2"/>
    <n v="1"/>
  </r>
  <r>
    <n v="151"/>
    <x v="0"/>
    <x v="150"/>
    <s v="Milk"/>
    <x v="2"/>
    <x v="3"/>
    <n v="203"/>
    <n v="90"/>
    <n v="18270"/>
    <n v="18"/>
    <x v="2"/>
    <n v="5"/>
  </r>
  <r>
    <n v="152"/>
    <x v="1"/>
    <x v="151"/>
    <s v="Milk"/>
    <x v="2"/>
    <x v="3"/>
    <n v="147"/>
    <n v="135"/>
    <n v="19845"/>
    <n v="12"/>
    <x v="0"/>
    <n v="1"/>
  </r>
  <r>
    <n v="153"/>
    <x v="1"/>
    <x v="152"/>
    <s v="Coke"/>
    <x v="3"/>
    <x v="1"/>
    <n v="80"/>
    <n v="135"/>
    <n v="10800"/>
    <n v="12"/>
    <x v="2"/>
    <n v="1"/>
  </r>
  <r>
    <n v="154"/>
    <x v="1"/>
    <x v="153"/>
    <s v="Butter"/>
    <x v="2"/>
    <x v="2"/>
    <n v="231"/>
    <n v="225"/>
    <n v="51975"/>
    <n v="7"/>
    <x v="1"/>
    <n v="2"/>
  </r>
  <r>
    <n v="155"/>
    <x v="1"/>
    <x v="154"/>
    <s v="Rice"/>
    <x v="1"/>
    <x v="2"/>
    <n v="168"/>
    <n v="90"/>
    <n v="15120"/>
    <n v="19"/>
    <x v="1"/>
    <n v="4"/>
  </r>
  <r>
    <n v="156"/>
    <x v="1"/>
    <x v="155"/>
    <s v="Paneer"/>
    <x v="2"/>
    <x v="0"/>
    <n v="43"/>
    <n v="45"/>
    <n v="1935"/>
    <n v="19"/>
    <x v="1"/>
    <n v="3"/>
  </r>
  <r>
    <n v="157"/>
    <x v="1"/>
    <x v="156"/>
    <s v="Bread"/>
    <x v="0"/>
    <x v="4"/>
    <n v="57"/>
    <n v="225"/>
    <n v="12825"/>
    <n v="10"/>
    <x v="2"/>
    <n v="3"/>
  </r>
  <r>
    <n v="158"/>
    <x v="0"/>
    <x v="157"/>
    <s v="Coke"/>
    <x v="3"/>
    <x v="2"/>
    <n v="191"/>
    <n v="180"/>
    <n v="34380"/>
    <n v="21"/>
    <x v="1"/>
    <m/>
  </r>
  <r>
    <n v="159"/>
    <x v="0"/>
    <x v="158"/>
    <s v="Rice"/>
    <x v="1"/>
    <x v="0"/>
    <n v="139"/>
    <n v="90"/>
    <n v="12510"/>
    <n v="16"/>
    <x v="0"/>
    <n v="1"/>
  </r>
  <r>
    <n v="160"/>
    <x v="1"/>
    <x v="159"/>
    <s v="Rice"/>
    <x v="1"/>
    <x v="1"/>
    <n v="122"/>
    <n v="135"/>
    <n v="16470"/>
    <n v="15"/>
    <x v="1"/>
    <n v="3"/>
  </r>
  <r>
    <n v="161"/>
    <x v="1"/>
    <x v="160"/>
    <s v="Juice"/>
    <x v="3"/>
    <x v="3"/>
    <n v="222"/>
    <n v="135"/>
    <n v="29970"/>
    <n v="12"/>
    <x v="1"/>
    <n v="3"/>
  </r>
  <r>
    <n v="162"/>
    <x v="1"/>
    <x v="161"/>
    <s v="Paneer"/>
    <x v="2"/>
    <x v="3"/>
    <n v="229"/>
    <n v="225"/>
    <n v="51525"/>
    <n v="17"/>
    <x v="1"/>
    <n v="4"/>
  </r>
  <r>
    <n v="163"/>
    <x v="1"/>
    <x v="162"/>
    <s v="Bread"/>
    <x v="0"/>
    <x v="1"/>
    <n v="39"/>
    <n v="225"/>
    <n v="8775"/>
    <n v="19"/>
    <x v="1"/>
    <m/>
  </r>
  <r>
    <n v="164"/>
    <x v="0"/>
    <x v="163"/>
    <s v="Eggs"/>
    <x v="4"/>
    <x v="2"/>
    <n v="167"/>
    <n v="225"/>
    <n v="37575"/>
    <n v="11"/>
    <x v="0"/>
    <m/>
  </r>
  <r>
    <n v="165"/>
    <x v="0"/>
    <x v="164"/>
    <s v="Butter"/>
    <x v="2"/>
    <x v="0"/>
    <n v="131"/>
    <n v="225"/>
    <n v="29475"/>
    <n v="22"/>
    <x v="0"/>
    <m/>
  </r>
  <r>
    <n v="166"/>
    <x v="0"/>
    <x v="165"/>
    <s v="Biscuits"/>
    <x v="0"/>
    <x v="4"/>
    <n v="97"/>
    <n v="225"/>
    <n v="21825"/>
    <n v="12"/>
    <x v="1"/>
    <m/>
  </r>
  <r>
    <n v="167"/>
    <x v="1"/>
    <x v="166"/>
    <s v="Eggs"/>
    <x v="4"/>
    <x v="3"/>
    <n v="202"/>
    <n v="180"/>
    <n v="36360"/>
    <n v="13"/>
    <x v="1"/>
    <m/>
  </r>
  <r>
    <n v="168"/>
    <x v="0"/>
    <x v="167"/>
    <s v="Atta"/>
    <x v="1"/>
    <x v="2"/>
    <n v="59"/>
    <n v="90"/>
    <n v="5310"/>
    <n v="19"/>
    <x v="1"/>
    <n v="2"/>
  </r>
  <r>
    <n v="169"/>
    <x v="0"/>
    <x v="168"/>
    <s v="Milk"/>
    <x v="2"/>
    <x v="4"/>
    <n v="123"/>
    <n v="45"/>
    <n v="5535"/>
    <n v="25"/>
    <x v="0"/>
    <n v="2"/>
  </r>
  <r>
    <n v="170"/>
    <x v="1"/>
    <x v="169"/>
    <s v="Bread"/>
    <x v="0"/>
    <x v="0"/>
    <n v="74"/>
    <n v="45"/>
    <n v="3330"/>
    <n v="19"/>
    <x v="2"/>
    <n v="5"/>
  </r>
  <r>
    <n v="171"/>
    <x v="1"/>
    <x v="170"/>
    <s v="Rice"/>
    <x v="1"/>
    <x v="3"/>
    <n v="197"/>
    <n v="180"/>
    <n v="35460"/>
    <n v="11"/>
    <x v="1"/>
    <m/>
  </r>
  <r>
    <n v="172"/>
    <x v="1"/>
    <x v="171"/>
    <s v="Biscuits"/>
    <x v="0"/>
    <x v="1"/>
    <n v="71"/>
    <n v="90"/>
    <n v="6390"/>
    <n v="11"/>
    <x v="2"/>
    <n v="1"/>
  </r>
  <r>
    <n v="173"/>
    <x v="0"/>
    <x v="172"/>
    <s v="Biscuits"/>
    <x v="0"/>
    <x v="4"/>
    <n v="156"/>
    <n v="90"/>
    <n v="14040"/>
    <n v="10"/>
    <x v="0"/>
    <n v="5"/>
  </r>
  <r>
    <n v="174"/>
    <x v="0"/>
    <x v="173"/>
    <s v="Snacks"/>
    <x v="5"/>
    <x v="4"/>
    <n v="157"/>
    <n v="180"/>
    <n v="28260"/>
    <n v="21"/>
    <x v="0"/>
    <n v="3"/>
  </r>
  <r>
    <n v="175"/>
    <x v="0"/>
    <x v="174"/>
    <s v="Rice"/>
    <x v="1"/>
    <x v="2"/>
    <n v="242"/>
    <n v="225"/>
    <n v="54450"/>
    <n v="12"/>
    <x v="1"/>
    <m/>
  </r>
  <r>
    <n v="176"/>
    <x v="1"/>
    <x v="175"/>
    <s v="Atta"/>
    <x v="1"/>
    <x v="1"/>
    <n v="50"/>
    <n v="45"/>
    <n v="2250"/>
    <n v="17"/>
    <x v="1"/>
    <n v="3"/>
  </r>
  <r>
    <n v="177"/>
    <x v="0"/>
    <x v="176"/>
    <s v="Biscuits"/>
    <x v="0"/>
    <x v="3"/>
    <n v="39"/>
    <n v="225"/>
    <n v="8775"/>
    <n v="18"/>
    <x v="0"/>
    <m/>
  </r>
  <r>
    <n v="178"/>
    <x v="0"/>
    <x v="177"/>
    <s v="Rice"/>
    <x v="1"/>
    <x v="2"/>
    <n v="55"/>
    <n v="90"/>
    <n v="4950"/>
    <n v="22"/>
    <x v="0"/>
    <m/>
  </r>
  <r>
    <n v="179"/>
    <x v="0"/>
    <x v="178"/>
    <s v="Milk"/>
    <x v="2"/>
    <x v="0"/>
    <n v="145"/>
    <n v="180"/>
    <n v="26100"/>
    <n v="10"/>
    <x v="1"/>
    <n v="2"/>
  </r>
  <r>
    <n v="180"/>
    <x v="1"/>
    <x v="179"/>
    <s v="Juice"/>
    <x v="3"/>
    <x v="1"/>
    <n v="146"/>
    <n v="90"/>
    <n v="13140"/>
    <n v="16"/>
    <x v="2"/>
    <n v="4"/>
  </r>
  <r>
    <n v="181"/>
    <x v="0"/>
    <x v="180"/>
    <s v="Rice"/>
    <x v="1"/>
    <x v="3"/>
    <n v="193"/>
    <n v="225"/>
    <n v="43425"/>
    <n v="20"/>
    <x v="1"/>
    <n v="4"/>
  </r>
  <r>
    <n v="182"/>
    <x v="1"/>
    <x v="181"/>
    <s v="Eggs"/>
    <x v="4"/>
    <x v="1"/>
    <n v="62"/>
    <n v="90"/>
    <n v="5580"/>
    <n v="16"/>
    <x v="2"/>
    <n v="2"/>
  </r>
  <r>
    <n v="183"/>
    <x v="1"/>
    <x v="182"/>
    <s v="Snacks"/>
    <x v="5"/>
    <x v="2"/>
    <n v="100"/>
    <n v="135"/>
    <n v="13500"/>
    <n v="8"/>
    <x v="2"/>
    <n v="3"/>
  </r>
  <r>
    <n v="184"/>
    <x v="0"/>
    <x v="183"/>
    <s v="Snacks"/>
    <x v="5"/>
    <x v="4"/>
    <n v="249"/>
    <n v="45"/>
    <n v="11205"/>
    <n v="18"/>
    <x v="0"/>
    <n v="5"/>
  </r>
  <r>
    <n v="185"/>
    <x v="1"/>
    <x v="184"/>
    <s v="Bread"/>
    <x v="0"/>
    <x v="3"/>
    <n v="129"/>
    <n v="180"/>
    <n v="23220"/>
    <n v="10"/>
    <x v="1"/>
    <n v="3"/>
  </r>
  <r>
    <n v="186"/>
    <x v="1"/>
    <x v="185"/>
    <s v="Eggs"/>
    <x v="4"/>
    <x v="2"/>
    <n v="85"/>
    <n v="135"/>
    <n v="11475"/>
    <n v="14"/>
    <x v="1"/>
    <n v="1"/>
  </r>
  <r>
    <n v="187"/>
    <x v="0"/>
    <x v="186"/>
    <s v="Milk"/>
    <x v="2"/>
    <x v="4"/>
    <n v="35"/>
    <n v="45"/>
    <n v="1575"/>
    <n v="11"/>
    <x v="0"/>
    <n v="4"/>
  </r>
  <r>
    <n v="188"/>
    <x v="0"/>
    <x v="187"/>
    <s v="Juice"/>
    <x v="3"/>
    <x v="2"/>
    <n v="223"/>
    <n v="180"/>
    <n v="40140"/>
    <n v="21"/>
    <x v="0"/>
    <n v="3"/>
  </r>
  <r>
    <n v="189"/>
    <x v="0"/>
    <x v="188"/>
    <s v="Paneer"/>
    <x v="2"/>
    <x v="1"/>
    <n v="136"/>
    <n v="90"/>
    <n v="12240"/>
    <n v="11"/>
    <x v="1"/>
    <n v="4"/>
  </r>
  <r>
    <n v="190"/>
    <x v="1"/>
    <x v="189"/>
    <s v="Coke"/>
    <x v="3"/>
    <x v="3"/>
    <n v="119"/>
    <n v="180"/>
    <n v="21420"/>
    <n v="14"/>
    <x v="1"/>
    <n v="1"/>
  </r>
  <r>
    <n v="191"/>
    <x v="1"/>
    <x v="190"/>
    <s v="Coke"/>
    <x v="3"/>
    <x v="4"/>
    <n v="44"/>
    <n v="180"/>
    <n v="7920"/>
    <n v="15"/>
    <x v="1"/>
    <m/>
  </r>
  <r>
    <n v="192"/>
    <x v="1"/>
    <x v="191"/>
    <s v="Coke"/>
    <x v="3"/>
    <x v="0"/>
    <n v="230"/>
    <n v="45"/>
    <n v="10350"/>
    <n v="14"/>
    <x v="2"/>
    <n v="4"/>
  </r>
  <r>
    <n v="193"/>
    <x v="0"/>
    <x v="192"/>
    <s v="Paneer"/>
    <x v="2"/>
    <x v="4"/>
    <n v="35"/>
    <n v="90"/>
    <n v="3150"/>
    <n v="19"/>
    <x v="2"/>
    <n v="3"/>
  </r>
  <r>
    <n v="194"/>
    <x v="0"/>
    <x v="193"/>
    <s v="Snacks"/>
    <x v="5"/>
    <x v="2"/>
    <n v="228"/>
    <n v="45"/>
    <n v="10260"/>
    <n v="21"/>
    <x v="2"/>
    <n v="2"/>
  </r>
  <r>
    <n v="195"/>
    <x v="1"/>
    <x v="194"/>
    <s v="Eggs"/>
    <x v="4"/>
    <x v="1"/>
    <n v="100"/>
    <n v="225"/>
    <n v="22500"/>
    <n v="14"/>
    <x v="2"/>
    <n v="2"/>
  </r>
  <r>
    <n v="196"/>
    <x v="0"/>
    <x v="195"/>
    <s v="Biscuits"/>
    <x v="0"/>
    <x v="3"/>
    <n v="47"/>
    <n v="135"/>
    <n v="6345"/>
    <n v="21"/>
    <x v="2"/>
    <n v="3"/>
  </r>
  <r>
    <n v="197"/>
    <x v="0"/>
    <x v="196"/>
    <s v="Biscuits"/>
    <x v="0"/>
    <x v="1"/>
    <n v="194"/>
    <n v="90"/>
    <n v="17460"/>
    <n v="16"/>
    <x v="0"/>
    <m/>
  </r>
  <r>
    <n v="198"/>
    <x v="1"/>
    <x v="197"/>
    <s v="Atta"/>
    <x v="1"/>
    <x v="3"/>
    <n v="215"/>
    <n v="45"/>
    <n v="9675"/>
    <n v="8"/>
    <x v="0"/>
    <n v="1"/>
  </r>
  <r>
    <n v="199"/>
    <x v="1"/>
    <x v="198"/>
    <s v="Butter"/>
    <x v="2"/>
    <x v="3"/>
    <n v="156"/>
    <n v="180"/>
    <n v="28080"/>
    <n v="17"/>
    <x v="2"/>
    <n v="3"/>
  </r>
  <r>
    <n v="200"/>
    <x v="1"/>
    <x v="199"/>
    <s v="Eggs"/>
    <x v="4"/>
    <x v="4"/>
    <n v="42"/>
    <n v="225"/>
    <n v="9450"/>
    <n v="14"/>
    <x v="2"/>
    <n v="5"/>
  </r>
  <r>
    <n v="201"/>
    <x v="1"/>
    <x v="200"/>
    <s v="Milk"/>
    <x v="2"/>
    <x v="4"/>
    <n v="132"/>
    <n v="225"/>
    <n v="29700"/>
    <n v="16"/>
    <x v="2"/>
    <n v="3"/>
  </r>
  <r>
    <n v="202"/>
    <x v="0"/>
    <x v="201"/>
    <s v="Coke"/>
    <x v="3"/>
    <x v="3"/>
    <n v="102"/>
    <n v="180"/>
    <n v="18360"/>
    <n v="16"/>
    <x v="1"/>
    <n v="4"/>
  </r>
  <r>
    <n v="203"/>
    <x v="1"/>
    <x v="202"/>
    <s v="Paneer"/>
    <x v="2"/>
    <x v="3"/>
    <n v="48"/>
    <n v="135"/>
    <n v="6480"/>
    <n v="14"/>
    <x v="1"/>
    <n v="2"/>
  </r>
  <r>
    <n v="204"/>
    <x v="0"/>
    <x v="203"/>
    <s v="Bread"/>
    <x v="0"/>
    <x v="2"/>
    <n v="229"/>
    <n v="135"/>
    <n v="30915"/>
    <n v="12"/>
    <x v="1"/>
    <n v="5"/>
  </r>
  <r>
    <n v="205"/>
    <x v="0"/>
    <x v="204"/>
    <s v="Biscuits"/>
    <x v="0"/>
    <x v="4"/>
    <n v="52"/>
    <n v="90"/>
    <n v="4680"/>
    <n v="25"/>
    <x v="2"/>
    <n v="5"/>
  </r>
  <r>
    <n v="206"/>
    <x v="1"/>
    <x v="205"/>
    <s v="Atta"/>
    <x v="1"/>
    <x v="3"/>
    <n v="112"/>
    <n v="45"/>
    <n v="5040"/>
    <n v="18"/>
    <x v="1"/>
    <n v="3"/>
  </r>
  <r>
    <n v="207"/>
    <x v="0"/>
    <x v="206"/>
    <s v="Butter"/>
    <x v="2"/>
    <x v="4"/>
    <n v="59"/>
    <n v="180"/>
    <n v="10620"/>
    <n v="14"/>
    <x v="2"/>
    <n v="2"/>
  </r>
  <r>
    <n v="208"/>
    <x v="1"/>
    <x v="207"/>
    <s v="Atta"/>
    <x v="1"/>
    <x v="0"/>
    <n v="162"/>
    <n v="90"/>
    <n v="14580"/>
    <n v="10"/>
    <x v="1"/>
    <m/>
  </r>
  <r>
    <n v="209"/>
    <x v="0"/>
    <x v="208"/>
    <s v="Atta"/>
    <x v="1"/>
    <x v="2"/>
    <n v="184"/>
    <n v="135"/>
    <n v="24840"/>
    <n v="18"/>
    <x v="2"/>
    <n v="1"/>
  </r>
  <r>
    <n v="210"/>
    <x v="1"/>
    <x v="209"/>
    <s v="Bread"/>
    <x v="0"/>
    <x v="3"/>
    <n v="113"/>
    <n v="180"/>
    <n v="20340"/>
    <n v="11"/>
    <x v="2"/>
    <m/>
  </r>
  <r>
    <n v="211"/>
    <x v="0"/>
    <x v="210"/>
    <s v="Paneer"/>
    <x v="2"/>
    <x v="2"/>
    <n v="158"/>
    <n v="180"/>
    <n v="28440"/>
    <n v="12"/>
    <x v="1"/>
    <n v="3"/>
  </r>
  <r>
    <n v="212"/>
    <x v="0"/>
    <x v="211"/>
    <s v="Eggs"/>
    <x v="4"/>
    <x v="1"/>
    <n v="189"/>
    <n v="225"/>
    <n v="42525"/>
    <n v="22"/>
    <x v="1"/>
    <n v="4"/>
  </r>
  <r>
    <n v="213"/>
    <x v="1"/>
    <x v="212"/>
    <s v="Juice"/>
    <x v="3"/>
    <x v="2"/>
    <n v="98"/>
    <n v="225"/>
    <n v="22050"/>
    <n v="19"/>
    <x v="2"/>
    <m/>
  </r>
  <r>
    <n v="214"/>
    <x v="0"/>
    <x v="213"/>
    <s v="Paneer"/>
    <x v="2"/>
    <x v="4"/>
    <n v="162"/>
    <n v="90"/>
    <n v="14580"/>
    <n v="13"/>
    <x v="0"/>
    <n v="4"/>
  </r>
  <r>
    <n v="215"/>
    <x v="1"/>
    <x v="214"/>
    <s v="Paneer"/>
    <x v="2"/>
    <x v="2"/>
    <n v="56"/>
    <n v="45"/>
    <n v="2520"/>
    <n v="20"/>
    <x v="2"/>
    <n v="4"/>
  </r>
  <r>
    <n v="216"/>
    <x v="0"/>
    <x v="215"/>
    <s v="Paneer"/>
    <x v="2"/>
    <x v="3"/>
    <n v="197"/>
    <n v="135"/>
    <n v="26595"/>
    <n v="22"/>
    <x v="2"/>
    <n v="2"/>
  </r>
  <r>
    <n v="217"/>
    <x v="0"/>
    <x v="216"/>
    <s v="Snacks"/>
    <x v="5"/>
    <x v="0"/>
    <n v="38"/>
    <n v="180"/>
    <n v="6840"/>
    <n v="12"/>
    <x v="1"/>
    <m/>
  </r>
  <r>
    <n v="218"/>
    <x v="1"/>
    <x v="217"/>
    <s v="Bread"/>
    <x v="0"/>
    <x v="1"/>
    <n v="91"/>
    <n v="90"/>
    <n v="8190"/>
    <n v="10"/>
    <x v="2"/>
    <n v="2"/>
  </r>
  <r>
    <n v="219"/>
    <x v="0"/>
    <x v="218"/>
    <s v="Paneer"/>
    <x v="2"/>
    <x v="2"/>
    <n v="245"/>
    <n v="180"/>
    <n v="44100"/>
    <n v="19"/>
    <x v="2"/>
    <m/>
  </r>
  <r>
    <n v="220"/>
    <x v="0"/>
    <x v="219"/>
    <s v="Biscuits"/>
    <x v="0"/>
    <x v="4"/>
    <n v="68"/>
    <n v="90"/>
    <n v="6120"/>
    <n v="21"/>
    <x v="2"/>
    <m/>
  </r>
  <r>
    <n v="221"/>
    <x v="0"/>
    <x v="220"/>
    <s v="Bread"/>
    <x v="0"/>
    <x v="3"/>
    <n v="194"/>
    <n v="45"/>
    <n v="8730"/>
    <n v="16"/>
    <x v="2"/>
    <n v="3"/>
  </r>
  <r>
    <n v="222"/>
    <x v="1"/>
    <x v="221"/>
    <s v="Eggs"/>
    <x v="4"/>
    <x v="4"/>
    <n v="216"/>
    <n v="45"/>
    <n v="9720"/>
    <n v="9"/>
    <x v="2"/>
    <m/>
  </r>
  <r>
    <n v="223"/>
    <x v="1"/>
    <x v="222"/>
    <s v="Atta"/>
    <x v="1"/>
    <x v="1"/>
    <n v="42"/>
    <n v="45"/>
    <n v="1890"/>
    <n v="17"/>
    <x v="1"/>
    <n v="4"/>
  </r>
  <r>
    <n v="224"/>
    <x v="0"/>
    <x v="223"/>
    <s v="Rice"/>
    <x v="1"/>
    <x v="4"/>
    <n v="215"/>
    <n v="135"/>
    <n v="29025"/>
    <n v="21"/>
    <x v="1"/>
    <n v="5"/>
  </r>
  <r>
    <n v="225"/>
    <x v="0"/>
    <x v="224"/>
    <s v="Butter"/>
    <x v="2"/>
    <x v="1"/>
    <n v="64"/>
    <n v="135"/>
    <n v="8640"/>
    <n v="12"/>
    <x v="1"/>
    <n v="3"/>
  </r>
  <r>
    <n v="226"/>
    <x v="1"/>
    <x v="225"/>
    <s v="Juice"/>
    <x v="3"/>
    <x v="1"/>
    <n v="42"/>
    <n v="225"/>
    <n v="9450"/>
    <n v="15"/>
    <x v="2"/>
    <n v="5"/>
  </r>
  <r>
    <n v="227"/>
    <x v="1"/>
    <x v="226"/>
    <s v="Rice"/>
    <x v="1"/>
    <x v="1"/>
    <n v="198"/>
    <n v="135"/>
    <n v="26730"/>
    <n v="9"/>
    <x v="2"/>
    <n v="4"/>
  </r>
  <r>
    <n v="228"/>
    <x v="1"/>
    <x v="227"/>
    <s v="Juice"/>
    <x v="3"/>
    <x v="0"/>
    <n v="129"/>
    <n v="225"/>
    <n v="29025"/>
    <n v="12"/>
    <x v="0"/>
    <n v="4"/>
  </r>
  <r>
    <n v="229"/>
    <x v="0"/>
    <x v="228"/>
    <s v="Biscuits"/>
    <x v="0"/>
    <x v="3"/>
    <n v="216"/>
    <n v="180"/>
    <n v="38880"/>
    <n v="12"/>
    <x v="1"/>
    <m/>
  </r>
  <r>
    <n v="230"/>
    <x v="0"/>
    <x v="229"/>
    <s v="Bread"/>
    <x v="0"/>
    <x v="2"/>
    <n v="146"/>
    <n v="135"/>
    <n v="19710"/>
    <n v="18"/>
    <x v="1"/>
    <n v="1"/>
  </r>
  <r>
    <n v="231"/>
    <x v="1"/>
    <x v="230"/>
    <s v="Coke"/>
    <x v="3"/>
    <x v="0"/>
    <n v="90"/>
    <n v="45"/>
    <n v="4050"/>
    <n v="19"/>
    <x v="1"/>
    <n v="3"/>
  </r>
  <r>
    <n v="232"/>
    <x v="0"/>
    <x v="231"/>
    <s v="Milk"/>
    <x v="2"/>
    <x v="2"/>
    <n v="42"/>
    <n v="135"/>
    <n v="5670"/>
    <n v="20"/>
    <x v="2"/>
    <n v="4"/>
  </r>
  <r>
    <n v="233"/>
    <x v="1"/>
    <x v="232"/>
    <s v="Atta"/>
    <x v="1"/>
    <x v="0"/>
    <n v="58"/>
    <n v="225"/>
    <n v="13050"/>
    <n v="16"/>
    <x v="1"/>
    <m/>
  </r>
  <r>
    <n v="234"/>
    <x v="1"/>
    <x v="233"/>
    <s v="Juice"/>
    <x v="3"/>
    <x v="3"/>
    <n v="139"/>
    <n v="90"/>
    <n v="12510"/>
    <n v="12"/>
    <x v="0"/>
    <n v="4"/>
  </r>
  <r>
    <n v="235"/>
    <x v="0"/>
    <x v="234"/>
    <s v="Coke"/>
    <x v="3"/>
    <x v="4"/>
    <n v="250"/>
    <n v="45"/>
    <n v="11250"/>
    <n v="12"/>
    <x v="0"/>
    <m/>
  </r>
  <r>
    <n v="236"/>
    <x v="0"/>
    <x v="235"/>
    <s v="Snacks"/>
    <x v="5"/>
    <x v="4"/>
    <n v="137"/>
    <n v="180"/>
    <n v="24660"/>
    <n v="18"/>
    <x v="1"/>
    <n v="1"/>
  </r>
  <r>
    <n v="237"/>
    <x v="1"/>
    <x v="236"/>
    <s v="Milk"/>
    <x v="2"/>
    <x v="1"/>
    <n v="83"/>
    <n v="90"/>
    <n v="7470"/>
    <n v="11"/>
    <x v="2"/>
    <n v="3"/>
  </r>
  <r>
    <n v="238"/>
    <x v="1"/>
    <x v="237"/>
    <s v="Eggs"/>
    <x v="4"/>
    <x v="2"/>
    <n v="138"/>
    <n v="45"/>
    <n v="6210"/>
    <n v="13"/>
    <x v="1"/>
    <n v="4"/>
  </r>
  <r>
    <n v="239"/>
    <x v="0"/>
    <x v="238"/>
    <s v="Juice"/>
    <x v="3"/>
    <x v="0"/>
    <n v="56"/>
    <n v="180"/>
    <n v="10080"/>
    <n v="17"/>
    <x v="1"/>
    <n v="4"/>
  </r>
  <r>
    <n v="240"/>
    <x v="1"/>
    <x v="239"/>
    <s v="Coke"/>
    <x v="3"/>
    <x v="1"/>
    <n v="67"/>
    <n v="225"/>
    <n v="15075"/>
    <n v="20"/>
    <x v="2"/>
    <n v="1"/>
  </r>
  <r>
    <n v="241"/>
    <x v="0"/>
    <x v="240"/>
    <s v="Biscuits"/>
    <x v="0"/>
    <x v="0"/>
    <n v="228"/>
    <n v="90"/>
    <n v="20520"/>
    <n v="23"/>
    <x v="0"/>
    <n v="3"/>
  </r>
  <r>
    <n v="242"/>
    <x v="0"/>
    <x v="241"/>
    <s v="Atta"/>
    <x v="1"/>
    <x v="1"/>
    <n v="45"/>
    <n v="225"/>
    <n v="10125"/>
    <n v="12"/>
    <x v="0"/>
    <n v="2"/>
  </r>
  <r>
    <n v="243"/>
    <x v="0"/>
    <x v="242"/>
    <s v="Rice"/>
    <x v="1"/>
    <x v="0"/>
    <n v="203"/>
    <n v="180"/>
    <n v="36540"/>
    <n v="14"/>
    <x v="2"/>
    <n v="2"/>
  </r>
  <r>
    <n v="244"/>
    <x v="1"/>
    <x v="243"/>
    <s v="Rice"/>
    <x v="1"/>
    <x v="2"/>
    <n v="69"/>
    <n v="45"/>
    <n v="3105"/>
    <n v="13"/>
    <x v="1"/>
    <n v="2"/>
  </r>
  <r>
    <n v="245"/>
    <x v="1"/>
    <x v="244"/>
    <s v="Rice"/>
    <x v="1"/>
    <x v="2"/>
    <n v="97"/>
    <n v="90"/>
    <n v="8730"/>
    <n v="10"/>
    <x v="1"/>
    <n v="3"/>
  </r>
  <r>
    <n v="246"/>
    <x v="1"/>
    <x v="245"/>
    <s v="Eggs"/>
    <x v="4"/>
    <x v="2"/>
    <n v="62"/>
    <n v="90"/>
    <n v="5580"/>
    <n v="9"/>
    <x v="2"/>
    <n v="1"/>
  </r>
  <r>
    <n v="247"/>
    <x v="0"/>
    <x v="246"/>
    <s v="Atta"/>
    <x v="1"/>
    <x v="0"/>
    <n v="199"/>
    <n v="45"/>
    <n v="8955"/>
    <n v="19"/>
    <x v="1"/>
    <m/>
  </r>
  <r>
    <n v="248"/>
    <x v="1"/>
    <x v="247"/>
    <s v="Paneer"/>
    <x v="2"/>
    <x v="1"/>
    <n v="81"/>
    <n v="225"/>
    <n v="18225"/>
    <n v="7"/>
    <x v="0"/>
    <n v="1"/>
  </r>
  <r>
    <n v="249"/>
    <x v="1"/>
    <x v="248"/>
    <s v="Coke"/>
    <x v="3"/>
    <x v="0"/>
    <n v="196"/>
    <n v="225"/>
    <n v="44100"/>
    <n v="13"/>
    <x v="1"/>
    <n v="1"/>
  </r>
  <r>
    <n v="250"/>
    <x v="0"/>
    <x v="249"/>
    <s v="Paneer"/>
    <x v="2"/>
    <x v="0"/>
    <n v="179"/>
    <n v="180"/>
    <n v="32220"/>
    <n v="11"/>
    <x v="0"/>
    <n v="1"/>
  </r>
  <r>
    <n v="251"/>
    <x v="0"/>
    <x v="250"/>
    <s v="Paneer"/>
    <x v="2"/>
    <x v="3"/>
    <n v="93"/>
    <n v="135"/>
    <n v="12555"/>
    <n v="21"/>
    <x v="1"/>
    <n v="5"/>
  </r>
  <r>
    <n v="252"/>
    <x v="0"/>
    <x v="251"/>
    <s v="Paneer"/>
    <x v="2"/>
    <x v="1"/>
    <n v="37"/>
    <n v="225"/>
    <n v="8325"/>
    <n v="25"/>
    <x v="2"/>
    <n v="5"/>
  </r>
  <r>
    <n v="253"/>
    <x v="0"/>
    <x v="252"/>
    <s v="Butter"/>
    <x v="2"/>
    <x v="4"/>
    <n v="43"/>
    <n v="90"/>
    <n v="3870"/>
    <n v="13"/>
    <x v="2"/>
    <n v="1"/>
  </r>
  <r>
    <n v="254"/>
    <x v="1"/>
    <x v="253"/>
    <s v="Snacks"/>
    <x v="5"/>
    <x v="3"/>
    <n v="219"/>
    <n v="135"/>
    <n v="29565"/>
    <n v="15"/>
    <x v="0"/>
    <n v="2"/>
  </r>
  <r>
    <n v="255"/>
    <x v="0"/>
    <x v="254"/>
    <s v="Biscuits"/>
    <x v="0"/>
    <x v="3"/>
    <n v="217"/>
    <n v="90"/>
    <n v="19530"/>
    <n v="12"/>
    <x v="2"/>
    <n v="1"/>
  </r>
  <r>
    <n v="256"/>
    <x v="0"/>
    <x v="255"/>
    <s v="Juice"/>
    <x v="3"/>
    <x v="4"/>
    <n v="63"/>
    <n v="225"/>
    <n v="14175"/>
    <n v="17"/>
    <x v="2"/>
    <n v="5"/>
  </r>
  <r>
    <n v="257"/>
    <x v="1"/>
    <x v="256"/>
    <s v="Butter"/>
    <x v="2"/>
    <x v="2"/>
    <n v="46"/>
    <n v="90"/>
    <n v="4140"/>
    <n v="11"/>
    <x v="0"/>
    <n v="5"/>
  </r>
  <r>
    <n v="258"/>
    <x v="0"/>
    <x v="257"/>
    <s v="Butter"/>
    <x v="2"/>
    <x v="4"/>
    <n v="62"/>
    <n v="180"/>
    <n v="11160"/>
    <n v="14"/>
    <x v="0"/>
    <m/>
  </r>
  <r>
    <n v="259"/>
    <x v="0"/>
    <x v="258"/>
    <s v="Eggs"/>
    <x v="4"/>
    <x v="0"/>
    <n v="123"/>
    <n v="45"/>
    <n v="5535"/>
    <n v="10"/>
    <x v="2"/>
    <n v="5"/>
  </r>
  <r>
    <n v="260"/>
    <x v="1"/>
    <x v="259"/>
    <s v="Juice"/>
    <x v="3"/>
    <x v="3"/>
    <n v="54"/>
    <n v="45"/>
    <n v="2430"/>
    <n v="13"/>
    <x v="0"/>
    <n v="4"/>
  </r>
  <r>
    <n v="261"/>
    <x v="0"/>
    <x v="260"/>
    <s v="Bread"/>
    <x v="0"/>
    <x v="1"/>
    <n v="85"/>
    <n v="90"/>
    <n v="7650"/>
    <n v="12"/>
    <x v="2"/>
    <n v="5"/>
  </r>
  <r>
    <n v="262"/>
    <x v="1"/>
    <x v="261"/>
    <s v="Eggs"/>
    <x v="4"/>
    <x v="1"/>
    <n v="125"/>
    <n v="180"/>
    <n v="22500"/>
    <n v="16"/>
    <x v="1"/>
    <n v="2"/>
  </r>
  <r>
    <n v="263"/>
    <x v="0"/>
    <x v="262"/>
    <s v="Paneer"/>
    <x v="2"/>
    <x v="0"/>
    <n v="229"/>
    <n v="90"/>
    <n v="20610"/>
    <n v="12"/>
    <x v="1"/>
    <m/>
  </r>
  <r>
    <n v="264"/>
    <x v="0"/>
    <x v="263"/>
    <s v="Milk"/>
    <x v="2"/>
    <x v="2"/>
    <n v="70"/>
    <n v="90"/>
    <n v="6300"/>
    <n v="14"/>
    <x v="0"/>
    <n v="5"/>
  </r>
  <r>
    <n v="265"/>
    <x v="0"/>
    <x v="264"/>
    <s v="Milk"/>
    <x v="2"/>
    <x v="2"/>
    <n v="141"/>
    <n v="180"/>
    <n v="25380"/>
    <n v="10"/>
    <x v="0"/>
    <n v="5"/>
  </r>
  <r>
    <n v="266"/>
    <x v="0"/>
    <x v="265"/>
    <s v="Biscuits"/>
    <x v="0"/>
    <x v="4"/>
    <n v="135"/>
    <n v="180"/>
    <n v="24300"/>
    <n v="23"/>
    <x v="2"/>
    <m/>
  </r>
  <r>
    <n v="267"/>
    <x v="0"/>
    <x v="266"/>
    <s v="Rice"/>
    <x v="1"/>
    <x v="0"/>
    <n v="149"/>
    <n v="135"/>
    <n v="20115"/>
    <n v="14"/>
    <x v="1"/>
    <n v="3"/>
  </r>
  <r>
    <n v="268"/>
    <x v="1"/>
    <x v="267"/>
    <s v="Milk"/>
    <x v="2"/>
    <x v="1"/>
    <n v="58"/>
    <n v="135"/>
    <n v="7830"/>
    <n v="20"/>
    <x v="2"/>
    <n v="4"/>
  </r>
  <r>
    <n v="269"/>
    <x v="0"/>
    <x v="268"/>
    <s v="Atta"/>
    <x v="1"/>
    <x v="2"/>
    <n v="227"/>
    <n v="45"/>
    <n v="10215"/>
    <n v="19"/>
    <x v="0"/>
    <n v="3"/>
  </r>
  <r>
    <n v="270"/>
    <x v="0"/>
    <x v="269"/>
    <s v="Biscuits"/>
    <x v="0"/>
    <x v="2"/>
    <n v="141"/>
    <n v="135"/>
    <n v="19035"/>
    <n v="12"/>
    <x v="2"/>
    <n v="4"/>
  </r>
  <r>
    <n v="271"/>
    <x v="1"/>
    <x v="270"/>
    <s v="Biscuits"/>
    <x v="0"/>
    <x v="0"/>
    <n v="81"/>
    <n v="45"/>
    <n v="3645"/>
    <n v="19"/>
    <x v="1"/>
    <n v="5"/>
  </r>
  <r>
    <n v="272"/>
    <x v="0"/>
    <x v="271"/>
    <s v="Milk"/>
    <x v="2"/>
    <x v="0"/>
    <n v="134"/>
    <n v="45"/>
    <n v="6030"/>
    <n v="24"/>
    <x v="0"/>
    <n v="3"/>
  </r>
  <r>
    <n v="273"/>
    <x v="0"/>
    <x v="272"/>
    <s v="Milk"/>
    <x v="2"/>
    <x v="3"/>
    <n v="69"/>
    <n v="45"/>
    <n v="3105"/>
    <n v="24"/>
    <x v="2"/>
    <n v="5"/>
  </r>
  <r>
    <n v="274"/>
    <x v="0"/>
    <x v="273"/>
    <s v="Eggs"/>
    <x v="4"/>
    <x v="4"/>
    <n v="183"/>
    <n v="45"/>
    <n v="8235"/>
    <n v="21"/>
    <x v="0"/>
    <n v="4"/>
  </r>
  <r>
    <n v="275"/>
    <x v="0"/>
    <x v="274"/>
    <s v="Atta"/>
    <x v="1"/>
    <x v="3"/>
    <n v="84"/>
    <n v="180"/>
    <n v="15120"/>
    <n v="25"/>
    <x v="1"/>
    <n v="3"/>
  </r>
  <r>
    <n v="276"/>
    <x v="0"/>
    <x v="275"/>
    <s v="Butter"/>
    <x v="2"/>
    <x v="1"/>
    <n v="249"/>
    <n v="135"/>
    <n v="33615"/>
    <n v="14"/>
    <x v="0"/>
    <n v="3"/>
  </r>
  <r>
    <n v="277"/>
    <x v="1"/>
    <x v="276"/>
    <s v="Snacks"/>
    <x v="5"/>
    <x v="2"/>
    <n v="229"/>
    <n v="225"/>
    <n v="51525"/>
    <n v="17"/>
    <x v="0"/>
    <n v="2"/>
  </r>
  <r>
    <n v="278"/>
    <x v="0"/>
    <x v="277"/>
    <s v="Juice"/>
    <x v="3"/>
    <x v="1"/>
    <n v="44"/>
    <n v="180"/>
    <n v="7920"/>
    <n v="12"/>
    <x v="0"/>
    <n v="4"/>
  </r>
  <r>
    <n v="279"/>
    <x v="0"/>
    <x v="278"/>
    <s v="Biscuits"/>
    <x v="0"/>
    <x v="4"/>
    <n v="198"/>
    <n v="135"/>
    <n v="26730"/>
    <n v="10"/>
    <x v="0"/>
    <m/>
  </r>
  <r>
    <n v="280"/>
    <x v="1"/>
    <x v="279"/>
    <s v="Coke"/>
    <x v="3"/>
    <x v="0"/>
    <n v="112"/>
    <n v="90"/>
    <n v="10080"/>
    <n v="18"/>
    <x v="0"/>
    <n v="2"/>
  </r>
  <r>
    <n v="281"/>
    <x v="1"/>
    <x v="280"/>
    <s v="Milk"/>
    <x v="2"/>
    <x v="0"/>
    <n v="39"/>
    <n v="90"/>
    <n v="3510"/>
    <n v="12"/>
    <x v="2"/>
    <n v="5"/>
  </r>
  <r>
    <n v="282"/>
    <x v="0"/>
    <x v="281"/>
    <s v="Rice"/>
    <x v="1"/>
    <x v="3"/>
    <n v="187"/>
    <n v="45"/>
    <n v="8415"/>
    <n v="12"/>
    <x v="1"/>
    <n v="2"/>
  </r>
  <r>
    <n v="283"/>
    <x v="1"/>
    <x v="282"/>
    <s v="Snacks"/>
    <x v="5"/>
    <x v="3"/>
    <n v="182"/>
    <n v="180"/>
    <n v="32760"/>
    <n v="17"/>
    <x v="2"/>
    <n v="3"/>
  </r>
  <r>
    <n v="284"/>
    <x v="1"/>
    <x v="283"/>
    <s v="Eggs"/>
    <x v="4"/>
    <x v="1"/>
    <n v="31"/>
    <n v="90"/>
    <n v="2790"/>
    <n v="18"/>
    <x v="2"/>
    <n v="5"/>
  </r>
  <r>
    <n v="285"/>
    <x v="1"/>
    <x v="284"/>
    <s v="Milk"/>
    <x v="2"/>
    <x v="2"/>
    <n v="236"/>
    <n v="135"/>
    <n v="31860"/>
    <n v="19"/>
    <x v="1"/>
    <m/>
  </r>
  <r>
    <n v="286"/>
    <x v="1"/>
    <x v="285"/>
    <s v="Rice"/>
    <x v="1"/>
    <x v="4"/>
    <n v="129"/>
    <n v="225"/>
    <n v="29025"/>
    <n v="8"/>
    <x v="0"/>
    <m/>
  </r>
  <r>
    <n v="287"/>
    <x v="1"/>
    <x v="286"/>
    <s v="Snacks"/>
    <x v="5"/>
    <x v="1"/>
    <n v="186"/>
    <n v="225"/>
    <n v="41850"/>
    <n v="7"/>
    <x v="1"/>
    <m/>
  </r>
  <r>
    <n v="288"/>
    <x v="0"/>
    <x v="287"/>
    <s v="Juice"/>
    <x v="3"/>
    <x v="1"/>
    <n v="226"/>
    <n v="225"/>
    <n v="50850"/>
    <n v="13"/>
    <x v="0"/>
    <n v="3"/>
  </r>
  <r>
    <n v="289"/>
    <x v="1"/>
    <x v="288"/>
    <s v="Juice"/>
    <x v="3"/>
    <x v="3"/>
    <n v="46"/>
    <n v="135"/>
    <n v="6210"/>
    <n v="19"/>
    <x v="2"/>
    <n v="4"/>
  </r>
  <r>
    <n v="290"/>
    <x v="0"/>
    <x v="289"/>
    <s v="Juice"/>
    <x v="3"/>
    <x v="0"/>
    <n v="224"/>
    <n v="180"/>
    <n v="40320"/>
    <n v="23"/>
    <x v="2"/>
    <n v="3"/>
  </r>
  <r>
    <n v="291"/>
    <x v="0"/>
    <x v="290"/>
    <s v="Milk"/>
    <x v="2"/>
    <x v="2"/>
    <n v="200"/>
    <n v="135"/>
    <n v="27000"/>
    <n v="13"/>
    <x v="1"/>
    <n v="2"/>
  </r>
  <r>
    <n v="292"/>
    <x v="1"/>
    <x v="291"/>
    <s v="Snacks"/>
    <x v="5"/>
    <x v="2"/>
    <n v="155"/>
    <n v="225"/>
    <n v="34875"/>
    <n v="17"/>
    <x v="1"/>
    <n v="2"/>
  </r>
  <r>
    <n v="293"/>
    <x v="0"/>
    <x v="292"/>
    <s v="Biscuits"/>
    <x v="0"/>
    <x v="0"/>
    <n v="194"/>
    <n v="135"/>
    <n v="26190"/>
    <n v="18"/>
    <x v="2"/>
    <n v="3"/>
  </r>
  <r>
    <n v="294"/>
    <x v="1"/>
    <x v="293"/>
    <s v="Snacks"/>
    <x v="5"/>
    <x v="4"/>
    <n v="204"/>
    <n v="45"/>
    <n v="9180"/>
    <n v="8"/>
    <x v="2"/>
    <n v="5"/>
  </r>
  <r>
    <n v="295"/>
    <x v="0"/>
    <x v="294"/>
    <s v="Bread"/>
    <x v="0"/>
    <x v="2"/>
    <n v="150"/>
    <n v="90"/>
    <n v="13500"/>
    <n v="15"/>
    <x v="1"/>
    <n v="3"/>
  </r>
  <r>
    <n v="296"/>
    <x v="1"/>
    <x v="295"/>
    <s v="Snacks"/>
    <x v="5"/>
    <x v="1"/>
    <n v="97"/>
    <n v="45"/>
    <n v="4365"/>
    <n v="18"/>
    <x v="2"/>
    <n v="1"/>
  </r>
  <r>
    <n v="297"/>
    <x v="0"/>
    <x v="296"/>
    <s v="Bread"/>
    <x v="0"/>
    <x v="3"/>
    <n v="215"/>
    <n v="45"/>
    <n v="9675"/>
    <n v="19"/>
    <x v="0"/>
    <n v="1"/>
  </r>
  <r>
    <n v="298"/>
    <x v="0"/>
    <x v="297"/>
    <s v="Rice"/>
    <x v="1"/>
    <x v="2"/>
    <n v="174"/>
    <n v="45"/>
    <n v="7830"/>
    <n v="14"/>
    <x v="1"/>
    <n v="1"/>
  </r>
  <r>
    <n v="299"/>
    <x v="0"/>
    <x v="298"/>
    <s v="Coke"/>
    <x v="3"/>
    <x v="4"/>
    <n v="143"/>
    <n v="225"/>
    <n v="32175"/>
    <n v="16"/>
    <x v="0"/>
    <n v="2"/>
  </r>
  <r>
    <n v="300"/>
    <x v="1"/>
    <x v="299"/>
    <s v="Eggs"/>
    <x v="4"/>
    <x v="2"/>
    <n v="124"/>
    <n v="180"/>
    <n v="22320"/>
    <n v="20"/>
    <x v="2"/>
    <n v="1"/>
  </r>
  <r>
    <n v="301"/>
    <x v="0"/>
    <x v="300"/>
    <s v="Rice"/>
    <x v="1"/>
    <x v="2"/>
    <n v="96"/>
    <n v="225"/>
    <n v="21600"/>
    <n v="15"/>
    <x v="1"/>
    <n v="3"/>
  </r>
  <r>
    <n v="302"/>
    <x v="0"/>
    <x v="301"/>
    <s v="Paneer"/>
    <x v="2"/>
    <x v="4"/>
    <n v="207"/>
    <n v="135"/>
    <n v="27945"/>
    <n v="17"/>
    <x v="2"/>
    <m/>
  </r>
  <r>
    <n v="303"/>
    <x v="0"/>
    <x v="302"/>
    <s v="Biscuits"/>
    <x v="0"/>
    <x v="3"/>
    <n v="241"/>
    <n v="45"/>
    <n v="10845"/>
    <n v="18"/>
    <x v="1"/>
    <n v="1"/>
  </r>
  <r>
    <n v="304"/>
    <x v="0"/>
    <x v="303"/>
    <s v="Butter"/>
    <x v="2"/>
    <x v="0"/>
    <n v="213"/>
    <n v="45"/>
    <n v="9585"/>
    <n v="23"/>
    <x v="0"/>
    <n v="1"/>
  </r>
  <r>
    <n v="305"/>
    <x v="0"/>
    <x v="304"/>
    <s v="Biscuits"/>
    <x v="0"/>
    <x v="2"/>
    <n v="218"/>
    <n v="135"/>
    <n v="29430"/>
    <n v="11"/>
    <x v="2"/>
    <n v="5"/>
  </r>
  <r>
    <n v="306"/>
    <x v="0"/>
    <x v="305"/>
    <s v="Juice"/>
    <x v="3"/>
    <x v="4"/>
    <n v="69"/>
    <n v="225"/>
    <n v="15525"/>
    <n v="20"/>
    <x v="0"/>
    <n v="1"/>
  </r>
  <r>
    <n v="307"/>
    <x v="1"/>
    <x v="306"/>
    <s v="Atta"/>
    <x v="1"/>
    <x v="0"/>
    <n v="206"/>
    <n v="45"/>
    <n v="9270"/>
    <n v="12"/>
    <x v="1"/>
    <m/>
  </r>
  <r>
    <n v="308"/>
    <x v="0"/>
    <x v="307"/>
    <s v="Paneer"/>
    <x v="2"/>
    <x v="1"/>
    <n v="45"/>
    <n v="45"/>
    <n v="2025"/>
    <n v="18"/>
    <x v="1"/>
    <n v="1"/>
  </r>
  <r>
    <n v="309"/>
    <x v="1"/>
    <x v="308"/>
    <s v="Milk"/>
    <x v="2"/>
    <x v="2"/>
    <n v="61"/>
    <n v="90"/>
    <n v="5490"/>
    <n v="19"/>
    <x v="2"/>
    <n v="1"/>
  </r>
  <r>
    <n v="310"/>
    <x v="0"/>
    <x v="309"/>
    <s v="Snacks"/>
    <x v="5"/>
    <x v="0"/>
    <n v="161"/>
    <n v="135"/>
    <n v="21735"/>
    <n v="22"/>
    <x v="1"/>
    <m/>
  </r>
  <r>
    <n v="311"/>
    <x v="0"/>
    <x v="310"/>
    <s v="Eggs"/>
    <x v="4"/>
    <x v="2"/>
    <n v="93"/>
    <n v="90"/>
    <n v="8370"/>
    <n v="18"/>
    <x v="2"/>
    <n v="2"/>
  </r>
  <r>
    <n v="312"/>
    <x v="0"/>
    <x v="311"/>
    <s v="Milk"/>
    <x v="2"/>
    <x v="0"/>
    <n v="100"/>
    <n v="180"/>
    <n v="18000"/>
    <n v="25"/>
    <x v="2"/>
    <n v="4"/>
  </r>
  <r>
    <n v="313"/>
    <x v="0"/>
    <x v="312"/>
    <s v="Eggs"/>
    <x v="4"/>
    <x v="0"/>
    <n v="154"/>
    <n v="45"/>
    <n v="6930"/>
    <n v="16"/>
    <x v="1"/>
    <n v="3"/>
  </r>
  <r>
    <n v="314"/>
    <x v="1"/>
    <x v="313"/>
    <s v="Coke"/>
    <x v="3"/>
    <x v="4"/>
    <n v="91"/>
    <n v="225"/>
    <n v="20475"/>
    <n v="12"/>
    <x v="2"/>
    <n v="2"/>
  </r>
  <r>
    <n v="315"/>
    <x v="1"/>
    <x v="314"/>
    <s v="Milk"/>
    <x v="2"/>
    <x v="2"/>
    <n v="44"/>
    <n v="90"/>
    <n v="3960"/>
    <n v="12"/>
    <x v="1"/>
    <n v="1"/>
  </r>
  <r>
    <n v="316"/>
    <x v="1"/>
    <x v="315"/>
    <s v="Coke"/>
    <x v="3"/>
    <x v="0"/>
    <n v="40"/>
    <n v="135"/>
    <n v="5400"/>
    <n v="11"/>
    <x v="2"/>
    <n v="3"/>
  </r>
  <r>
    <n v="317"/>
    <x v="0"/>
    <x v="316"/>
    <s v="Butter"/>
    <x v="2"/>
    <x v="3"/>
    <n v="117"/>
    <n v="225"/>
    <n v="26325"/>
    <n v="22"/>
    <x v="0"/>
    <n v="1"/>
  </r>
  <r>
    <n v="318"/>
    <x v="1"/>
    <x v="317"/>
    <s v="Milk"/>
    <x v="2"/>
    <x v="1"/>
    <n v="151"/>
    <n v="180"/>
    <n v="27180"/>
    <n v="14"/>
    <x v="2"/>
    <n v="5"/>
  </r>
  <r>
    <n v="319"/>
    <x v="0"/>
    <x v="318"/>
    <s v="Eggs"/>
    <x v="4"/>
    <x v="3"/>
    <n v="158"/>
    <n v="135"/>
    <n v="21330"/>
    <n v="16"/>
    <x v="1"/>
    <n v="3"/>
  </r>
  <r>
    <n v="320"/>
    <x v="0"/>
    <x v="319"/>
    <s v="Rice"/>
    <x v="1"/>
    <x v="2"/>
    <n v="208"/>
    <n v="135"/>
    <n v="28080"/>
    <n v="18"/>
    <x v="2"/>
    <m/>
  </r>
  <r>
    <n v="321"/>
    <x v="1"/>
    <x v="320"/>
    <s v="Milk"/>
    <x v="2"/>
    <x v="1"/>
    <n v="56"/>
    <n v="45"/>
    <n v="2520"/>
    <n v="15"/>
    <x v="0"/>
    <m/>
  </r>
  <r>
    <n v="322"/>
    <x v="0"/>
    <x v="321"/>
    <s v="Milk"/>
    <x v="2"/>
    <x v="0"/>
    <n v="86"/>
    <n v="135"/>
    <n v="11610"/>
    <n v="13"/>
    <x v="1"/>
    <n v="2"/>
  </r>
  <r>
    <n v="323"/>
    <x v="0"/>
    <x v="322"/>
    <s v="Paneer"/>
    <x v="2"/>
    <x v="2"/>
    <n v="45"/>
    <n v="135"/>
    <n v="6075"/>
    <n v="25"/>
    <x v="2"/>
    <m/>
  </r>
  <r>
    <n v="324"/>
    <x v="0"/>
    <x v="323"/>
    <s v="Atta"/>
    <x v="1"/>
    <x v="3"/>
    <n v="156"/>
    <n v="180"/>
    <n v="28080"/>
    <n v="10"/>
    <x v="0"/>
    <n v="2"/>
  </r>
  <r>
    <n v="325"/>
    <x v="0"/>
    <x v="324"/>
    <s v="Butter"/>
    <x v="2"/>
    <x v="1"/>
    <n v="224"/>
    <n v="225"/>
    <n v="50400"/>
    <n v="12"/>
    <x v="0"/>
    <n v="1"/>
  </r>
  <r>
    <n v="326"/>
    <x v="0"/>
    <x v="325"/>
    <s v="Butter"/>
    <x v="2"/>
    <x v="4"/>
    <n v="237"/>
    <n v="180"/>
    <n v="42660"/>
    <n v="13"/>
    <x v="0"/>
    <n v="2"/>
  </r>
  <r>
    <n v="327"/>
    <x v="1"/>
    <x v="326"/>
    <s v="Juice"/>
    <x v="3"/>
    <x v="0"/>
    <n v="40"/>
    <n v="45"/>
    <n v="1800"/>
    <n v="13"/>
    <x v="2"/>
    <n v="3"/>
  </r>
  <r>
    <n v="328"/>
    <x v="1"/>
    <x v="327"/>
    <s v="Coke"/>
    <x v="3"/>
    <x v="0"/>
    <n v="224"/>
    <n v="45"/>
    <n v="10080"/>
    <n v="10"/>
    <x v="0"/>
    <n v="4"/>
  </r>
  <r>
    <n v="329"/>
    <x v="1"/>
    <x v="328"/>
    <s v="Rice"/>
    <x v="1"/>
    <x v="3"/>
    <n v="163"/>
    <n v="45"/>
    <n v="7335"/>
    <n v="18"/>
    <x v="1"/>
    <n v="1"/>
  </r>
  <r>
    <n v="330"/>
    <x v="0"/>
    <x v="329"/>
    <s v="Snacks"/>
    <x v="5"/>
    <x v="1"/>
    <n v="144"/>
    <n v="180"/>
    <n v="25920"/>
    <n v="10"/>
    <x v="1"/>
    <n v="1"/>
  </r>
  <r>
    <n v="331"/>
    <x v="0"/>
    <x v="330"/>
    <s v="Atta"/>
    <x v="1"/>
    <x v="0"/>
    <n v="51"/>
    <n v="180"/>
    <n v="9180"/>
    <n v="24"/>
    <x v="1"/>
    <m/>
  </r>
  <r>
    <n v="332"/>
    <x v="0"/>
    <x v="331"/>
    <s v="Butter"/>
    <x v="2"/>
    <x v="1"/>
    <n v="65"/>
    <n v="225"/>
    <n v="14625"/>
    <n v="19"/>
    <x v="1"/>
    <n v="5"/>
  </r>
  <r>
    <n v="333"/>
    <x v="1"/>
    <x v="332"/>
    <s v="Juice"/>
    <x v="3"/>
    <x v="1"/>
    <n v="59"/>
    <n v="45"/>
    <n v="2655"/>
    <n v="17"/>
    <x v="2"/>
    <m/>
  </r>
  <r>
    <n v="334"/>
    <x v="0"/>
    <x v="333"/>
    <s v="Milk"/>
    <x v="2"/>
    <x v="2"/>
    <n v="66"/>
    <n v="90"/>
    <n v="5940"/>
    <n v="10"/>
    <x v="1"/>
    <n v="2"/>
  </r>
  <r>
    <n v="335"/>
    <x v="1"/>
    <x v="334"/>
    <s v="Butter"/>
    <x v="2"/>
    <x v="4"/>
    <n v="150"/>
    <n v="90"/>
    <n v="13500"/>
    <n v="10"/>
    <x v="0"/>
    <n v="3"/>
  </r>
  <r>
    <n v="336"/>
    <x v="0"/>
    <x v="335"/>
    <s v="Coke"/>
    <x v="3"/>
    <x v="1"/>
    <n v="234"/>
    <n v="90"/>
    <n v="21060"/>
    <n v="13"/>
    <x v="2"/>
    <n v="3"/>
  </r>
  <r>
    <n v="337"/>
    <x v="0"/>
    <x v="336"/>
    <s v="Biscuits"/>
    <x v="0"/>
    <x v="1"/>
    <n v="94"/>
    <n v="225"/>
    <n v="21150"/>
    <n v="11"/>
    <x v="2"/>
    <n v="5"/>
  </r>
  <r>
    <n v="338"/>
    <x v="0"/>
    <x v="337"/>
    <s v="Atta"/>
    <x v="1"/>
    <x v="3"/>
    <n v="142"/>
    <n v="225"/>
    <n v="31950"/>
    <n v="24"/>
    <x v="1"/>
    <n v="4"/>
  </r>
  <r>
    <n v="339"/>
    <x v="1"/>
    <x v="338"/>
    <s v="Rice"/>
    <x v="1"/>
    <x v="2"/>
    <n v="230"/>
    <n v="225"/>
    <n v="51750"/>
    <n v="18"/>
    <x v="1"/>
    <n v="1"/>
  </r>
  <r>
    <n v="340"/>
    <x v="1"/>
    <x v="339"/>
    <s v="Butter"/>
    <x v="2"/>
    <x v="1"/>
    <n v="206"/>
    <n v="135"/>
    <n v="27810"/>
    <n v="20"/>
    <x v="1"/>
    <n v="2"/>
  </r>
  <r>
    <n v="341"/>
    <x v="0"/>
    <x v="340"/>
    <s v="Rice"/>
    <x v="1"/>
    <x v="2"/>
    <n v="204"/>
    <n v="180"/>
    <n v="36720"/>
    <n v="15"/>
    <x v="1"/>
    <n v="5"/>
  </r>
  <r>
    <n v="342"/>
    <x v="1"/>
    <x v="341"/>
    <s v="Eggs"/>
    <x v="4"/>
    <x v="0"/>
    <n v="144"/>
    <n v="180"/>
    <n v="25920"/>
    <n v="15"/>
    <x v="0"/>
    <n v="1"/>
  </r>
  <r>
    <n v="343"/>
    <x v="1"/>
    <x v="342"/>
    <s v="Bread"/>
    <x v="0"/>
    <x v="0"/>
    <n v="219"/>
    <n v="135"/>
    <n v="29565"/>
    <n v="10"/>
    <x v="2"/>
    <n v="1"/>
  </r>
  <r>
    <n v="344"/>
    <x v="0"/>
    <x v="343"/>
    <s v="Paneer"/>
    <x v="2"/>
    <x v="3"/>
    <n v="202"/>
    <n v="45"/>
    <n v="9090"/>
    <n v="17"/>
    <x v="0"/>
    <n v="3"/>
  </r>
  <r>
    <n v="345"/>
    <x v="1"/>
    <x v="344"/>
    <s v="Coke"/>
    <x v="3"/>
    <x v="2"/>
    <n v="187"/>
    <n v="135"/>
    <n v="25245"/>
    <n v="8"/>
    <x v="1"/>
    <n v="1"/>
  </r>
  <r>
    <n v="346"/>
    <x v="1"/>
    <x v="345"/>
    <s v="Bread"/>
    <x v="0"/>
    <x v="0"/>
    <n v="95"/>
    <n v="90"/>
    <n v="8550"/>
    <n v="9"/>
    <x v="2"/>
    <n v="1"/>
  </r>
  <r>
    <n v="347"/>
    <x v="0"/>
    <x v="346"/>
    <s v="Milk"/>
    <x v="2"/>
    <x v="4"/>
    <n v="94"/>
    <n v="225"/>
    <n v="21150"/>
    <n v="20"/>
    <x v="0"/>
    <n v="1"/>
  </r>
  <r>
    <n v="348"/>
    <x v="0"/>
    <x v="347"/>
    <s v="Bread"/>
    <x v="0"/>
    <x v="1"/>
    <n v="60"/>
    <n v="45"/>
    <n v="2700"/>
    <n v="21"/>
    <x v="2"/>
    <m/>
  </r>
  <r>
    <n v="349"/>
    <x v="1"/>
    <x v="348"/>
    <s v="Milk"/>
    <x v="2"/>
    <x v="4"/>
    <n v="242"/>
    <n v="135"/>
    <n v="32670"/>
    <n v="18"/>
    <x v="2"/>
    <m/>
  </r>
  <r>
    <n v="350"/>
    <x v="0"/>
    <x v="349"/>
    <s v="Snacks"/>
    <x v="5"/>
    <x v="3"/>
    <n v="166"/>
    <n v="45"/>
    <n v="7470"/>
    <n v="13"/>
    <x v="2"/>
    <n v="1"/>
  </r>
  <r>
    <n v="351"/>
    <x v="0"/>
    <x v="350"/>
    <s v="Bread"/>
    <x v="0"/>
    <x v="0"/>
    <n v="30"/>
    <n v="180"/>
    <n v="5400"/>
    <n v="14"/>
    <x v="0"/>
    <m/>
  </r>
  <r>
    <n v="352"/>
    <x v="1"/>
    <x v="351"/>
    <s v="Butter"/>
    <x v="2"/>
    <x v="3"/>
    <n v="217"/>
    <n v="90"/>
    <n v="19530"/>
    <n v="12"/>
    <x v="1"/>
    <n v="4"/>
  </r>
  <r>
    <n v="353"/>
    <x v="0"/>
    <x v="352"/>
    <s v="Bread"/>
    <x v="0"/>
    <x v="2"/>
    <n v="148"/>
    <n v="135"/>
    <n v="19980"/>
    <n v="10"/>
    <x v="2"/>
    <n v="3"/>
  </r>
  <r>
    <n v="354"/>
    <x v="0"/>
    <x v="353"/>
    <s v="Eggs"/>
    <x v="4"/>
    <x v="2"/>
    <n v="69"/>
    <n v="90"/>
    <n v="6210"/>
    <n v="11"/>
    <x v="2"/>
    <n v="5"/>
  </r>
  <r>
    <n v="355"/>
    <x v="0"/>
    <x v="354"/>
    <s v="Snacks"/>
    <x v="5"/>
    <x v="4"/>
    <n v="50"/>
    <n v="45"/>
    <n v="2250"/>
    <n v="24"/>
    <x v="0"/>
    <n v="1"/>
  </r>
  <r>
    <n v="356"/>
    <x v="0"/>
    <x v="355"/>
    <s v="Snacks"/>
    <x v="5"/>
    <x v="2"/>
    <n v="125"/>
    <n v="180"/>
    <n v="22500"/>
    <n v="15"/>
    <x v="1"/>
    <n v="1"/>
  </r>
  <r>
    <n v="357"/>
    <x v="0"/>
    <x v="356"/>
    <s v="Rice"/>
    <x v="1"/>
    <x v="2"/>
    <n v="31"/>
    <n v="225"/>
    <n v="6975"/>
    <n v="25"/>
    <x v="1"/>
    <m/>
  </r>
  <r>
    <n v="358"/>
    <x v="1"/>
    <x v="357"/>
    <s v="Coke"/>
    <x v="3"/>
    <x v="4"/>
    <n v="205"/>
    <n v="135"/>
    <n v="27675"/>
    <n v="9"/>
    <x v="1"/>
    <n v="2"/>
  </r>
  <r>
    <n v="359"/>
    <x v="0"/>
    <x v="358"/>
    <s v="Coke"/>
    <x v="3"/>
    <x v="4"/>
    <n v="66"/>
    <n v="225"/>
    <n v="14850"/>
    <n v="11"/>
    <x v="2"/>
    <m/>
  </r>
  <r>
    <n v="360"/>
    <x v="1"/>
    <x v="359"/>
    <s v="Coke"/>
    <x v="3"/>
    <x v="0"/>
    <n v="107"/>
    <n v="135"/>
    <n v="14445"/>
    <n v="13"/>
    <x v="2"/>
    <m/>
  </r>
  <r>
    <n v="361"/>
    <x v="0"/>
    <x v="360"/>
    <s v="Coke"/>
    <x v="3"/>
    <x v="4"/>
    <n v="237"/>
    <n v="180"/>
    <n v="42660"/>
    <n v="16"/>
    <x v="1"/>
    <n v="4"/>
  </r>
  <r>
    <n v="362"/>
    <x v="1"/>
    <x v="361"/>
    <s v="Rice"/>
    <x v="1"/>
    <x v="4"/>
    <n v="139"/>
    <n v="135"/>
    <n v="18765"/>
    <n v="18"/>
    <x v="0"/>
    <n v="5"/>
  </r>
  <r>
    <n v="363"/>
    <x v="0"/>
    <x v="362"/>
    <s v="Milk"/>
    <x v="2"/>
    <x v="0"/>
    <n v="62"/>
    <n v="135"/>
    <n v="8370"/>
    <n v="13"/>
    <x v="2"/>
    <n v="5"/>
  </r>
  <r>
    <n v="364"/>
    <x v="0"/>
    <x v="363"/>
    <s v="Coke"/>
    <x v="3"/>
    <x v="3"/>
    <n v="171"/>
    <n v="225"/>
    <n v="38475"/>
    <n v="15"/>
    <x v="0"/>
    <m/>
  </r>
  <r>
    <n v="365"/>
    <x v="1"/>
    <x v="364"/>
    <s v="Eggs"/>
    <x v="4"/>
    <x v="0"/>
    <n v="138"/>
    <n v="90"/>
    <n v="12420"/>
    <n v="9"/>
    <x v="0"/>
    <n v="4"/>
  </r>
  <r>
    <n v="366"/>
    <x v="0"/>
    <x v="324"/>
    <s v="Eggs"/>
    <x v="4"/>
    <x v="4"/>
    <n v="66"/>
    <n v="45"/>
    <n v="2970"/>
    <n v="19"/>
    <x v="0"/>
    <n v="1"/>
  </r>
  <r>
    <n v="367"/>
    <x v="0"/>
    <x v="325"/>
    <s v="Bread"/>
    <x v="0"/>
    <x v="3"/>
    <n v="62"/>
    <n v="180"/>
    <n v="11160"/>
    <n v="20"/>
    <x v="0"/>
    <n v="2"/>
  </r>
  <r>
    <n v="368"/>
    <x v="1"/>
    <x v="326"/>
    <s v="Paneer"/>
    <x v="2"/>
    <x v="2"/>
    <n v="34"/>
    <n v="225"/>
    <n v="7650"/>
    <n v="15"/>
    <x v="2"/>
    <n v="4"/>
  </r>
  <r>
    <n v="369"/>
    <x v="0"/>
    <x v="327"/>
    <s v="Eggs"/>
    <x v="4"/>
    <x v="2"/>
    <n v="128"/>
    <n v="225"/>
    <n v="28800"/>
    <n v="22"/>
    <x v="0"/>
    <n v="1"/>
  </r>
  <r>
    <n v="370"/>
    <x v="1"/>
    <x v="328"/>
    <s v="Juice"/>
    <x v="3"/>
    <x v="1"/>
    <n v="195"/>
    <n v="180"/>
    <n v="35100"/>
    <n v="8"/>
    <x v="0"/>
    <n v="5"/>
  </r>
  <r>
    <n v="371"/>
    <x v="1"/>
    <x v="329"/>
    <s v="Rice"/>
    <x v="1"/>
    <x v="2"/>
    <n v="86"/>
    <n v="45"/>
    <n v="3870"/>
    <n v="12"/>
    <x v="0"/>
    <n v="1"/>
  </r>
  <r>
    <n v="372"/>
    <x v="1"/>
    <x v="330"/>
    <s v="Eggs"/>
    <x v="4"/>
    <x v="4"/>
    <n v="181"/>
    <n v="45"/>
    <n v="8145"/>
    <n v="17"/>
    <x v="1"/>
    <m/>
  </r>
  <r>
    <n v="373"/>
    <x v="1"/>
    <x v="331"/>
    <s v="Rice"/>
    <x v="1"/>
    <x v="4"/>
    <n v="84"/>
    <n v="180"/>
    <n v="15120"/>
    <n v="10"/>
    <x v="0"/>
    <m/>
  </r>
  <r>
    <n v="374"/>
    <x v="0"/>
    <x v="332"/>
    <s v="Bread"/>
    <x v="0"/>
    <x v="2"/>
    <n v="55"/>
    <n v="180"/>
    <n v="9900"/>
    <n v="10"/>
    <x v="0"/>
    <m/>
  </r>
  <r>
    <n v="375"/>
    <x v="0"/>
    <x v="333"/>
    <s v="Bread"/>
    <x v="0"/>
    <x v="3"/>
    <n v="173"/>
    <n v="135"/>
    <n v="23355"/>
    <n v="18"/>
    <x v="0"/>
    <n v="5"/>
  </r>
  <r>
    <n v="376"/>
    <x v="0"/>
    <x v="334"/>
    <s v="Milk"/>
    <x v="2"/>
    <x v="3"/>
    <n v="65"/>
    <n v="180"/>
    <n v="11700"/>
    <n v="10"/>
    <x v="0"/>
    <n v="4"/>
  </r>
  <r>
    <n v="377"/>
    <x v="1"/>
    <x v="335"/>
    <s v="Snacks"/>
    <x v="5"/>
    <x v="4"/>
    <n v="88"/>
    <n v="135"/>
    <n v="11880"/>
    <n v="13"/>
    <x v="2"/>
    <n v="5"/>
  </r>
  <r>
    <n v="378"/>
    <x v="1"/>
    <x v="336"/>
    <s v="Bread"/>
    <x v="0"/>
    <x v="2"/>
    <n v="222"/>
    <n v="180"/>
    <n v="39960"/>
    <n v="17"/>
    <x v="2"/>
    <m/>
  </r>
  <r>
    <n v="379"/>
    <x v="0"/>
    <x v="337"/>
    <s v="Atta"/>
    <x v="1"/>
    <x v="4"/>
    <n v="145"/>
    <n v="225"/>
    <n v="32625"/>
    <n v="15"/>
    <x v="1"/>
    <n v="5"/>
  </r>
  <r>
    <n v="380"/>
    <x v="1"/>
    <x v="338"/>
    <s v="Paneer"/>
    <x v="2"/>
    <x v="4"/>
    <n v="51"/>
    <n v="45"/>
    <n v="2295"/>
    <n v="7"/>
    <x v="2"/>
    <n v="5"/>
  </r>
  <r>
    <n v="381"/>
    <x v="1"/>
    <x v="339"/>
    <s v="Eggs"/>
    <x v="4"/>
    <x v="0"/>
    <n v="188"/>
    <n v="180"/>
    <n v="33840"/>
    <n v="12"/>
    <x v="2"/>
    <n v="4"/>
  </r>
  <r>
    <n v="382"/>
    <x v="1"/>
    <x v="303"/>
    <s v="Eggs"/>
    <x v="4"/>
    <x v="3"/>
    <n v="69"/>
    <n v="90"/>
    <n v="6210"/>
    <n v="18"/>
    <x v="2"/>
    <n v="4"/>
  </r>
  <r>
    <n v="383"/>
    <x v="1"/>
    <x v="304"/>
    <s v="Butter"/>
    <x v="2"/>
    <x v="2"/>
    <n v="150"/>
    <n v="225"/>
    <n v="33750"/>
    <n v="13"/>
    <x v="0"/>
    <n v="5"/>
  </r>
  <r>
    <n v="384"/>
    <x v="1"/>
    <x v="305"/>
    <s v="Paneer"/>
    <x v="2"/>
    <x v="1"/>
    <n v="160"/>
    <n v="135"/>
    <n v="21600"/>
    <n v="7"/>
    <x v="2"/>
    <n v="2"/>
  </r>
  <r>
    <n v="385"/>
    <x v="0"/>
    <x v="306"/>
    <s v="Eggs"/>
    <x v="4"/>
    <x v="0"/>
    <n v="172"/>
    <n v="135"/>
    <n v="23220"/>
    <n v="23"/>
    <x v="0"/>
    <n v="1"/>
  </r>
  <r>
    <n v="386"/>
    <x v="1"/>
    <x v="307"/>
    <s v="Butter"/>
    <x v="2"/>
    <x v="2"/>
    <n v="45"/>
    <n v="225"/>
    <n v="10125"/>
    <n v="19"/>
    <x v="1"/>
    <n v="3"/>
  </r>
  <r>
    <n v="387"/>
    <x v="1"/>
    <x v="308"/>
    <s v="Juice"/>
    <x v="3"/>
    <x v="3"/>
    <n v="167"/>
    <n v="135"/>
    <n v="22545"/>
    <n v="15"/>
    <x v="2"/>
    <n v="1"/>
  </r>
  <r>
    <n v="388"/>
    <x v="0"/>
    <x v="309"/>
    <s v="Eggs"/>
    <x v="4"/>
    <x v="3"/>
    <n v="184"/>
    <n v="180"/>
    <n v="33120"/>
    <n v="15"/>
    <x v="2"/>
    <n v="3"/>
  </r>
  <r>
    <n v="389"/>
    <x v="1"/>
    <x v="310"/>
    <s v="Bread"/>
    <x v="0"/>
    <x v="2"/>
    <n v="120"/>
    <n v="135"/>
    <n v="16200"/>
    <n v="20"/>
    <x v="0"/>
    <n v="5"/>
  </r>
  <r>
    <n v="390"/>
    <x v="0"/>
    <x v="311"/>
    <s v="Coke"/>
    <x v="3"/>
    <x v="1"/>
    <n v="89"/>
    <n v="45"/>
    <n v="4005"/>
    <n v="17"/>
    <x v="2"/>
    <n v="4"/>
  </r>
  <r>
    <n v="391"/>
    <x v="1"/>
    <x v="312"/>
    <s v="Eggs"/>
    <x v="4"/>
    <x v="3"/>
    <n v="116"/>
    <n v="135"/>
    <n v="15660"/>
    <n v="12"/>
    <x v="0"/>
    <n v="1"/>
  </r>
  <r>
    <n v="392"/>
    <x v="0"/>
    <x v="313"/>
    <s v="Coke"/>
    <x v="3"/>
    <x v="0"/>
    <n v="186"/>
    <n v="90"/>
    <n v="16740"/>
    <n v="19"/>
    <x v="2"/>
    <n v="3"/>
  </r>
  <r>
    <n v="393"/>
    <x v="1"/>
    <x v="314"/>
    <s v="Snacks"/>
    <x v="5"/>
    <x v="1"/>
    <n v="205"/>
    <n v="135"/>
    <n v="27675"/>
    <n v="18"/>
    <x v="0"/>
    <n v="1"/>
  </r>
  <r>
    <n v="394"/>
    <x v="0"/>
    <x v="315"/>
    <s v="Juice"/>
    <x v="3"/>
    <x v="0"/>
    <n v="104"/>
    <n v="180"/>
    <n v="18720"/>
    <n v="18"/>
    <x v="2"/>
    <m/>
  </r>
  <r>
    <n v="395"/>
    <x v="0"/>
    <x v="316"/>
    <s v="Milk"/>
    <x v="2"/>
    <x v="0"/>
    <n v="119"/>
    <n v="225"/>
    <n v="26775"/>
    <n v="18"/>
    <x v="1"/>
    <n v="5"/>
  </r>
  <r>
    <n v="396"/>
    <x v="1"/>
    <x v="317"/>
    <s v="Bread"/>
    <x v="0"/>
    <x v="3"/>
    <n v="202"/>
    <n v="180"/>
    <n v="36360"/>
    <n v="14"/>
    <x v="1"/>
    <n v="3"/>
  </r>
  <r>
    <n v="397"/>
    <x v="0"/>
    <x v="318"/>
    <s v="Juice"/>
    <x v="3"/>
    <x v="4"/>
    <n v="109"/>
    <n v="135"/>
    <n v="14715"/>
    <n v="12"/>
    <x v="0"/>
    <n v="5"/>
  </r>
  <r>
    <n v="398"/>
    <x v="0"/>
    <x v="253"/>
    <s v="Rice"/>
    <x v="1"/>
    <x v="0"/>
    <n v="212"/>
    <n v="180"/>
    <n v="38160"/>
    <n v="20"/>
    <x v="0"/>
    <n v="1"/>
  </r>
  <r>
    <n v="399"/>
    <x v="0"/>
    <x v="254"/>
    <s v="Atta"/>
    <x v="1"/>
    <x v="2"/>
    <n v="61"/>
    <n v="90"/>
    <n v="5490"/>
    <n v="21"/>
    <x v="0"/>
    <n v="4"/>
  </r>
  <r>
    <n v="400"/>
    <x v="0"/>
    <x v="255"/>
    <s v="Coke"/>
    <x v="3"/>
    <x v="3"/>
    <n v="101"/>
    <n v="90"/>
    <n v="9090"/>
    <n v="20"/>
    <x v="2"/>
    <m/>
  </r>
  <r>
    <n v="401"/>
    <x v="1"/>
    <x v="256"/>
    <s v="Milk"/>
    <x v="2"/>
    <x v="3"/>
    <n v="185"/>
    <n v="135"/>
    <n v="24975"/>
    <n v="17"/>
    <x v="0"/>
    <m/>
  </r>
  <r>
    <n v="402"/>
    <x v="0"/>
    <x v="257"/>
    <s v="Milk"/>
    <x v="2"/>
    <x v="4"/>
    <n v="91"/>
    <n v="90"/>
    <n v="8190"/>
    <n v="21"/>
    <x v="2"/>
    <n v="4"/>
  </r>
  <r>
    <n v="403"/>
    <x v="0"/>
    <x v="258"/>
    <s v="Eggs"/>
    <x v="4"/>
    <x v="0"/>
    <n v="58"/>
    <n v="225"/>
    <n v="13050"/>
    <n v="16"/>
    <x v="1"/>
    <n v="2"/>
  </r>
  <r>
    <n v="404"/>
    <x v="0"/>
    <x v="259"/>
    <s v="Butter"/>
    <x v="2"/>
    <x v="1"/>
    <n v="127"/>
    <n v="45"/>
    <n v="5715"/>
    <n v="23"/>
    <x v="0"/>
    <n v="1"/>
  </r>
  <r>
    <n v="405"/>
    <x v="0"/>
    <x v="260"/>
    <s v="Atta"/>
    <x v="1"/>
    <x v="2"/>
    <n v="116"/>
    <n v="45"/>
    <n v="5220"/>
    <n v="16"/>
    <x v="2"/>
    <m/>
  </r>
  <r>
    <n v="406"/>
    <x v="1"/>
    <x v="261"/>
    <s v="Atta"/>
    <x v="1"/>
    <x v="0"/>
    <n v="121"/>
    <n v="90"/>
    <n v="10890"/>
    <n v="17"/>
    <x v="1"/>
    <n v="2"/>
  </r>
  <r>
    <n v="407"/>
    <x v="0"/>
    <x v="262"/>
    <s v="Eggs"/>
    <x v="4"/>
    <x v="1"/>
    <n v="92"/>
    <n v="45"/>
    <n v="4140"/>
    <n v="21"/>
    <x v="2"/>
    <n v="4"/>
  </r>
  <r>
    <n v="408"/>
    <x v="0"/>
    <x v="263"/>
    <s v="Rice"/>
    <x v="1"/>
    <x v="2"/>
    <n v="147"/>
    <n v="90"/>
    <n v="13230"/>
    <n v="12"/>
    <x v="2"/>
    <m/>
  </r>
  <r>
    <n v="409"/>
    <x v="1"/>
    <x v="264"/>
    <s v="Atta"/>
    <x v="1"/>
    <x v="2"/>
    <n v="201"/>
    <n v="225"/>
    <n v="45225"/>
    <n v="7"/>
    <x v="1"/>
    <n v="4"/>
  </r>
  <r>
    <n v="410"/>
    <x v="0"/>
    <x v="265"/>
    <s v="Bread"/>
    <x v="0"/>
    <x v="4"/>
    <n v="197"/>
    <n v="90"/>
    <n v="17730"/>
    <n v="23"/>
    <x v="0"/>
    <n v="5"/>
  </r>
  <r>
    <n v="411"/>
    <x v="0"/>
    <x v="266"/>
    <s v="Eggs"/>
    <x v="4"/>
    <x v="3"/>
    <n v="63"/>
    <n v="135"/>
    <n v="8505"/>
    <n v="24"/>
    <x v="1"/>
    <n v="3"/>
  </r>
  <r>
    <n v="412"/>
    <x v="1"/>
    <x v="267"/>
    <s v="Eggs"/>
    <x v="4"/>
    <x v="0"/>
    <n v="242"/>
    <n v="90"/>
    <n v="21780"/>
    <n v="10"/>
    <x v="1"/>
    <n v="2"/>
  </r>
  <r>
    <n v="413"/>
    <x v="0"/>
    <x v="268"/>
    <s v="Snacks"/>
    <x v="5"/>
    <x v="4"/>
    <n v="198"/>
    <n v="135"/>
    <n v="26730"/>
    <n v="16"/>
    <x v="2"/>
    <m/>
  </r>
  <r>
    <n v="414"/>
    <x v="0"/>
    <x v="269"/>
    <s v="Atta"/>
    <x v="1"/>
    <x v="3"/>
    <n v="156"/>
    <n v="180"/>
    <n v="28080"/>
    <n v="18"/>
    <x v="1"/>
    <n v="4"/>
  </r>
  <r>
    <n v="415"/>
    <x v="0"/>
    <x v="270"/>
    <s v="Snacks"/>
    <x v="5"/>
    <x v="0"/>
    <n v="207"/>
    <n v="225"/>
    <n v="46575"/>
    <n v="15"/>
    <x v="0"/>
    <n v="2"/>
  </r>
  <r>
    <n v="416"/>
    <x v="1"/>
    <x v="271"/>
    <s v="Biscuits"/>
    <x v="0"/>
    <x v="0"/>
    <n v="105"/>
    <n v="135"/>
    <n v="14175"/>
    <n v="17"/>
    <x v="2"/>
    <n v="1"/>
  </r>
  <r>
    <n v="417"/>
    <x v="1"/>
    <x v="272"/>
    <s v="Bread"/>
    <x v="0"/>
    <x v="1"/>
    <n v="49"/>
    <n v="45"/>
    <n v="2205"/>
    <n v="19"/>
    <x v="2"/>
    <m/>
  </r>
  <r>
    <n v="418"/>
    <x v="0"/>
    <x v="273"/>
    <s v="Juice"/>
    <x v="3"/>
    <x v="2"/>
    <n v="232"/>
    <n v="225"/>
    <n v="52200"/>
    <n v="15"/>
    <x v="1"/>
    <n v="3"/>
  </r>
  <r>
    <n v="419"/>
    <x v="0"/>
    <x v="132"/>
    <s v="Eggs"/>
    <x v="4"/>
    <x v="1"/>
    <n v="37"/>
    <n v="180"/>
    <n v="6660"/>
    <n v="16"/>
    <x v="0"/>
    <n v="4"/>
  </r>
  <r>
    <n v="420"/>
    <x v="0"/>
    <x v="133"/>
    <s v="Coke"/>
    <x v="3"/>
    <x v="2"/>
    <n v="250"/>
    <n v="180"/>
    <n v="45000"/>
    <n v="21"/>
    <x v="0"/>
    <m/>
  </r>
  <r>
    <n v="421"/>
    <x v="1"/>
    <x v="134"/>
    <s v="Atta"/>
    <x v="1"/>
    <x v="0"/>
    <n v="192"/>
    <n v="225"/>
    <n v="43200"/>
    <n v="12"/>
    <x v="1"/>
    <n v="3"/>
  </r>
  <r>
    <n v="422"/>
    <x v="0"/>
    <x v="135"/>
    <s v="Snacks"/>
    <x v="5"/>
    <x v="1"/>
    <n v="45"/>
    <n v="90"/>
    <n v="4050"/>
    <n v="18"/>
    <x v="0"/>
    <m/>
  </r>
  <r>
    <n v="423"/>
    <x v="1"/>
    <x v="136"/>
    <s v="Paneer"/>
    <x v="2"/>
    <x v="1"/>
    <n v="172"/>
    <n v="180"/>
    <n v="30960"/>
    <n v="8"/>
    <x v="0"/>
    <n v="5"/>
  </r>
  <r>
    <n v="424"/>
    <x v="0"/>
    <x v="137"/>
    <s v="Snacks"/>
    <x v="5"/>
    <x v="3"/>
    <n v="106"/>
    <n v="45"/>
    <n v="4770"/>
    <n v="22"/>
    <x v="0"/>
    <m/>
  </r>
  <r>
    <n v="425"/>
    <x v="0"/>
    <x v="138"/>
    <s v="Butter"/>
    <x v="2"/>
    <x v="2"/>
    <n v="109"/>
    <n v="45"/>
    <n v="4905"/>
    <n v="19"/>
    <x v="0"/>
    <m/>
  </r>
  <r>
    <n v="426"/>
    <x v="1"/>
    <x v="139"/>
    <s v="Milk"/>
    <x v="2"/>
    <x v="2"/>
    <n v="122"/>
    <n v="90"/>
    <n v="10980"/>
    <n v="18"/>
    <x v="0"/>
    <n v="1"/>
  </r>
  <r>
    <n v="427"/>
    <x v="1"/>
    <x v="140"/>
    <s v="Butter"/>
    <x v="2"/>
    <x v="2"/>
    <n v="169"/>
    <n v="90"/>
    <n v="15210"/>
    <n v="19"/>
    <x v="0"/>
    <n v="3"/>
  </r>
  <r>
    <n v="428"/>
    <x v="1"/>
    <x v="141"/>
    <s v="Atta"/>
    <x v="1"/>
    <x v="0"/>
    <n v="219"/>
    <n v="90"/>
    <n v="19710"/>
    <n v="7"/>
    <x v="2"/>
    <m/>
  </r>
  <r>
    <n v="429"/>
    <x v="1"/>
    <x v="142"/>
    <s v="Juice"/>
    <x v="3"/>
    <x v="1"/>
    <n v="147"/>
    <n v="225"/>
    <n v="33075"/>
    <n v="16"/>
    <x v="2"/>
    <n v="5"/>
  </r>
  <r>
    <n v="430"/>
    <x v="0"/>
    <x v="143"/>
    <s v="Coke"/>
    <x v="3"/>
    <x v="4"/>
    <n v="248"/>
    <n v="180"/>
    <n v="44640"/>
    <n v="23"/>
    <x v="0"/>
    <n v="5"/>
  </r>
  <r>
    <n v="431"/>
    <x v="1"/>
    <x v="144"/>
    <s v="Coke"/>
    <x v="3"/>
    <x v="3"/>
    <n v="98"/>
    <n v="45"/>
    <n v="4410"/>
    <n v="16"/>
    <x v="1"/>
    <n v="3"/>
  </r>
  <r>
    <n v="432"/>
    <x v="0"/>
    <x v="145"/>
    <s v="Paneer"/>
    <x v="2"/>
    <x v="0"/>
    <n v="84"/>
    <n v="135"/>
    <n v="11340"/>
    <n v="18"/>
    <x v="0"/>
    <n v="5"/>
  </r>
  <r>
    <n v="433"/>
    <x v="1"/>
    <x v="146"/>
    <s v="Atta"/>
    <x v="1"/>
    <x v="4"/>
    <n v="65"/>
    <n v="180"/>
    <n v="11700"/>
    <n v="19"/>
    <x v="0"/>
    <n v="1"/>
  </r>
  <r>
    <n v="434"/>
    <x v="0"/>
    <x v="147"/>
    <s v="Bread"/>
    <x v="0"/>
    <x v="2"/>
    <n v="148"/>
    <n v="135"/>
    <n v="19980"/>
    <n v="18"/>
    <x v="2"/>
    <m/>
  </r>
  <r>
    <n v="435"/>
    <x v="0"/>
    <x v="148"/>
    <s v="Snacks"/>
    <x v="5"/>
    <x v="0"/>
    <n v="76"/>
    <n v="135"/>
    <n v="10260"/>
    <n v="17"/>
    <x v="1"/>
    <m/>
  </r>
  <r>
    <n v="436"/>
    <x v="1"/>
    <x v="149"/>
    <s v="Snacks"/>
    <x v="5"/>
    <x v="0"/>
    <n v="245"/>
    <n v="90"/>
    <n v="22050"/>
    <n v="10"/>
    <x v="0"/>
    <n v="2"/>
  </r>
  <r>
    <n v="437"/>
    <x v="1"/>
    <x v="150"/>
    <s v="Eggs"/>
    <x v="4"/>
    <x v="2"/>
    <n v="160"/>
    <n v="225"/>
    <n v="36000"/>
    <n v="7"/>
    <x v="2"/>
    <n v="1"/>
  </r>
  <r>
    <n v="438"/>
    <x v="0"/>
    <x v="151"/>
    <s v="Atta"/>
    <x v="1"/>
    <x v="1"/>
    <n v="55"/>
    <n v="45"/>
    <n v="2475"/>
    <n v="14"/>
    <x v="2"/>
    <n v="1"/>
  </r>
  <r>
    <n v="439"/>
    <x v="0"/>
    <x v="152"/>
    <s v="Biscuits"/>
    <x v="0"/>
    <x v="2"/>
    <n v="101"/>
    <n v="135"/>
    <n v="13635"/>
    <n v="22"/>
    <x v="1"/>
    <n v="5"/>
  </r>
  <r>
    <n v="440"/>
    <x v="1"/>
    <x v="153"/>
    <s v="Paneer"/>
    <x v="2"/>
    <x v="2"/>
    <n v="98"/>
    <n v="135"/>
    <n v="13230"/>
    <n v="15"/>
    <x v="2"/>
    <n v="4"/>
  </r>
  <r>
    <n v="441"/>
    <x v="0"/>
    <x v="154"/>
    <s v="Juice"/>
    <x v="3"/>
    <x v="3"/>
    <n v="157"/>
    <n v="135"/>
    <n v="21195"/>
    <n v="11"/>
    <x v="1"/>
    <m/>
  </r>
  <r>
    <n v="442"/>
    <x v="0"/>
    <x v="155"/>
    <s v="Butter"/>
    <x v="2"/>
    <x v="1"/>
    <n v="60"/>
    <n v="135"/>
    <n v="8100"/>
    <n v="23"/>
    <x v="0"/>
    <n v="5"/>
  </r>
  <r>
    <n v="443"/>
    <x v="0"/>
    <x v="156"/>
    <s v="Milk"/>
    <x v="2"/>
    <x v="1"/>
    <n v="233"/>
    <n v="90"/>
    <n v="20970"/>
    <n v="10"/>
    <x v="1"/>
    <n v="5"/>
  </r>
  <r>
    <n v="444"/>
    <x v="1"/>
    <x v="157"/>
    <s v="Snacks"/>
    <x v="5"/>
    <x v="3"/>
    <n v="154"/>
    <n v="180"/>
    <n v="27720"/>
    <n v="14"/>
    <x v="1"/>
    <n v="4"/>
  </r>
  <r>
    <n v="445"/>
    <x v="0"/>
    <x v="158"/>
    <s v="Snacks"/>
    <x v="5"/>
    <x v="4"/>
    <n v="152"/>
    <n v="135"/>
    <n v="20520"/>
    <n v="23"/>
    <x v="2"/>
    <m/>
  </r>
  <r>
    <n v="446"/>
    <x v="0"/>
    <x v="159"/>
    <s v="Atta"/>
    <x v="1"/>
    <x v="4"/>
    <n v="77"/>
    <n v="180"/>
    <n v="13860"/>
    <n v="13"/>
    <x v="2"/>
    <m/>
  </r>
  <r>
    <n v="447"/>
    <x v="0"/>
    <x v="160"/>
    <s v="Biscuits"/>
    <x v="0"/>
    <x v="1"/>
    <n v="58"/>
    <n v="225"/>
    <n v="13050"/>
    <n v="24"/>
    <x v="0"/>
    <n v="5"/>
  </r>
  <r>
    <n v="448"/>
    <x v="1"/>
    <x v="161"/>
    <s v="Biscuits"/>
    <x v="0"/>
    <x v="3"/>
    <n v="70"/>
    <n v="180"/>
    <n v="12600"/>
    <n v="20"/>
    <x v="1"/>
    <n v="5"/>
  </r>
  <r>
    <n v="449"/>
    <x v="0"/>
    <x v="162"/>
    <s v="Snacks"/>
    <x v="5"/>
    <x v="2"/>
    <n v="157"/>
    <n v="135"/>
    <n v="21195"/>
    <n v="25"/>
    <x v="0"/>
    <n v="5"/>
  </r>
  <r>
    <n v="450"/>
    <x v="1"/>
    <x v="163"/>
    <s v="Milk"/>
    <x v="2"/>
    <x v="3"/>
    <n v="42"/>
    <n v="90"/>
    <n v="3780"/>
    <n v="18"/>
    <x v="2"/>
    <m/>
  </r>
  <r>
    <n v="451"/>
    <x v="1"/>
    <x v="164"/>
    <s v="Eggs"/>
    <x v="4"/>
    <x v="1"/>
    <n v="58"/>
    <n v="90"/>
    <n v="5220"/>
    <n v="10"/>
    <x v="1"/>
    <m/>
  </r>
  <r>
    <n v="452"/>
    <x v="1"/>
    <x v="165"/>
    <s v="Juice"/>
    <x v="3"/>
    <x v="4"/>
    <n v="66"/>
    <n v="180"/>
    <n v="11880"/>
    <n v="18"/>
    <x v="2"/>
    <n v="2"/>
  </r>
  <r>
    <n v="453"/>
    <x v="0"/>
    <x v="60"/>
    <s v="Juice"/>
    <x v="3"/>
    <x v="3"/>
    <n v="47"/>
    <n v="135"/>
    <n v="6345"/>
    <n v="18"/>
    <x v="1"/>
    <n v="4"/>
  </r>
  <r>
    <n v="454"/>
    <x v="0"/>
    <x v="61"/>
    <s v="Juice"/>
    <x v="3"/>
    <x v="4"/>
    <n v="137"/>
    <n v="225"/>
    <n v="30825"/>
    <n v="15"/>
    <x v="2"/>
    <m/>
  </r>
  <r>
    <n v="455"/>
    <x v="1"/>
    <x v="62"/>
    <s v="Coke"/>
    <x v="3"/>
    <x v="4"/>
    <n v="110"/>
    <n v="225"/>
    <n v="24750"/>
    <n v="12"/>
    <x v="0"/>
    <n v="5"/>
  </r>
  <r>
    <n v="456"/>
    <x v="0"/>
    <x v="63"/>
    <s v="Snacks"/>
    <x v="5"/>
    <x v="2"/>
    <n v="123"/>
    <n v="180"/>
    <n v="22140"/>
    <n v="22"/>
    <x v="2"/>
    <n v="4"/>
  </r>
  <r>
    <n v="457"/>
    <x v="0"/>
    <x v="64"/>
    <s v="Coke"/>
    <x v="3"/>
    <x v="1"/>
    <n v="205"/>
    <n v="180"/>
    <n v="36900"/>
    <n v="15"/>
    <x v="0"/>
    <n v="2"/>
  </r>
  <r>
    <n v="458"/>
    <x v="0"/>
    <x v="65"/>
    <s v="Biscuits"/>
    <x v="0"/>
    <x v="0"/>
    <n v="125"/>
    <n v="45"/>
    <n v="5625"/>
    <n v="19"/>
    <x v="0"/>
    <n v="3"/>
  </r>
  <r>
    <n v="459"/>
    <x v="0"/>
    <x v="66"/>
    <s v="Butter"/>
    <x v="2"/>
    <x v="0"/>
    <n v="235"/>
    <n v="135"/>
    <n v="31725"/>
    <n v="23"/>
    <x v="1"/>
    <n v="3"/>
  </r>
  <r>
    <n v="460"/>
    <x v="0"/>
    <x v="67"/>
    <s v="Bread"/>
    <x v="0"/>
    <x v="1"/>
    <n v="84"/>
    <n v="90"/>
    <n v="7560"/>
    <n v="16"/>
    <x v="1"/>
    <n v="5"/>
  </r>
  <r>
    <n v="461"/>
    <x v="0"/>
    <x v="68"/>
    <s v="Coke"/>
    <x v="3"/>
    <x v="1"/>
    <n v="248"/>
    <n v="225"/>
    <n v="55800"/>
    <n v="11"/>
    <x v="0"/>
    <n v="2"/>
  </r>
  <r>
    <n v="462"/>
    <x v="1"/>
    <x v="69"/>
    <s v="Juice"/>
    <x v="3"/>
    <x v="4"/>
    <n v="156"/>
    <n v="45"/>
    <n v="7020"/>
    <n v="7"/>
    <x v="0"/>
    <m/>
  </r>
  <r>
    <n v="463"/>
    <x v="0"/>
    <x v="70"/>
    <s v="Eggs"/>
    <x v="4"/>
    <x v="0"/>
    <n v="141"/>
    <n v="180"/>
    <n v="25380"/>
    <n v="15"/>
    <x v="2"/>
    <n v="2"/>
  </r>
  <r>
    <n v="464"/>
    <x v="1"/>
    <x v="71"/>
    <s v="Biscuits"/>
    <x v="0"/>
    <x v="2"/>
    <n v="39"/>
    <n v="225"/>
    <n v="8775"/>
    <n v="20"/>
    <x v="1"/>
    <n v="5"/>
  </r>
  <r>
    <n v="465"/>
    <x v="0"/>
    <x v="72"/>
    <s v="Rice"/>
    <x v="1"/>
    <x v="1"/>
    <n v="69"/>
    <n v="225"/>
    <n v="15525"/>
    <n v="11"/>
    <x v="1"/>
    <m/>
  </r>
  <r>
    <n v="466"/>
    <x v="0"/>
    <x v="73"/>
    <s v="Eggs"/>
    <x v="4"/>
    <x v="3"/>
    <n v="38"/>
    <n v="225"/>
    <n v="8550"/>
    <n v="21"/>
    <x v="2"/>
    <n v="4"/>
  </r>
  <r>
    <n v="467"/>
    <x v="0"/>
    <x v="74"/>
    <s v="Atta"/>
    <x v="1"/>
    <x v="3"/>
    <n v="66"/>
    <n v="135"/>
    <n v="8910"/>
    <n v="20"/>
    <x v="1"/>
    <m/>
  </r>
  <r>
    <n v="468"/>
    <x v="1"/>
    <x v="75"/>
    <s v="Milk"/>
    <x v="2"/>
    <x v="2"/>
    <n v="67"/>
    <n v="180"/>
    <n v="12060"/>
    <n v="19"/>
    <x v="0"/>
    <n v="2"/>
  </r>
  <r>
    <n v="469"/>
    <x v="0"/>
    <x v="76"/>
    <s v="Snacks"/>
    <x v="5"/>
    <x v="1"/>
    <n v="52"/>
    <n v="45"/>
    <n v="2340"/>
    <n v="19"/>
    <x v="0"/>
    <n v="2"/>
  </r>
  <r>
    <n v="470"/>
    <x v="0"/>
    <x v="77"/>
    <s v="Snacks"/>
    <x v="5"/>
    <x v="0"/>
    <n v="137"/>
    <n v="180"/>
    <n v="24660"/>
    <n v="22"/>
    <x v="0"/>
    <n v="4"/>
  </r>
  <r>
    <n v="471"/>
    <x v="1"/>
    <x v="78"/>
    <s v="Atta"/>
    <x v="1"/>
    <x v="3"/>
    <n v="43"/>
    <n v="45"/>
    <n v="1935"/>
    <n v="11"/>
    <x v="0"/>
    <n v="3"/>
  </r>
  <r>
    <n v="472"/>
    <x v="0"/>
    <x v="79"/>
    <s v="Eggs"/>
    <x v="4"/>
    <x v="0"/>
    <n v="79"/>
    <n v="135"/>
    <n v="10665"/>
    <n v="10"/>
    <x v="1"/>
    <n v="1"/>
  </r>
  <r>
    <n v="473"/>
    <x v="0"/>
    <x v="80"/>
    <s v="Butter"/>
    <x v="2"/>
    <x v="3"/>
    <n v="166"/>
    <n v="135"/>
    <n v="22410"/>
    <n v="14"/>
    <x v="0"/>
    <n v="4"/>
  </r>
  <r>
    <n v="474"/>
    <x v="1"/>
    <x v="81"/>
    <s v="Biscuits"/>
    <x v="0"/>
    <x v="4"/>
    <n v="234"/>
    <n v="135"/>
    <n v="31590"/>
    <n v="8"/>
    <x v="0"/>
    <n v="5"/>
  </r>
  <r>
    <n v="475"/>
    <x v="1"/>
    <x v="82"/>
    <s v="Bread"/>
    <x v="0"/>
    <x v="3"/>
    <n v="108"/>
    <n v="225"/>
    <n v="24300"/>
    <n v="9"/>
    <x v="1"/>
    <m/>
  </r>
  <r>
    <n v="476"/>
    <x v="1"/>
    <x v="83"/>
    <s v="Juice"/>
    <x v="3"/>
    <x v="1"/>
    <n v="227"/>
    <n v="90"/>
    <n v="20430"/>
    <n v="18"/>
    <x v="0"/>
    <n v="3"/>
  </r>
  <r>
    <n v="477"/>
    <x v="0"/>
    <x v="84"/>
    <s v="Snacks"/>
    <x v="5"/>
    <x v="0"/>
    <n v="119"/>
    <n v="180"/>
    <n v="21420"/>
    <n v="20"/>
    <x v="2"/>
    <n v="3"/>
  </r>
  <r>
    <n v="478"/>
    <x v="0"/>
    <x v="85"/>
    <s v="Snacks"/>
    <x v="5"/>
    <x v="4"/>
    <n v="58"/>
    <n v="180"/>
    <n v="10440"/>
    <n v="13"/>
    <x v="2"/>
    <n v="1"/>
  </r>
  <r>
    <n v="479"/>
    <x v="1"/>
    <x v="86"/>
    <s v="Milk"/>
    <x v="2"/>
    <x v="1"/>
    <n v="43"/>
    <n v="180"/>
    <n v="7740"/>
    <n v="13"/>
    <x v="1"/>
    <n v="1"/>
  </r>
  <r>
    <n v="480"/>
    <x v="1"/>
    <x v="87"/>
    <s v="Juice"/>
    <x v="3"/>
    <x v="1"/>
    <n v="144"/>
    <n v="90"/>
    <n v="12960"/>
    <n v="12"/>
    <x v="1"/>
    <n v="1"/>
  </r>
  <r>
    <n v="481"/>
    <x v="1"/>
    <x v="88"/>
    <s v="Atta"/>
    <x v="1"/>
    <x v="2"/>
    <n v="193"/>
    <n v="135"/>
    <n v="26055"/>
    <n v="19"/>
    <x v="0"/>
    <n v="5"/>
  </r>
  <r>
    <n v="482"/>
    <x v="0"/>
    <x v="89"/>
    <s v="Milk"/>
    <x v="2"/>
    <x v="2"/>
    <n v="71"/>
    <n v="180"/>
    <n v="12780"/>
    <n v="11"/>
    <x v="2"/>
    <n v="5"/>
  </r>
  <r>
    <n v="483"/>
    <x v="1"/>
    <x v="90"/>
    <s v="Bread"/>
    <x v="0"/>
    <x v="2"/>
    <n v="192"/>
    <n v="180"/>
    <n v="34560"/>
    <n v="7"/>
    <x v="2"/>
    <n v="1"/>
  </r>
  <r>
    <n v="484"/>
    <x v="1"/>
    <x v="91"/>
    <s v="Eggs"/>
    <x v="4"/>
    <x v="1"/>
    <n v="56"/>
    <n v="135"/>
    <n v="7560"/>
    <n v="7"/>
    <x v="0"/>
    <n v="3"/>
  </r>
  <r>
    <n v="485"/>
    <x v="1"/>
    <x v="92"/>
    <s v="Paneer"/>
    <x v="2"/>
    <x v="0"/>
    <n v="243"/>
    <n v="225"/>
    <n v="54675"/>
    <n v="17"/>
    <x v="2"/>
    <n v="4"/>
  </r>
  <r>
    <n v="486"/>
    <x v="1"/>
    <x v="93"/>
    <s v="Paneer"/>
    <x v="2"/>
    <x v="1"/>
    <n v="232"/>
    <n v="135"/>
    <n v="31320"/>
    <n v="7"/>
    <x v="2"/>
    <n v="2"/>
  </r>
  <r>
    <n v="487"/>
    <x v="0"/>
    <x v="94"/>
    <s v="Rice"/>
    <x v="1"/>
    <x v="1"/>
    <n v="61"/>
    <n v="135"/>
    <n v="8235"/>
    <n v="18"/>
    <x v="2"/>
    <n v="1"/>
  </r>
  <r>
    <n v="488"/>
    <x v="0"/>
    <x v="95"/>
    <s v="Rice"/>
    <x v="1"/>
    <x v="3"/>
    <n v="205"/>
    <n v="180"/>
    <n v="36900"/>
    <n v="22"/>
    <x v="0"/>
    <n v="1"/>
  </r>
  <r>
    <n v="489"/>
    <x v="0"/>
    <x v="96"/>
    <s v="Milk"/>
    <x v="2"/>
    <x v="1"/>
    <n v="159"/>
    <n v="45"/>
    <n v="7155"/>
    <n v="13"/>
    <x v="0"/>
    <n v="5"/>
  </r>
  <r>
    <n v="490"/>
    <x v="0"/>
    <x v="97"/>
    <s v="Butter"/>
    <x v="2"/>
    <x v="1"/>
    <n v="46"/>
    <n v="225"/>
    <n v="10350"/>
    <n v="22"/>
    <x v="1"/>
    <n v="4"/>
  </r>
  <r>
    <n v="491"/>
    <x v="1"/>
    <x v="0"/>
    <s v="Paneer"/>
    <x v="2"/>
    <x v="0"/>
    <n v="249"/>
    <n v="225"/>
    <n v="56025"/>
    <n v="9"/>
    <x v="0"/>
    <n v="4"/>
  </r>
  <r>
    <n v="492"/>
    <x v="1"/>
    <x v="1"/>
    <s v="Paneer"/>
    <x v="2"/>
    <x v="4"/>
    <n v="153"/>
    <n v="90"/>
    <n v="13770"/>
    <n v="11"/>
    <x v="1"/>
    <m/>
  </r>
  <r>
    <n v="493"/>
    <x v="1"/>
    <x v="2"/>
    <s v="Paneer"/>
    <x v="2"/>
    <x v="2"/>
    <n v="194"/>
    <n v="90"/>
    <n v="17460"/>
    <n v="18"/>
    <x v="1"/>
    <m/>
  </r>
  <r>
    <n v="494"/>
    <x v="0"/>
    <x v="3"/>
    <s v="Rice"/>
    <x v="1"/>
    <x v="1"/>
    <n v="120"/>
    <n v="180"/>
    <n v="21600"/>
    <n v="16"/>
    <x v="1"/>
    <n v="5"/>
  </r>
  <r>
    <n v="495"/>
    <x v="1"/>
    <x v="4"/>
    <s v="Milk"/>
    <x v="2"/>
    <x v="4"/>
    <n v="149"/>
    <n v="225"/>
    <n v="33525"/>
    <n v="18"/>
    <x v="1"/>
    <m/>
  </r>
  <r>
    <n v="496"/>
    <x v="1"/>
    <x v="5"/>
    <s v="Rice"/>
    <x v="1"/>
    <x v="2"/>
    <n v="55"/>
    <n v="225"/>
    <n v="12375"/>
    <n v="11"/>
    <x v="1"/>
    <n v="4"/>
  </r>
  <r>
    <n v="497"/>
    <x v="0"/>
    <x v="6"/>
    <s v="Snacks"/>
    <x v="5"/>
    <x v="3"/>
    <n v="117"/>
    <n v="135"/>
    <n v="15795"/>
    <n v="18"/>
    <x v="0"/>
    <n v="5"/>
  </r>
  <r>
    <n v="498"/>
    <x v="0"/>
    <x v="7"/>
    <s v="Eggs"/>
    <x v="4"/>
    <x v="0"/>
    <n v="165"/>
    <n v="135"/>
    <n v="22275"/>
    <n v="22"/>
    <x v="0"/>
    <n v="1"/>
  </r>
  <r>
    <n v="499"/>
    <x v="0"/>
    <x v="8"/>
    <s v="Paneer"/>
    <x v="2"/>
    <x v="0"/>
    <n v="69"/>
    <n v="180"/>
    <n v="12420"/>
    <n v="13"/>
    <x v="1"/>
    <n v="2"/>
  </r>
  <r>
    <n v="500"/>
    <x v="0"/>
    <x v="9"/>
    <s v="Atta"/>
    <x v="1"/>
    <x v="0"/>
    <n v="140"/>
    <n v="135"/>
    <n v="18900"/>
    <n v="15"/>
    <x v="0"/>
    <n v="5"/>
  </r>
  <r>
    <n v="501"/>
    <x v="0"/>
    <x v="10"/>
    <s v="Snacks"/>
    <x v="5"/>
    <x v="4"/>
    <n v="248"/>
    <n v="225"/>
    <n v="55800"/>
    <n v="21"/>
    <x v="2"/>
    <n v="1"/>
  </r>
  <r>
    <n v="502"/>
    <x v="1"/>
    <x v="11"/>
    <s v="Coke"/>
    <x v="3"/>
    <x v="0"/>
    <n v="74"/>
    <n v="90"/>
    <n v="6660"/>
    <n v="16"/>
    <x v="1"/>
    <n v="5"/>
  </r>
  <r>
    <n v="503"/>
    <x v="0"/>
    <x v="12"/>
    <s v="Eggs"/>
    <x v="4"/>
    <x v="1"/>
    <n v="156"/>
    <n v="135"/>
    <n v="21060"/>
    <n v="13"/>
    <x v="0"/>
    <n v="3"/>
  </r>
  <r>
    <n v="504"/>
    <x v="1"/>
    <x v="13"/>
    <s v="Butter"/>
    <x v="2"/>
    <x v="0"/>
    <n v="38"/>
    <n v="225"/>
    <n v="8550"/>
    <n v="7"/>
    <x v="0"/>
    <n v="3"/>
  </r>
  <r>
    <n v="505"/>
    <x v="1"/>
    <x v="14"/>
    <s v="Atta"/>
    <x v="1"/>
    <x v="0"/>
    <n v="219"/>
    <n v="90"/>
    <n v="19710"/>
    <n v="19"/>
    <x v="2"/>
    <n v="4"/>
  </r>
  <r>
    <n v="506"/>
    <x v="0"/>
    <x v="15"/>
    <s v="Butter"/>
    <x v="2"/>
    <x v="4"/>
    <n v="147"/>
    <n v="135"/>
    <n v="19845"/>
    <n v="12"/>
    <x v="1"/>
    <n v="2"/>
  </r>
  <r>
    <n v="507"/>
    <x v="0"/>
    <x v="16"/>
    <s v="Eggs"/>
    <x v="4"/>
    <x v="2"/>
    <n v="182"/>
    <n v="225"/>
    <n v="40950"/>
    <n v="25"/>
    <x v="2"/>
    <n v="5"/>
  </r>
  <r>
    <n v="508"/>
    <x v="0"/>
    <x v="17"/>
    <s v="Coke"/>
    <x v="3"/>
    <x v="4"/>
    <n v="167"/>
    <n v="135"/>
    <n v="22545"/>
    <n v="14"/>
    <x v="2"/>
    <n v="2"/>
  </r>
  <r>
    <n v="509"/>
    <x v="1"/>
    <x v="18"/>
    <s v="Snacks"/>
    <x v="5"/>
    <x v="2"/>
    <n v="150"/>
    <n v="180"/>
    <n v="27000"/>
    <n v="17"/>
    <x v="1"/>
    <m/>
  </r>
  <r>
    <n v="510"/>
    <x v="0"/>
    <x v="19"/>
    <s v="Bread"/>
    <x v="0"/>
    <x v="4"/>
    <n v="61"/>
    <n v="135"/>
    <n v="8235"/>
    <n v="15"/>
    <x v="0"/>
    <n v="5"/>
  </r>
  <r>
    <n v="511"/>
    <x v="1"/>
    <x v="20"/>
    <s v="Atta"/>
    <x v="1"/>
    <x v="3"/>
    <n v="132"/>
    <n v="180"/>
    <n v="23760"/>
    <n v="12"/>
    <x v="2"/>
    <n v="4"/>
  </r>
  <r>
    <n v="512"/>
    <x v="0"/>
    <x v="21"/>
    <s v="Paneer"/>
    <x v="2"/>
    <x v="0"/>
    <n v="161"/>
    <n v="135"/>
    <n v="21735"/>
    <n v="16"/>
    <x v="0"/>
    <n v="1"/>
  </r>
  <r>
    <n v="513"/>
    <x v="1"/>
    <x v="22"/>
    <s v="Rice"/>
    <x v="1"/>
    <x v="2"/>
    <n v="112"/>
    <n v="45"/>
    <n v="5040"/>
    <n v="13"/>
    <x v="0"/>
    <n v="1"/>
  </r>
  <r>
    <n v="514"/>
    <x v="1"/>
    <x v="23"/>
    <s v="Bread"/>
    <x v="0"/>
    <x v="4"/>
    <n v="56"/>
    <n v="225"/>
    <n v="12600"/>
    <n v="8"/>
    <x v="2"/>
    <n v="4"/>
  </r>
  <r>
    <n v="515"/>
    <x v="0"/>
    <x v="24"/>
    <s v="Biscuits"/>
    <x v="0"/>
    <x v="2"/>
    <n v="209"/>
    <n v="90"/>
    <n v="18810"/>
    <n v="13"/>
    <x v="2"/>
    <n v="3"/>
  </r>
  <r>
    <n v="516"/>
    <x v="1"/>
    <x v="25"/>
    <s v="Atta"/>
    <x v="1"/>
    <x v="3"/>
    <n v="235"/>
    <n v="135"/>
    <n v="31725"/>
    <n v="14"/>
    <x v="0"/>
    <n v="1"/>
  </r>
  <r>
    <n v="517"/>
    <x v="1"/>
    <x v="26"/>
    <s v="Bread"/>
    <x v="0"/>
    <x v="0"/>
    <n v="108"/>
    <n v="225"/>
    <n v="24300"/>
    <n v="13"/>
    <x v="0"/>
    <n v="1"/>
  </r>
  <r>
    <n v="518"/>
    <x v="0"/>
    <x v="27"/>
    <s v="Bread"/>
    <x v="0"/>
    <x v="3"/>
    <n v="98"/>
    <n v="135"/>
    <n v="13230"/>
    <n v="19"/>
    <x v="2"/>
    <n v="1"/>
  </r>
  <r>
    <n v="519"/>
    <x v="1"/>
    <x v="28"/>
    <s v="Rice"/>
    <x v="1"/>
    <x v="3"/>
    <n v="53"/>
    <n v="135"/>
    <n v="7155"/>
    <n v="11"/>
    <x v="1"/>
    <n v="1"/>
  </r>
  <r>
    <n v="520"/>
    <x v="1"/>
    <x v="29"/>
    <s v="Paneer"/>
    <x v="2"/>
    <x v="1"/>
    <n v="190"/>
    <n v="180"/>
    <n v="34200"/>
    <n v="19"/>
    <x v="2"/>
    <n v="2"/>
  </r>
  <r>
    <n v="521"/>
    <x v="1"/>
    <x v="30"/>
    <s v="Eggs"/>
    <x v="4"/>
    <x v="1"/>
    <n v="177"/>
    <n v="45"/>
    <n v="7965"/>
    <n v="7"/>
    <x v="2"/>
    <n v="2"/>
  </r>
  <r>
    <n v="522"/>
    <x v="0"/>
    <x v="31"/>
    <s v="Biscuits"/>
    <x v="0"/>
    <x v="3"/>
    <n v="175"/>
    <n v="225"/>
    <n v="39375"/>
    <n v="18"/>
    <x v="1"/>
    <m/>
  </r>
  <r>
    <n v="523"/>
    <x v="0"/>
    <x v="32"/>
    <s v="Bread"/>
    <x v="0"/>
    <x v="4"/>
    <n v="226"/>
    <n v="225"/>
    <n v="50850"/>
    <n v="20"/>
    <x v="2"/>
    <n v="2"/>
  </r>
  <r>
    <n v="524"/>
    <x v="1"/>
    <x v="33"/>
    <s v="Biscuits"/>
    <x v="0"/>
    <x v="3"/>
    <n v="67"/>
    <n v="45"/>
    <n v="3015"/>
    <n v="12"/>
    <x v="2"/>
    <n v="4"/>
  </r>
  <r>
    <n v="525"/>
    <x v="1"/>
    <x v="34"/>
    <s v="Milk"/>
    <x v="2"/>
    <x v="2"/>
    <n v="32"/>
    <n v="90"/>
    <n v="2880"/>
    <n v="8"/>
    <x v="0"/>
    <n v="3"/>
  </r>
  <r>
    <n v="526"/>
    <x v="0"/>
    <x v="35"/>
    <s v="Butter"/>
    <x v="2"/>
    <x v="0"/>
    <n v="33"/>
    <n v="135"/>
    <n v="4455"/>
    <n v="20"/>
    <x v="0"/>
    <n v="4"/>
  </r>
  <r>
    <n v="527"/>
    <x v="1"/>
    <x v="36"/>
    <s v="Bread"/>
    <x v="0"/>
    <x v="3"/>
    <n v="37"/>
    <n v="90"/>
    <n v="3330"/>
    <n v="7"/>
    <x v="1"/>
    <n v="3"/>
  </r>
  <r>
    <n v="528"/>
    <x v="1"/>
    <x v="37"/>
    <s v="Bread"/>
    <x v="0"/>
    <x v="2"/>
    <n v="53"/>
    <n v="180"/>
    <n v="9540"/>
    <n v="8"/>
    <x v="2"/>
    <n v="4"/>
  </r>
  <r>
    <n v="529"/>
    <x v="0"/>
    <x v="38"/>
    <s v="Juice"/>
    <x v="3"/>
    <x v="1"/>
    <n v="201"/>
    <n v="225"/>
    <n v="45225"/>
    <n v="23"/>
    <x v="1"/>
    <m/>
  </r>
  <r>
    <n v="530"/>
    <x v="1"/>
    <x v="39"/>
    <s v="Atta"/>
    <x v="1"/>
    <x v="0"/>
    <n v="61"/>
    <n v="135"/>
    <n v="8235"/>
    <n v="8"/>
    <x v="0"/>
    <n v="5"/>
  </r>
  <r>
    <n v="531"/>
    <x v="1"/>
    <x v="40"/>
    <s v="Paneer"/>
    <x v="2"/>
    <x v="3"/>
    <n v="125"/>
    <n v="135"/>
    <n v="16875"/>
    <n v="12"/>
    <x v="2"/>
    <n v="3"/>
  </r>
  <r>
    <n v="532"/>
    <x v="1"/>
    <x v="41"/>
    <s v="Atta"/>
    <x v="1"/>
    <x v="3"/>
    <n v="249"/>
    <n v="180"/>
    <n v="44820"/>
    <n v="16"/>
    <x v="2"/>
    <m/>
  </r>
  <r>
    <n v="533"/>
    <x v="1"/>
    <x v="42"/>
    <s v="Bread"/>
    <x v="0"/>
    <x v="0"/>
    <n v="189"/>
    <n v="90"/>
    <n v="17010"/>
    <n v="8"/>
    <x v="2"/>
    <n v="3"/>
  </r>
  <r>
    <n v="534"/>
    <x v="0"/>
    <x v="43"/>
    <s v="Butter"/>
    <x v="2"/>
    <x v="2"/>
    <n v="205"/>
    <n v="180"/>
    <n v="36900"/>
    <n v="15"/>
    <x v="2"/>
    <n v="1"/>
  </r>
  <r>
    <n v="535"/>
    <x v="0"/>
    <x v="44"/>
    <s v="Bread"/>
    <x v="0"/>
    <x v="0"/>
    <n v="81"/>
    <n v="45"/>
    <n v="3645"/>
    <n v="21"/>
    <x v="0"/>
    <n v="3"/>
  </r>
  <r>
    <n v="536"/>
    <x v="1"/>
    <x v="45"/>
    <s v="Butter"/>
    <x v="2"/>
    <x v="1"/>
    <n v="241"/>
    <n v="90"/>
    <n v="21690"/>
    <n v="10"/>
    <x v="2"/>
    <n v="5"/>
  </r>
  <r>
    <n v="537"/>
    <x v="0"/>
    <x v="46"/>
    <s v="Milk"/>
    <x v="2"/>
    <x v="2"/>
    <n v="35"/>
    <n v="90"/>
    <n v="3150"/>
    <n v="13"/>
    <x v="2"/>
    <n v="3"/>
  </r>
  <r>
    <n v="538"/>
    <x v="1"/>
    <x v="47"/>
    <s v="Butter"/>
    <x v="2"/>
    <x v="0"/>
    <n v="225"/>
    <n v="135"/>
    <n v="30375"/>
    <n v="14"/>
    <x v="2"/>
    <m/>
  </r>
  <r>
    <n v="539"/>
    <x v="0"/>
    <x v="48"/>
    <s v="Milk"/>
    <x v="2"/>
    <x v="0"/>
    <n v="184"/>
    <n v="135"/>
    <n v="24840"/>
    <n v="18"/>
    <x v="2"/>
    <m/>
  </r>
  <r>
    <n v="540"/>
    <x v="0"/>
    <x v="49"/>
    <s v="Milk"/>
    <x v="2"/>
    <x v="4"/>
    <n v="138"/>
    <n v="45"/>
    <n v="6210"/>
    <n v="13"/>
    <x v="1"/>
    <n v="1"/>
  </r>
  <r>
    <n v="541"/>
    <x v="1"/>
    <x v="50"/>
    <s v="Rice"/>
    <x v="1"/>
    <x v="2"/>
    <n v="77"/>
    <n v="180"/>
    <n v="13860"/>
    <n v="11"/>
    <x v="1"/>
    <n v="4"/>
  </r>
  <r>
    <n v="542"/>
    <x v="0"/>
    <x v="51"/>
    <s v="Juice"/>
    <x v="3"/>
    <x v="2"/>
    <n v="178"/>
    <n v="180"/>
    <n v="32040"/>
    <n v="18"/>
    <x v="1"/>
    <n v="2"/>
  </r>
  <r>
    <n v="543"/>
    <x v="1"/>
    <x v="52"/>
    <s v="Bread"/>
    <x v="0"/>
    <x v="0"/>
    <n v="108"/>
    <n v="135"/>
    <n v="14580"/>
    <n v="10"/>
    <x v="0"/>
    <n v="3"/>
  </r>
  <r>
    <n v="544"/>
    <x v="0"/>
    <x v="53"/>
    <s v="Milk"/>
    <x v="2"/>
    <x v="2"/>
    <n v="79"/>
    <n v="90"/>
    <n v="7110"/>
    <n v="18"/>
    <x v="0"/>
    <n v="4"/>
  </r>
  <r>
    <n v="545"/>
    <x v="0"/>
    <x v="54"/>
    <s v="Rice"/>
    <x v="1"/>
    <x v="3"/>
    <n v="122"/>
    <n v="45"/>
    <n v="5490"/>
    <n v="25"/>
    <x v="1"/>
    <n v="2"/>
  </r>
  <r>
    <n v="546"/>
    <x v="0"/>
    <x v="55"/>
    <s v="Atta"/>
    <x v="1"/>
    <x v="2"/>
    <n v="201"/>
    <n v="135"/>
    <n v="27135"/>
    <n v="15"/>
    <x v="0"/>
    <n v="1"/>
  </r>
  <r>
    <n v="547"/>
    <x v="1"/>
    <x v="56"/>
    <s v="Rice"/>
    <x v="1"/>
    <x v="2"/>
    <n v="48"/>
    <n v="225"/>
    <n v="10800"/>
    <n v="16"/>
    <x v="1"/>
    <n v="5"/>
  </r>
  <r>
    <n v="548"/>
    <x v="1"/>
    <x v="57"/>
    <s v="Coke"/>
    <x v="3"/>
    <x v="0"/>
    <n v="65"/>
    <n v="135"/>
    <n v="8775"/>
    <n v="18"/>
    <x v="0"/>
    <n v="3"/>
  </r>
  <r>
    <n v="549"/>
    <x v="0"/>
    <x v="58"/>
    <s v="Rice"/>
    <x v="1"/>
    <x v="4"/>
    <n v="108"/>
    <n v="135"/>
    <n v="14580"/>
    <n v="23"/>
    <x v="1"/>
    <n v="4"/>
  </r>
  <r>
    <n v="550"/>
    <x v="0"/>
    <x v="59"/>
    <s v="Snacks"/>
    <x v="5"/>
    <x v="4"/>
    <n v="229"/>
    <n v="135"/>
    <n v="30915"/>
    <n v="22"/>
    <x v="0"/>
    <m/>
  </r>
  <r>
    <n v="551"/>
    <x v="1"/>
    <x v="60"/>
    <s v="Biscuits"/>
    <x v="0"/>
    <x v="0"/>
    <n v="156"/>
    <n v="135"/>
    <n v="21060"/>
    <n v="12"/>
    <x v="0"/>
    <n v="4"/>
  </r>
  <r>
    <n v="552"/>
    <x v="1"/>
    <x v="61"/>
    <s v="Rice"/>
    <x v="1"/>
    <x v="0"/>
    <n v="195"/>
    <n v="135"/>
    <n v="26325"/>
    <n v="12"/>
    <x v="1"/>
    <n v="3"/>
  </r>
  <r>
    <n v="553"/>
    <x v="0"/>
    <x v="62"/>
    <s v="Milk"/>
    <x v="2"/>
    <x v="4"/>
    <n v="89"/>
    <n v="180"/>
    <n v="16020"/>
    <n v="19"/>
    <x v="0"/>
    <m/>
  </r>
  <r>
    <n v="554"/>
    <x v="0"/>
    <x v="63"/>
    <s v="Coke"/>
    <x v="3"/>
    <x v="1"/>
    <n v="208"/>
    <n v="135"/>
    <n v="28080"/>
    <n v="21"/>
    <x v="0"/>
    <n v="3"/>
  </r>
  <r>
    <n v="555"/>
    <x v="0"/>
    <x v="64"/>
    <s v="Coke"/>
    <x v="3"/>
    <x v="0"/>
    <n v="204"/>
    <n v="135"/>
    <n v="27540"/>
    <n v="10"/>
    <x v="1"/>
    <n v="5"/>
  </r>
  <r>
    <n v="556"/>
    <x v="1"/>
    <x v="65"/>
    <s v="Eggs"/>
    <x v="4"/>
    <x v="0"/>
    <n v="248"/>
    <n v="180"/>
    <n v="44640"/>
    <n v="19"/>
    <x v="1"/>
    <n v="3"/>
  </r>
  <r>
    <n v="557"/>
    <x v="1"/>
    <x v="66"/>
    <s v="Rice"/>
    <x v="1"/>
    <x v="1"/>
    <n v="222"/>
    <n v="180"/>
    <n v="39960"/>
    <n v="15"/>
    <x v="0"/>
    <n v="3"/>
  </r>
  <r>
    <n v="558"/>
    <x v="0"/>
    <x v="67"/>
    <s v="Biscuits"/>
    <x v="0"/>
    <x v="1"/>
    <n v="76"/>
    <n v="45"/>
    <n v="3420"/>
    <n v="14"/>
    <x v="1"/>
    <n v="1"/>
  </r>
  <r>
    <n v="559"/>
    <x v="0"/>
    <x v="68"/>
    <s v="Juice"/>
    <x v="3"/>
    <x v="4"/>
    <n v="160"/>
    <n v="225"/>
    <n v="36000"/>
    <n v="14"/>
    <x v="0"/>
    <m/>
  </r>
  <r>
    <n v="560"/>
    <x v="1"/>
    <x v="69"/>
    <s v="Bread"/>
    <x v="0"/>
    <x v="0"/>
    <n v="223"/>
    <n v="90"/>
    <n v="20070"/>
    <n v="20"/>
    <x v="2"/>
    <m/>
  </r>
  <r>
    <n v="561"/>
    <x v="1"/>
    <x v="70"/>
    <s v="Paneer"/>
    <x v="2"/>
    <x v="4"/>
    <n v="111"/>
    <n v="45"/>
    <n v="4995"/>
    <n v="8"/>
    <x v="0"/>
    <n v="2"/>
  </r>
  <r>
    <n v="562"/>
    <x v="1"/>
    <x v="71"/>
    <s v="Paneer"/>
    <x v="2"/>
    <x v="4"/>
    <n v="111"/>
    <n v="135"/>
    <n v="14985"/>
    <n v="12"/>
    <x v="2"/>
    <n v="5"/>
  </r>
  <r>
    <n v="563"/>
    <x v="1"/>
    <x v="72"/>
    <s v="Eggs"/>
    <x v="4"/>
    <x v="4"/>
    <n v="142"/>
    <n v="45"/>
    <n v="6390"/>
    <n v="13"/>
    <x v="0"/>
    <n v="1"/>
  </r>
  <r>
    <n v="564"/>
    <x v="0"/>
    <x v="73"/>
    <s v="Bread"/>
    <x v="0"/>
    <x v="1"/>
    <n v="54"/>
    <n v="180"/>
    <n v="9720"/>
    <n v="21"/>
    <x v="2"/>
    <n v="1"/>
  </r>
  <r>
    <n v="565"/>
    <x v="0"/>
    <x v="74"/>
    <s v="Paneer"/>
    <x v="2"/>
    <x v="2"/>
    <n v="182"/>
    <n v="135"/>
    <n v="24570"/>
    <n v="17"/>
    <x v="0"/>
    <n v="1"/>
  </r>
  <r>
    <n v="566"/>
    <x v="1"/>
    <x v="75"/>
    <s v="Milk"/>
    <x v="2"/>
    <x v="1"/>
    <n v="74"/>
    <n v="45"/>
    <n v="3330"/>
    <n v="16"/>
    <x v="0"/>
    <n v="4"/>
  </r>
  <r>
    <n v="567"/>
    <x v="0"/>
    <x v="76"/>
    <s v="Biscuits"/>
    <x v="0"/>
    <x v="3"/>
    <n v="47"/>
    <n v="45"/>
    <n v="2115"/>
    <n v="24"/>
    <x v="1"/>
    <n v="5"/>
  </r>
  <r>
    <n v="568"/>
    <x v="0"/>
    <x v="77"/>
    <s v="Milk"/>
    <x v="2"/>
    <x v="4"/>
    <n v="115"/>
    <n v="45"/>
    <n v="5175"/>
    <n v="19"/>
    <x v="0"/>
    <n v="2"/>
  </r>
  <r>
    <n v="569"/>
    <x v="1"/>
    <x v="78"/>
    <s v="Snacks"/>
    <x v="5"/>
    <x v="4"/>
    <n v="43"/>
    <n v="90"/>
    <n v="3870"/>
    <n v="14"/>
    <x v="1"/>
    <n v="2"/>
  </r>
  <r>
    <n v="570"/>
    <x v="1"/>
    <x v="79"/>
    <s v="Bread"/>
    <x v="0"/>
    <x v="2"/>
    <n v="196"/>
    <n v="135"/>
    <n v="26460"/>
    <n v="8"/>
    <x v="1"/>
    <m/>
  </r>
  <r>
    <n v="571"/>
    <x v="0"/>
    <x v="80"/>
    <s v="Biscuits"/>
    <x v="0"/>
    <x v="2"/>
    <n v="213"/>
    <n v="90"/>
    <n v="19170"/>
    <n v="20"/>
    <x v="0"/>
    <n v="3"/>
  </r>
  <r>
    <n v="572"/>
    <x v="0"/>
    <x v="81"/>
    <s v="Paneer"/>
    <x v="2"/>
    <x v="1"/>
    <n v="176"/>
    <n v="45"/>
    <n v="7920"/>
    <n v="16"/>
    <x v="1"/>
    <n v="4"/>
  </r>
  <r>
    <n v="573"/>
    <x v="0"/>
    <x v="82"/>
    <s v="Rice"/>
    <x v="1"/>
    <x v="1"/>
    <n v="54"/>
    <n v="45"/>
    <n v="2430"/>
    <n v="19"/>
    <x v="1"/>
    <m/>
  </r>
  <r>
    <n v="574"/>
    <x v="0"/>
    <x v="83"/>
    <s v="Eggs"/>
    <x v="4"/>
    <x v="0"/>
    <n v="155"/>
    <n v="45"/>
    <n v="6975"/>
    <n v="20"/>
    <x v="1"/>
    <n v="1"/>
  </r>
  <r>
    <n v="575"/>
    <x v="1"/>
    <x v="84"/>
    <s v="Biscuits"/>
    <x v="0"/>
    <x v="1"/>
    <n v="30"/>
    <n v="135"/>
    <n v="4050"/>
    <n v="9"/>
    <x v="0"/>
    <n v="4"/>
  </r>
  <r>
    <n v="576"/>
    <x v="0"/>
    <x v="85"/>
    <s v="Paneer"/>
    <x v="2"/>
    <x v="4"/>
    <n v="39"/>
    <n v="225"/>
    <n v="8775"/>
    <n v="15"/>
    <x v="0"/>
    <n v="1"/>
  </r>
  <r>
    <n v="577"/>
    <x v="0"/>
    <x v="86"/>
    <s v="Biscuits"/>
    <x v="0"/>
    <x v="0"/>
    <n v="88"/>
    <n v="180"/>
    <n v="15840"/>
    <n v="15"/>
    <x v="2"/>
    <n v="3"/>
  </r>
  <r>
    <n v="578"/>
    <x v="1"/>
    <x v="87"/>
    <s v="Butter"/>
    <x v="2"/>
    <x v="1"/>
    <n v="65"/>
    <n v="135"/>
    <n v="8775"/>
    <n v="11"/>
    <x v="0"/>
    <n v="3"/>
  </r>
  <r>
    <n v="579"/>
    <x v="0"/>
    <x v="88"/>
    <s v="Juice"/>
    <x v="3"/>
    <x v="3"/>
    <n v="131"/>
    <n v="180"/>
    <n v="23580"/>
    <n v="19"/>
    <x v="2"/>
    <n v="3"/>
  </r>
  <r>
    <n v="580"/>
    <x v="0"/>
    <x v="89"/>
    <s v="Eggs"/>
    <x v="4"/>
    <x v="1"/>
    <n v="85"/>
    <n v="135"/>
    <n v="11475"/>
    <n v="24"/>
    <x v="0"/>
    <n v="3"/>
  </r>
  <r>
    <n v="581"/>
    <x v="0"/>
    <x v="90"/>
    <s v="Juice"/>
    <x v="3"/>
    <x v="0"/>
    <n v="149"/>
    <n v="45"/>
    <n v="6705"/>
    <n v="11"/>
    <x v="0"/>
    <n v="5"/>
  </r>
  <r>
    <n v="582"/>
    <x v="1"/>
    <x v="91"/>
    <s v="Eggs"/>
    <x v="4"/>
    <x v="0"/>
    <n v="112"/>
    <n v="90"/>
    <n v="10080"/>
    <n v="9"/>
    <x v="2"/>
    <n v="5"/>
  </r>
  <r>
    <n v="583"/>
    <x v="1"/>
    <x v="92"/>
    <s v="Atta"/>
    <x v="1"/>
    <x v="4"/>
    <n v="118"/>
    <n v="225"/>
    <n v="26550"/>
    <n v="19"/>
    <x v="2"/>
    <n v="2"/>
  </r>
  <r>
    <n v="584"/>
    <x v="1"/>
    <x v="93"/>
    <s v="Atta"/>
    <x v="1"/>
    <x v="3"/>
    <n v="217"/>
    <n v="135"/>
    <n v="29295"/>
    <n v="8"/>
    <x v="2"/>
    <n v="4"/>
  </r>
  <r>
    <n v="585"/>
    <x v="0"/>
    <x v="94"/>
    <s v="Snacks"/>
    <x v="5"/>
    <x v="2"/>
    <n v="215"/>
    <n v="225"/>
    <n v="48375"/>
    <n v="20"/>
    <x v="2"/>
    <n v="3"/>
  </r>
  <r>
    <n v="586"/>
    <x v="1"/>
    <x v="95"/>
    <s v="Milk"/>
    <x v="2"/>
    <x v="4"/>
    <n v="143"/>
    <n v="45"/>
    <n v="6435"/>
    <n v="16"/>
    <x v="2"/>
    <n v="3"/>
  </r>
  <r>
    <n v="587"/>
    <x v="1"/>
    <x v="96"/>
    <s v="Snacks"/>
    <x v="5"/>
    <x v="4"/>
    <n v="71"/>
    <n v="180"/>
    <n v="12780"/>
    <n v="14"/>
    <x v="1"/>
    <n v="4"/>
  </r>
  <r>
    <n v="588"/>
    <x v="1"/>
    <x v="97"/>
    <s v="Bread"/>
    <x v="0"/>
    <x v="4"/>
    <n v="145"/>
    <n v="135"/>
    <n v="19575"/>
    <n v="13"/>
    <x v="0"/>
    <n v="4"/>
  </r>
  <r>
    <n v="589"/>
    <x v="1"/>
    <x v="98"/>
    <s v="Juice"/>
    <x v="3"/>
    <x v="1"/>
    <n v="30"/>
    <n v="135"/>
    <n v="4050"/>
    <n v="11"/>
    <x v="0"/>
    <n v="5"/>
  </r>
  <r>
    <n v="590"/>
    <x v="0"/>
    <x v="99"/>
    <s v="Biscuits"/>
    <x v="0"/>
    <x v="2"/>
    <n v="167"/>
    <n v="45"/>
    <n v="7515"/>
    <n v="10"/>
    <x v="1"/>
    <n v="1"/>
  </r>
  <r>
    <n v="591"/>
    <x v="1"/>
    <x v="100"/>
    <s v="Paneer"/>
    <x v="2"/>
    <x v="1"/>
    <n v="46"/>
    <n v="225"/>
    <n v="10350"/>
    <n v="9"/>
    <x v="0"/>
    <m/>
  </r>
  <r>
    <n v="592"/>
    <x v="1"/>
    <x v="101"/>
    <s v="Rice"/>
    <x v="1"/>
    <x v="0"/>
    <n v="250"/>
    <n v="90"/>
    <n v="22500"/>
    <n v="16"/>
    <x v="0"/>
    <n v="3"/>
  </r>
  <r>
    <n v="593"/>
    <x v="1"/>
    <x v="102"/>
    <s v="Butter"/>
    <x v="2"/>
    <x v="4"/>
    <n v="92"/>
    <n v="90"/>
    <n v="8280"/>
    <n v="10"/>
    <x v="1"/>
    <m/>
  </r>
  <r>
    <n v="594"/>
    <x v="1"/>
    <x v="103"/>
    <s v="Paneer"/>
    <x v="2"/>
    <x v="0"/>
    <n v="157"/>
    <n v="45"/>
    <n v="7065"/>
    <n v="13"/>
    <x v="2"/>
    <n v="1"/>
  </r>
  <r>
    <n v="595"/>
    <x v="1"/>
    <x v="104"/>
    <s v="Milk"/>
    <x v="2"/>
    <x v="3"/>
    <n v="98"/>
    <n v="135"/>
    <n v="13230"/>
    <n v="13"/>
    <x v="1"/>
    <n v="2"/>
  </r>
  <r>
    <n v="596"/>
    <x v="0"/>
    <x v="105"/>
    <s v="Snacks"/>
    <x v="5"/>
    <x v="4"/>
    <n v="114"/>
    <n v="180"/>
    <n v="20520"/>
    <n v="14"/>
    <x v="1"/>
    <n v="4"/>
  </r>
  <r>
    <n v="597"/>
    <x v="0"/>
    <x v="106"/>
    <s v="Atta"/>
    <x v="1"/>
    <x v="3"/>
    <n v="125"/>
    <n v="135"/>
    <n v="16875"/>
    <n v="11"/>
    <x v="1"/>
    <m/>
  </r>
  <r>
    <n v="598"/>
    <x v="1"/>
    <x v="107"/>
    <s v="Biscuits"/>
    <x v="0"/>
    <x v="1"/>
    <n v="213"/>
    <n v="135"/>
    <n v="28755"/>
    <n v="10"/>
    <x v="1"/>
    <n v="5"/>
  </r>
  <r>
    <n v="599"/>
    <x v="1"/>
    <x v="108"/>
    <s v="Eggs"/>
    <x v="4"/>
    <x v="2"/>
    <n v="126"/>
    <n v="225"/>
    <n v="28350"/>
    <n v="14"/>
    <x v="2"/>
    <n v="1"/>
  </r>
  <r>
    <n v="600"/>
    <x v="1"/>
    <x v="109"/>
    <s v="Eggs"/>
    <x v="4"/>
    <x v="0"/>
    <n v="227"/>
    <n v="135"/>
    <n v="30645"/>
    <n v="10"/>
    <x v="2"/>
    <n v="3"/>
  </r>
  <r>
    <n v="601"/>
    <x v="0"/>
    <x v="110"/>
    <s v="Eggs"/>
    <x v="4"/>
    <x v="2"/>
    <n v="229"/>
    <n v="135"/>
    <n v="30915"/>
    <n v="21"/>
    <x v="1"/>
    <n v="4"/>
  </r>
  <r>
    <n v="602"/>
    <x v="1"/>
    <x v="111"/>
    <s v="Paneer"/>
    <x v="2"/>
    <x v="2"/>
    <n v="205"/>
    <n v="225"/>
    <n v="46125"/>
    <n v="15"/>
    <x v="1"/>
    <n v="1"/>
  </r>
  <r>
    <n v="603"/>
    <x v="0"/>
    <x v="112"/>
    <s v="Bread"/>
    <x v="0"/>
    <x v="0"/>
    <n v="193"/>
    <n v="180"/>
    <n v="34740"/>
    <n v="18"/>
    <x v="2"/>
    <n v="2"/>
  </r>
  <r>
    <n v="604"/>
    <x v="0"/>
    <x v="113"/>
    <s v="Juice"/>
    <x v="3"/>
    <x v="1"/>
    <n v="63"/>
    <n v="90"/>
    <n v="5670"/>
    <n v="23"/>
    <x v="0"/>
    <n v="4"/>
  </r>
  <r>
    <n v="605"/>
    <x v="1"/>
    <x v="114"/>
    <s v="Juice"/>
    <x v="3"/>
    <x v="1"/>
    <n v="200"/>
    <n v="180"/>
    <n v="36000"/>
    <n v="14"/>
    <x v="0"/>
    <n v="4"/>
  </r>
  <r>
    <n v="606"/>
    <x v="1"/>
    <x v="115"/>
    <s v="Atta"/>
    <x v="1"/>
    <x v="1"/>
    <n v="241"/>
    <n v="90"/>
    <n v="21690"/>
    <n v="11"/>
    <x v="1"/>
    <n v="4"/>
  </r>
  <r>
    <n v="607"/>
    <x v="0"/>
    <x v="116"/>
    <s v="Coke"/>
    <x v="3"/>
    <x v="4"/>
    <n v="50"/>
    <n v="225"/>
    <n v="11250"/>
    <n v="13"/>
    <x v="1"/>
    <m/>
  </r>
  <r>
    <n v="608"/>
    <x v="0"/>
    <x v="0"/>
    <s v="Paneer"/>
    <x v="2"/>
    <x v="4"/>
    <n v="146"/>
    <n v="180"/>
    <n v="26280"/>
    <n v="17"/>
    <x v="2"/>
    <n v="5"/>
  </r>
  <r>
    <n v="609"/>
    <x v="1"/>
    <x v="1"/>
    <s v="Milk"/>
    <x v="2"/>
    <x v="1"/>
    <n v="130"/>
    <n v="135"/>
    <n v="17550"/>
    <n v="11"/>
    <x v="0"/>
    <n v="3"/>
  </r>
  <r>
    <n v="610"/>
    <x v="0"/>
    <x v="2"/>
    <s v="Paneer"/>
    <x v="2"/>
    <x v="1"/>
    <n v="137"/>
    <n v="45"/>
    <n v="6165"/>
    <n v="14"/>
    <x v="1"/>
    <n v="1"/>
  </r>
  <r>
    <n v="611"/>
    <x v="0"/>
    <x v="3"/>
    <s v="Eggs"/>
    <x v="4"/>
    <x v="1"/>
    <n v="139"/>
    <n v="225"/>
    <n v="31275"/>
    <n v="14"/>
    <x v="2"/>
    <n v="1"/>
  </r>
  <r>
    <n v="612"/>
    <x v="0"/>
    <x v="4"/>
    <s v="Eggs"/>
    <x v="4"/>
    <x v="3"/>
    <n v="239"/>
    <n v="90"/>
    <n v="21510"/>
    <n v="14"/>
    <x v="0"/>
    <n v="4"/>
  </r>
  <r>
    <n v="613"/>
    <x v="1"/>
    <x v="5"/>
    <s v="Paneer"/>
    <x v="2"/>
    <x v="0"/>
    <n v="150"/>
    <n v="90"/>
    <n v="13500"/>
    <n v="11"/>
    <x v="2"/>
    <n v="4"/>
  </r>
  <r>
    <n v="614"/>
    <x v="1"/>
    <x v="6"/>
    <s v="Butter"/>
    <x v="2"/>
    <x v="0"/>
    <n v="141"/>
    <n v="90"/>
    <n v="12690"/>
    <n v="7"/>
    <x v="0"/>
    <n v="2"/>
  </r>
  <r>
    <n v="615"/>
    <x v="1"/>
    <x v="7"/>
    <s v="Biscuits"/>
    <x v="0"/>
    <x v="3"/>
    <n v="176"/>
    <n v="180"/>
    <n v="31680"/>
    <n v="10"/>
    <x v="2"/>
    <n v="3"/>
  </r>
  <r>
    <n v="616"/>
    <x v="1"/>
    <x v="8"/>
    <s v="Milk"/>
    <x v="2"/>
    <x v="0"/>
    <n v="168"/>
    <n v="45"/>
    <n v="7560"/>
    <n v="13"/>
    <x v="2"/>
    <n v="2"/>
  </r>
  <r>
    <n v="617"/>
    <x v="0"/>
    <x v="9"/>
    <s v="Atta"/>
    <x v="1"/>
    <x v="1"/>
    <n v="86"/>
    <n v="180"/>
    <n v="15480"/>
    <n v="14"/>
    <x v="2"/>
    <n v="1"/>
  </r>
  <r>
    <n v="618"/>
    <x v="1"/>
    <x v="10"/>
    <s v="Eggs"/>
    <x v="4"/>
    <x v="1"/>
    <n v="123"/>
    <n v="135"/>
    <n v="16605"/>
    <n v="20"/>
    <x v="2"/>
    <m/>
  </r>
  <r>
    <n v="619"/>
    <x v="1"/>
    <x v="11"/>
    <s v="Milk"/>
    <x v="2"/>
    <x v="2"/>
    <n v="143"/>
    <n v="135"/>
    <n v="19305"/>
    <n v="16"/>
    <x v="0"/>
    <n v="5"/>
  </r>
  <r>
    <n v="620"/>
    <x v="1"/>
    <x v="12"/>
    <s v="Milk"/>
    <x v="2"/>
    <x v="0"/>
    <n v="155"/>
    <n v="45"/>
    <n v="6975"/>
    <n v="16"/>
    <x v="2"/>
    <n v="1"/>
  </r>
  <r>
    <n v="621"/>
    <x v="1"/>
    <x v="13"/>
    <s v="Juice"/>
    <x v="3"/>
    <x v="1"/>
    <n v="117"/>
    <n v="135"/>
    <n v="15795"/>
    <n v="16"/>
    <x v="0"/>
    <n v="3"/>
  </r>
  <r>
    <n v="622"/>
    <x v="1"/>
    <x v="14"/>
    <s v="Milk"/>
    <x v="2"/>
    <x v="0"/>
    <n v="163"/>
    <n v="135"/>
    <n v="22005"/>
    <n v="7"/>
    <x v="0"/>
    <n v="5"/>
  </r>
  <r>
    <n v="623"/>
    <x v="1"/>
    <x v="15"/>
    <s v="Butter"/>
    <x v="2"/>
    <x v="2"/>
    <n v="236"/>
    <n v="180"/>
    <n v="42480"/>
    <n v="19"/>
    <x v="1"/>
    <n v="2"/>
  </r>
  <r>
    <n v="624"/>
    <x v="0"/>
    <x v="16"/>
    <s v="Coke"/>
    <x v="3"/>
    <x v="1"/>
    <n v="54"/>
    <n v="180"/>
    <n v="9720"/>
    <n v="14"/>
    <x v="1"/>
    <n v="1"/>
  </r>
  <r>
    <n v="625"/>
    <x v="1"/>
    <x v="17"/>
    <s v="Juice"/>
    <x v="3"/>
    <x v="0"/>
    <n v="148"/>
    <n v="225"/>
    <n v="33300"/>
    <n v="18"/>
    <x v="1"/>
    <n v="3"/>
  </r>
  <r>
    <n v="626"/>
    <x v="1"/>
    <x v="18"/>
    <s v="Rice"/>
    <x v="1"/>
    <x v="1"/>
    <n v="192"/>
    <n v="90"/>
    <n v="17280"/>
    <n v="7"/>
    <x v="0"/>
    <n v="2"/>
  </r>
  <r>
    <n v="627"/>
    <x v="1"/>
    <x v="19"/>
    <s v="Milk"/>
    <x v="2"/>
    <x v="1"/>
    <n v="166"/>
    <n v="45"/>
    <n v="7470"/>
    <n v="15"/>
    <x v="1"/>
    <n v="2"/>
  </r>
  <r>
    <n v="628"/>
    <x v="0"/>
    <x v="20"/>
    <s v="Biscuits"/>
    <x v="0"/>
    <x v="2"/>
    <n v="144"/>
    <n v="90"/>
    <n v="12960"/>
    <n v="23"/>
    <x v="0"/>
    <m/>
  </r>
  <r>
    <n v="629"/>
    <x v="0"/>
    <x v="21"/>
    <s v="Paneer"/>
    <x v="2"/>
    <x v="4"/>
    <n v="101"/>
    <n v="90"/>
    <n v="9090"/>
    <n v="25"/>
    <x v="2"/>
    <n v="3"/>
  </r>
  <r>
    <n v="630"/>
    <x v="0"/>
    <x v="22"/>
    <s v="Eggs"/>
    <x v="4"/>
    <x v="2"/>
    <n v="66"/>
    <n v="45"/>
    <n v="2970"/>
    <n v="23"/>
    <x v="2"/>
    <n v="2"/>
  </r>
  <r>
    <n v="631"/>
    <x v="0"/>
    <x v="23"/>
    <s v="Paneer"/>
    <x v="2"/>
    <x v="4"/>
    <n v="131"/>
    <n v="90"/>
    <n v="11790"/>
    <n v="16"/>
    <x v="1"/>
    <n v="3"/>
  </r>
  <r>
    <n v="632"/>
    <x v="0"/>
    <x v="24"/>
    <s v="Milk"/>
    <x v="2"/>
    <x v="1"/>
    <n v="38"/>
    <n v="180"/>
    <n v="6840"/>
    <n v="10"/>
    <x v="2"/>
    <m/>
  </r>
  <r>
    <n v="633"/>
    <x v="0"/>
    <x v="25"/>
    <s v="Eggs"/>
    <x v="4"/>
    <x v="2"/>
    <n v="171"/>
    <n v="90"/>
    <n v="15390"/>
    <n v="11"/>
    <x v="1"/>
    <n v="2"/>
  </r>
  <r>
    <n v="634"/>
    <x v="0"/>
    <x v="26"/>
    <s v="Rice"/>
    <x v="1"/>
    <x v="0"/>
    <n v="247"/>
    <n v="135"/>
    <n v="33345"/>
    <n v="10"/>
    <x v="1"/>
    <n v="4"/>
  </r>
  <r>
    <n v="635"/>
    <x v="1"/>
    <x v="27"/>
    <s v="Snacks"/>
    <x v="5"/>
    <x v="3"/>
    <n v="157"/>
    <n v="90"/>
    <n v="14130"/>
    <n v="12"/>
    <x v="2"/>
    <n v="4"/>
  </r>
  <r>
    <n v="636"/>
    <x v="1"/>
    <x v="28"/>
    <s v="Paneer"/>
    <x v="2"/>
    <x v="1"/>
    <n v="141"/>
    <n v="90"/>
    <n v="12690"/>
    <n v="17"/>
    <x v="0"/>
    <n v="1"/>
  </r>
  <r>
    <n v="637"/>
    <x v="1"/>
    <x v="29"/>
    <s v="Butter"/>
    <x v="2"/>
    <x v="1"/>
    <n v="203"/>
    <n v="180"/>
    <n v="36540"/>
    <n v="18"/>
    <x v="0"/>
    <n v="2"/>
  </r>
  <r>
    <n v="638"/>
    <x v="1"/>
    <x v="30"/>
    <s v="Milk"/>
    <x v="2"/>
    <x v="1"/>
    <n v="55"/>
    <n v="135"/>
    <n v="7425"/>
    <n v="10"/>
    <x v="1"/>
    <n v="2"/>
  </r>
  <r>
    <n v="639"/>
    <x v="1"/>
    <x v="31"/>
    <s v="Butter"/>
    <x v="2"/>
    <x v="4"/>
    <n v="78"/>
    <n v="90"/>
    <n v="7020"/>
    <n v="19"/>
    <x v="0"/>
    <n v="5"/>
  </r>
  <r>
    <n v="640"/>
    <x v="1"/>
    <x v="32"/>
    <s v="Paneer"/>
    <x v="2"/>
    <x v="4"/>
    <n v="81"/>
    <n v="90"/>
    <n v="7290"/>
    <n v="9"/>
    <x v="1"/>
    <n v="3"/>
  </r>
  <r>
    <n v="641"/>
    <x v="1"/>
    <x v="33"/>
    <s v="Juice"/>
    <x v="3"/>
    <x v="3"/>
    <n v="46"/>
    <n v="135"/>
    <n v="6210"/>
    <n v="7"/>
    <x v="0"/>
    <m/>
  </r>
  <r>
    <n v="642"/>
    <x v="0"/>
    <x v="34"/>
    <s v="Eggs"/>
    <x v="4"/>
    <x v="4"/>
    <n v="172"/>
    <n v="90"/>
    <n v="15480"/>
    <n v="25"/>
    <x v="2"/>
    <n v="3"/>
  </r>
  <r>
    <n v="643"/>
    <x v="0"/>
    <x v="35"/>
    <s v="Snacks"/>
    <x v="5"/>
    <x v="3"/>
    <n v="131"/>
    <n v="225"/>
    <n v="29475"/>
    <n v="13"/>
    <x v="1"/>
    <m/>
  </r>
  <r>
    <n v="644"/>
    <x v="0"/>
    <x v="36"/>
    <s v="Rice"/>
    <x v="1"/>
    <x v="0"/>
    <n v="71"/>
    <n v="135"/>
    <n v="9585"/>
    <n v="13"/>
    <x v="0"/>
    <n v="3"/>
  </r>
  <r>
    <n v="645"/>
    <x v="1"/>
    <x v="37"/>
    <s v="Rice"/>
    <x v="1"/>
    <x v="4"/>
    <n v="159"/>
    <n v="90"/>
    <n v="14310"/>
    <n v="19"/>
    <x v="0"/>
    <n v="4"/>
  </r>
  <r>
    <n v="646"/>
    <x v="1"/>
    <x v="38"/>
    <s v="Bread"/>
    <x v="0"/>
    <x v="2"/>
    <n v="223"/>
    <n v="135"/>
    <n v="30105"/>
    <n v="20"/>
    <x v="1"/>
    <n v="4"/>
  </r>
  <r>
    <n v="647"/>
    <x v="0"/>
    <x v="39"/>
    <s v="Rice"/>
    <x v="1"/>
    <x v="1"/>
    <n v="179"/>
    <n v="135"/>
    <n v="24165"/>
    <n v="17"/>
    <x v="2"/>
    <n v="1"/>
  </r>
  <r>
    <n v="648"/>
    <x v="0"/>
    <x v="40"/>
    <s v="Atta"/>
    <x v="1"/>
    <x v="1"/>
    <n v="68"/>
    <n v="90"/>
    <n v="6120"/>
    <n v="11"/>
    <x v="1"/>
    <n v="5"/>
  </r>
  <r>
    <n v="649"/>
    <x v="0"/>
    <x v="41"/>
    <s v="Juice"/>
    <x v="3"/>
    <x v="0"/>
    <n v="249"/>
    <n v="225"/>
    <n v="56025"/>
    <n v="11"/>
    <x v="1"/>
    <n v="1"/>
  </r>
  <r>
    <n v="650"/>
    <x v="0"/>
    <x v="42"/>
    <s v="Juice"/>
    <x v="3"/>
    <x v="2"/>
    <n v="122"/>
    <n v="135"/>
    <n v="16470"/>
    <n v="20"/>
    <x v="1"/>
    <m/>
  </r>
  <r>
    <n v="651"/>
    <x v="0"/>
    <x v="43"/>
    <s v="Coke"/>
    <x v="3"/>
    <x v="4"/>
    <n v="225"/>
    <n v="225"/>
    <n v="50625"/>
    <n v="19"/>
    <x v="0"/>
    <n v="2"/>
  </r>
  <r>
    <n v="652"/>
    <x v="0"/>
    <x v="44"/>
    <s v="Biscuits"/>
    <x v="0"/>
    <x v="0"/>
    <n v="161"/>
    <n v="225"/>
    <n v="36225"/>
    <n v="16"/>
    <x v="1"/>
    <n v="1"/>
  </r>
  <r>
    <n v="653"/>
    <x v="1"/>
    <x v="45"/>
    <s v="Milk"/>
    <x v="2"/>
    <x v="1"/>
    <n v="52"/>
    <n v="135"/>
    <n v="7020"/>
    <n v="9"/>
    <x v="0"/>
    <m/>
  </r>
  <r>
    <n v="654"/>
    <x v="0"/>
    <x v="46"/>
    <s v="Paneer"/>
    <x v="2"/>
    <x v="3"/>
    <n v="214"/>
    <n v="180"/>
    <n v="38520"/>
    <n v="13"/>
    <x v="0"/>
    <n v="2"/>
  </r>
  <r>
    <n v="655"/>
    <x v="1"/>
    <x v="47"/>
    <s v="Bread"/>
    <x v="0"/>
    <x v="4"/>
    <n v="247"/>
    <n v="45"/>
    <n v="11115"/>
    <n v="20"/>
    <x v="0"/>
    <n v="4"/>
  </r>
  <r>
    <n v="656"/>
    <x v="0"/>
    <x v="48"/>
    <s v="Atta"/>
    <x v="1"/>
    <x v="0"/>
    <n v="84"/>
    <n v="90"/>
    <n v="7560"/>
    <n v="22"/>
    <x v="0"/>
    <n v="5"/>
  </r>
  <r>
    <n v="657"/>
    <x v="0"/>
    <x v="49"/>
    <s v="Atta"/>
    <x v="1"/>
    <x v="4"/>
    <n v="201"/>
    <n v="45"/>
    <n v="9045"/>
    <n v="22"/>
    <x v="0"/>
    <n v="1"/>
  </r>
  <r>
    <n v="658"/>
    <x v="1"/>
    <x v="50"/>
    <s v="Butter"/>
    <x v="2"/>
    <x v="1"/>
    <n v="50"/>
    <n v="180"/>
    <n v="9000"/>
    <n v="18"/>
    <x v="1"/>
    <n v="1"/>
  </r>
  <r>
    <n v="659"/>
    <x v="0"/>
    <x v="51"/>
    <s v="Coke"/>
    <x v="3"/>
    <x v="2"/>
    <n v="146"/>
    <n v="180"/>
    <n v="26280"/>
    <n v="21"/>
    <x v="1"/>
    <n v="2"/>
  </r>
  <r>
    <n v="660"/>
    <x v="1"/>
    <x v="52"/>
    <s v="Eggs"/>
    <x v="4"/>
    <x v="2"/>
    <n v="75"/>
    <n v="135"/>
    <n v="10125"/>
    <n v="7"/>
    <x v="1"/>
    <n v="1"/>
  </r>
  <r>
    <n v="661"/>
    <x v="0"/>
    <x v="53"/>
    <s v="Paneer"/>
    <x v="2"/>
    <x v="1"/>
    <n v="211"/>
    <n v="135"/>
    <n v="28485"/>
    <n v="16"/>
    <x v="1"/>
    <n v="5"/>
  </r>
  <r>
    <n v="662"/>
    <x v="0"/>
    <x v="54"/>
    <s v="Coke"/>
    <x v="3"/>
    <x v="3"/>
    <n v="188"/>
    <n v="90"/>
    <n v="16920"/>
    <n v="20"/>
    <x v="1"/>
    <n v="4"/>
  </r>
  <r>
    <n v="663"/>
    <x v="1"/>
    <x v="55"/>
    <s v="Atta"/>
    <x v="1"/>
    <x v="1"/>
    <n v="183"/>
    <n v="225"/>
    <n v="41175"/>
    <n v="11"/>
    <x v="0"/>
    <n v="4"/>
  </r>
  <r>
    <n v="664"/>
    <x v="1"/>
    <x v="56"/>
    <s v="Biscuits"/>
    <x v="0"/>
    <x v="1"/>
    <n v="148"/>
    <n v="45"/>
    <n v="6660"/>
    <n v="15"/>
    <x v="0"/>
    <m/>
  </r>
  <r>
    <n v="665"/>
    <x v="1"/>
    <x v="57"/>
    <s v="Milk"/>
    <x v="2"/>
    <x v="3"/>
    <n v="46"/>
    <n v="135"/>
    <n v="6210"/>
    <n v="12"/>
    <x v="2"/>
    <n v="1"/>
  </r>
  <r>
    <n v="666"/>
    <x v="0"/>
    <x v="58"/>
    <s v="Snacks"/>
    <x v="5"/>
    <x v="3"/>
    <n v="189"/>
    <n v="180"/>
    <n v="34020"/>
    <n v="11"/>
    <x v="0"/>
    <n v="2"/>
  </r>
  <r>
    <n v="667"/>
    <x v="1"/>
    <x v="59"/>
    <s v="Biscuits"/>
    <x v="0"/>
    <x v="0"/>
    <n v="224"/>
    <n v="180"/>
    <n v="40320"/>
    <n v="18"/>
    <x v="1"/>
    <n v="4"/>
  </r>
  <r>
    <n v="668"/>
    <x v="1"/>
    <x v="60"/>
    <s v="Butter"/>
    <x v="2"/>
    <x v="0"/>
    <n v="45"/>
    <n v="90"/>
    <n v="4050"/>
    <n v="20"/>
    <x v="2"/>
    <n v="3"/>
  </r>
  <r>
    <n v="669"/>
    <x v="1"/>
    <x v="61"/>
    <s v="Eggs"/>
    <x v="4"/>
    <x v="3"/>
    <n v="246"/>
    <n v="45"/>
    <n v="11070"/>
    <n v="14"/>
    <x v="0"/>
    <n v="2"/>
  </r>
  <r>
    <n v="670"/>
    <x v="1"/>
    <x v="62"/>
    <s v="Snacks"/>
    <x v="5"/>
    <x v="2"/>
    <n v="55"/>
    <n v="45"/>
    <n v="2475"/>
    <n v="10"/>
    <x v="0"/>
    <n v="2"/>
  </r>
  <r>
    <n v="671"/>
    <x v="1"/>
    <x v="63"/>
    <s v="Bread"/>
    <x v="0"/>
    <x v="1"/>
    <n v="63"/>
    <n v="225"/>
    <n v="14175"/>
    <n v="10"/>
    <x v="2"/>
    <n v="4"/>
  </r>
  <r>
    <n v="672"/>
    <x v="0"/>
    <x v="64"/>
    <s v="Biscuits"/>
    <x v="0"/>
    <x v="3"/>
    <n v="163"/>
    <n v="180"/>
    <n v="29340"/>
    <n v="14"/>
    <x v="0"/>
    <m/>
  </r>
  <r>
    <n v="673"/>
    <x v="1"/>
    <x v="65"/>
    <s v="Milk"/>
    <x v="2"/>
    <x v="3"/>
    <n v="222"/>
    <n v="45"/>
    <n v="9990"/>
    <n v="8"/>
    <x v="0"/>
    <n v="3"/>
  </r>
  <r>
    <n v="674"/>
    <x v="1"/>
    <x v="66"/>
    <s v="Snacks"/>
    <x v="5"/>
    <x v="4"/>
    <n v="197"/>
    <n v="180"/>
    <n v="35460"/>
    <n v="17"/>
    <x v="0"/>
    <n v="4"/>
  </r>
  <r>
    <n v="675"/>
    <x v="0"/>
    <x v="67"/>
    <s v="Bread"/>
    <x v="0"/>
    <x v="1"/>
    <n v="147"/>
    <n v="225"/>
    <n v="33075"/>
    <n v="14"/>
    <x v="1"/>
    <n v="2"/>
  </r>
  <r>
    <n v="676"/>
    <x v="0"/>
    <x v="68"/>
    <s v="Snacks"/>
    <x v="5"/>
    <x v="4"/>
    <n v="52"/>
    <n v="90"/>
    <n v="4680"/>
    <n v="19"/>
    <x v="2"/>
    <n v="1"/>
  </r>
  <r>
    <n v="677"/>
    <x v="0"/>
    <x v="69"/>
    <s v="Milk"/>
    <x v="2"/>
    <x v="4"/>
    <n v="135"/>
    <n v="225"/>
    <n v="30375"/>
    <n v="15"/>
    <x v="2"/>
    <m/>
  </r>
  <r>
    <n v="678"/>
    <x v="0"/>
    <x v="70"/>
    <s v="Coke"/>
    <x v="3"/>
    <x v="3"/>
    <n v="85"/>
    <n v="45"/>
    <n v="3825"/>
    <n v="19"/>
    <x v="0"/>
    <m/>
  </r>
  <r>
    <n v="679"/>
    <x v="1"/>
    <x v="71"/>
    <s v="Rice"/>
    <x v="1"/>
    <x v="0"/>
    <n v="180"/>
    <n v="225"/>
    <n v="40500"/>
    <n v="12"/>
    <x v="1"/>
    <m/>
  </r>
  <r>
    <n v="680"/>
    <x v="1"/>
    <x v="72"/>
    <s v="Rice"/>
    <x v="1"/>
    <x v="0"/>
    <n v="209"/>
    <n v="225"/>
    <n v="47025"/>
    <n v="18"/>
    <x v="0"/>
    <n v="3"/>
  </r>
  <r>
    <n v="681"/>
    <x v="0"/>
    <x v="73"/>
    <s v="Milk"/>
    <x v="2"/>
    <x v="0"/>
    <n v="205"/>
    <n v="90"/>
    <n v="18450"/>
    <n v="11"/>
    <x v="1"/>
    <m/>
  </r>
  <r>
    <n v="682"/>
    <x v="0"/>
    <x v="74"/>
    <s v="Eggs"/>
    <x v="4"/>
    <x v="3"/>
    <n v="104"/>
    <n v="45"/>
    <n v="4680"/>
    <n v="13"/>
    <x v="0"/>
    <m/>
  </r>
  <r>
    <n v="683"/>
    <x v="0"/>
    <x v="75"/>
    <s v="Atta"/>
    <x v="1"/>
    <x v="0"/>
    <n v="76"/>
    <n v="90"/>
    <n v="6840"/>
    <n v="12"/>
    <x v="1"/>
    <n v="1"/>
  </r>
  <r>
    <n v="684"/>
    <x v="1"/>
    <x v="76"/>
    <s v="Eggs"/>
    <x v="4"/>
    <x v="2"/>
    <n v="142"/>
    <n v="180"/>
    <n v="25560"/>
    <n v="15"/>
    <x v="0"/>
    <n v="5"/>
  </r>
  <r>
    <n v="685"/>
    <x v="1"/>
    <x v="77"/>
    <s v="Juice"/>
    <x v="3"/>
    <x v="4"/>
    <n v="111"/>
    <n v="45"/>
    <n v="4995"/>
    <n v="9"/>
    <x v="1"/>
    <n v="3"/>
  </r>
  <r>
    <n v="686"/>
    <x v="0"/>
    <x v="78"/>
    <s v="Butter"/>
    <x v="2"/>
    <x v="3"/>
    <n v="199"/>
    <n v="90"/>
    <n v="17910"/>
    <n v="14"/>
    <x v="1"/>
    <n v="1"/>
  </r>
  <r>
    <n v="687"/>
    <x v="1"/>
    <x v="79"/>
    <s v="Paneer"/>
    <x v="2"/>
    <x v="3"/>
    <n v="109"/>
    <n v="225"/>
    <n v="24525"/>
    <n v="8"/>
    <x v="1"/>
    <n v="2"/>
  </r>
  <r>
    <n v="688"/>
    <x v="0"/>
    <x v="80"/>
    <s v="Butter"/>
    <x v="2"/>
    <x v="0"/>
    <n v="115"/>
    <n v="180"/>
    <n v="20700"/>
    <n v="22"/>
    <x v="1"/>
    <m/>
  </r>
  <r>
    <n v="689"/>
    <x v="1"/>
    <x v="81"/>
    <s v="Coke"/>
    <x v="3"/>
    <x v="2"/>
    <n v="212"/>
    <n v="180"/>
    <n v="38160"/>
    <n v="7"/>
    <x v="0"/>
    <n v="1"/>
  </r>
  <r>
    <n v="690"/>
    <x v="1"/>
    <x v="82"/>
    <s v="Butter"/>
    <x v="2"/>
    <x v="4"/>
    <n v="78"/>
    <n v="135"/>
    <n v="10530"/>
    <n v="17"/>
    <x v="1"/>
    <m/>
  </r>
  <r>
    <n v="691"/>
    <x v="0"/>
    <x v="83"/>
    <s v="Milk"/>
    <x v="2"/>
    <x v="0"/>
    <n v="77"/>
    <n v="45"/>
    <n v="3465"/>
    <n v="24"/>
    <x v="0"/>
    <n v="5"/>
  </r>
  <r>
    <n v="692"/>
    <x v="0"/>
    <x v="84"/>
    <s v="Paneer"/>
    <x v="2"/>
    <x v="4"/>
    <n v="181"/>
    <n v="90"/>
    <n v="16290"/>
    <n v="19"/>
    <x v="2"/>
    <n v="3"/>
  </r>
  <r>
    <n v="693"/>
    <x v="0"/>
    <x v="85"/>
    <s v="Paneer"/>
    <x v="2"/>
    <x v="2"/>
    <n v="166"/>
    <n v="45"/>
    <n v="7470"/>
    <n v="24"/>
    <x v="0"/>
    <n v="2"/>
  </r>
  <r>
    <n v="694"/>
    <x v="0"/>
    <x v="86"/>
    <s v="Paneer"/>
    <x v="2"/>
    <x v="4"/>
    <n v="158"/>
    <n v="180"/>
    <n v="28440"/>
    <n v="11"/>
    <x v="2"/>
    <m/>
  </r>
  <r>
    <n v="695"/>
    <x v="0"/>
    <x v="87"/>
    <s v="Biscuits"/>
    <x v="0"/>
    <x v="1"/>
    <n v="71"/>
    <n v="45"/>
    <n v="3195"/>
    <n v="12"/>
    <x v="0"/>
    <n v="4"/>
  </r>
  <r>
    <n v="696"/>
    <x v="0"/>
    <x v="88"/>
    <s v="Milk"/>
    <x v="2"/>
    <x v="2"/>
    <n v="218"/>
    <n v="90"/>
    <n v="19620"/>
    <n v="25"/>
    <x v="0"/>
    <n v="2"/>
  </r>
  <r>
    <n v="697"/>
    <x v="1"/>
    <x v="89"/>
    <s v="Biscuits"/>
    <x v="0"/>
    <x v="1"/>
    <n v="77"/>
    <n v="135"/>
    <n v="10395"/>
    <n v="19"/>
    <x v="1"/>
    <n v="4"/>
  </r>
  <r>
    <n v="698"/>
    <x v="0"/>
    <x v="90"/>
    <s v="Coke"/>
    <x v="3"/>
    <x v="2"/>
    <n v="140"/>
    <n v="90"/>
    <n v="12600"/>
    <n v="23"/>
    <x v="0"/>
    <n v="4"/>
  </r>
  <r>
    <n v="699"/>
    <x v="1"/>
    <x v="91"/>
    <s v="Snacks"/>
    <x v="5"/>
    <x v="0"/>
    <n v="30"/>
    <n v="90"/>
    <n v="2700"/>
    <n v="7"/>
    <x v="0"/>
    <n v="5"/>
  </r>
  <r>
    <n v="700"/>
    <x v="1"/>
    <x v="92"/>
    <s v="Bread"/>
    <x v="0"/>
    <x v="1"/>
    <n v="149"/>
    <n v="90"/>
    <n v="13410"/>
    <n v="17"/>
    <x v="2"/>
    <n v="4"/>
  </r>
  <r>
    <n v="701"/>
    <x v="0"/>
    <x v="93"/>
    <s v="Bread"/>
    <x v="0"/>
    <x v="1"/>
    <n v="175"/>
    <n v="135"/>
    <n v="23625"/>
    <n v="10"/>
    <x v="1"/>
    <n v="1"/>
  </r>
  <r>
    <n v="702"/>
    <x v="0"/>
    <x v="94"/>
    <s v="Milk"/>
    <x v="2"/>
    <x v="0"/>
    <n v="171"/>
    <n v="180"/>
    <n v="30780"/>
    <n v="18"/>
    <x v="1"/>
    <n v="5"/>
  </r>
  <r>
    <n v="703"/>
    <x v="1"/>
    <x v="95"/>
    <s v="Milk"/>
    <x v="2"/>
    <x v="1"/>
    <n v="151"/>
    <n v="90"/>
    <n v="13590"/>
    <n v="20"/>
    <x v="2"/>
    <m/>
  </r>
  <r>
    <n v="704"/>
    <x v="0"/>
    <x v="96"/>
    <s v="Biscuits"/>
    <x v="0"/>
    <x v="3"/>
    <n v="87"/>
    <n v="45"/>
    <n v="3915"/>
    <n v="20"/>
    <x v="0"/>
    <n v="3"/>
  </r>
  <r>
    <n v="705"/>
    <x v="1"/>
    <x v="97"/>
    <s v="Atta"/>
    <x v="1"/>
    <x v="3"/>
    <n v="240"/>
    <n v="45"/>
    <n v="10800"/>
    <n v="9"/>
    <x v="1"/>
    <n v="2"/>
  </r>
  <r>
    <n v="706"/>
    <x v="1"/>
    <x v="98"/>
    <s v="Bread"/>
    <x v="0"/>
    <x v="3"/>
    <n v="128"/>
    <n v="90"/>
    <n v="11520"/>
    <n v="14"/>
    <x v="2"/>
    <n v="5"/>
  </r>
  <r>
    <n v="707"/>
    <x v="1"/>
    <x v="99"/>
    <s v="Milk"/>
    <x v="2"/>
    <x v="3"/>
    <n v="221"/>
    <n v="225"/>
    <n v="49725"/>
    <n v="17"/>
    <x v="0"/>
    <m/>
  </r>
  <r>
    <n v="708"/>
    <x v="0"/>
    <x v="100"/>
    <s v="Biscuits"/>
    <x v="0"/>
    <x v="4"/>
    <n v="30"/>
    <n v="90"/>
    <n v="2700"/>
    <n v="25"/>
    <x v="0"/>
    <n v="2"/>
  </r>
  <r>
    <n v="709"/>
    <x v="1"/>
    <x v="101"/>
    <s v="Butter"/>
    <x v="2"/>
    <x v="2"/>
    <n v="178"/>
    <n v="225"/>
    <n v="40050"/>
    <n v="12"/>
    <x v="2"/>
    <n v="5"/>
  </r>
  <r>
    <n v="710"/>
    <x v="0"/>
    <x v="102"/>
    <s v="Eggs"/>
    <x v="4"/>
    <x v="0"/>
    <n v="147"/>
    <n v="135"/>
    <n v="19845"/>
    <n v="12"/>
    <x v="2"/>
    <n v="2"/>
  </r>
  <r>
    <n v="711"/>
    <x v="0"/>
    <x v="103"/>
    <s v="Snacks"/>
    <x v="5"/>
    <x v="3"/>
    <n v="137"/>
    <n v="180"/>
    <n v="24660"/>
    <n v="25"/>
    <x v="2"/>
    <n v="3"/>
  </r>
  <r>
    <n v="712"/>
    <x v="1"/>
    <x v="104"/>
    <s v="Snacks"/>
    <x v="5"/>
    <x v="1"/>
    <n v="227"/>
    <n v="45"/>
    <n v="10215"/>
    <n v="13"/>
    <x v="2"/>
    <n v="2"/>
  </r>
  <r>
    <n v="713"/>
    <x v="1"/>
    <x v="105"/>
    <s v="Biscuits"/>
    <x v="0"/>
    <x v="3"/>
    <n v="33"/>
    <n v="180"/>
    <n v="5940"/>
    <n v="7"/>
    <x v="0"/>
    <m/>
  </r>
  <r>
    <n v="714"/>
    <x v="1"/>
    <x v="106"/>
    <s v="Biscuits"/>
    <x v="0"/>
    <x v="3"/>
    <n v="184"/>
    <n v="225"/>
    <n v="41400"/>
    <n v="16"/>
    <x v="0"/>
    <n v="3"/>
  </r>
  <r>
    <n v="715"/>
    <x v="1"/>
    <x v="107"/>
    <s v="Butter"/>
    <x v="2"/>
    <x v="2"/>
    <n v="47"/>
    <n v="135"/>
    <n v="6345"/>
    <n v="18"/>
    <x v="2"/>
    <m/>
  </r>
  <r>
    <n v="716"/>
    <x v="1"/>
    <x v="108"/>
    <s v="Paneer"/>
    <x v="2"/>
    <x v="3"/>
    <n v="150"/>
    <n v="225"/>
    <n v="33750"/>
    <n v="11"/>
    <x v="2"/>
    <m/>
  </r>
  <r>
    <n v="717"/>
    <x v="1"/>
    <x v="109"/>
    <s v="Atta"/>
    <x v="1"/>
    <x v="3"/>
    <n v="54"/>
    <n v="180"/>
    <n v="9720"/>
    <n v="20"/>
    <x v="2"/>
    <n v="2"/>
  </r>
  <r>
    <n v="718"/>
    <x v="0"/>
    <x v="110"/>
    <s v="Bread"/>
    <x v="0"/>
    <x v="2"/>
    <n v="212"/>
    <n v="180"/>
    <n v="38160"/>
    <n v="15"/>
    <x v="0"/>
    <n v="2"/>
  </r>
  <r>
    <n v="719"/>
    <x v="0"/>
    <x v="111"/>
    <s v="Bread"/>
    <x v="0"/>
    <x v="1"/>
    <n v="128"/>
    <n v="180"/>
    <n v="23040"/>
    <n v="24"/>
    <x v="1"/>
    <n v="5"/>
  </r>
  <r>
    <n v="720"/>
    <x v="1"/>
    <x v="112"/>
    <s v="Coke"/>
    <x v="3"/>
    <x v="0"/>
    <n v="66"/>
    <n v="180"/>
    <n v="11880"/>
    <n v="16"/>
    <x v="1"/>
    <m/>
  </r>
  <r>
    <n v="721"/>
    <x v="1"/>
    <x v="113"/>
    <s v="Eggs"/>
    <x v="4"/>
    <x v="1"/>
    <n v="104"/>
    <n v="135"/>
    <n v="14040"/>
    <n v="9"/>
    <x v="1"/>
    <n v="4"/>
  </r>
  <r>
    <n v="722"/>
    <x v="1"/>
    <x v="114"/>
    <s v="Butter"/>
    <x v="2"/>
    <x v="4"/>
    <n v="181"/>
    <n v="180"/>
    <n v="32580"/>
    <n v="17"/>
    <x v="1"/>
    <n v="5"/>
  </r>
  <r>
    <n v="723"/>
    <x v="1"/>
    <x v="115"/>
    <s v="Coke"/>
    <x v="3"/>
    <x v="3"/>
    <n v="235"/>
    <n v="90"/>
    <n v="21150"/>
    <n v="20"/>
    <x v="0"/>
    <m/>
  </r>
  <r>
    <n v="724"/>
    <x v="1"/>
    <x v="116"/>
    <s v="Bread"/>
    <x v="0"/>
    <x v="2"/>
    <n v="78"/>
    <n v="135"/>
    <n v="10530"/>
    <n v="11"/>
    <x v="0"/>
    <m/>
  </r>
  <r>
    <n v="725"/>
    <x v="0"/>
    <x v="0"/>
    <s v="Eggs"/>
    <x v="4"/>
    <x v="1"/>
    <n v="120"/>
    <n v="90"/>
    <n v="10800"/>
    <n v="19"/>
    <x v="0"/>
    <n v="2"/>
  </r>
  <r>
    <n v="726"/>
    <x v="1"/>
    <x v="1"/>
    <s v="Bread"/>
    <x v="0"/>
    <x v="4"/>
    <n v="108"/>
    <n v="225"/>
    <n v="24300"/>
    <n v="19"/>
    <x v="1"/>
    <n v="3"/>
  </r>
  <r>
    <n v="727"/>
    <x v="1"/>
    <x v="2"/>
    <s v="Coke"/>
    <x v="3"/>
    <x v="3"/>
    <n v="238"/>
    <n v="180"/>
    <n v="42840"/>
    <n v="20"/>
    <x v="1"/>
    <n v="5"/>
  </r>
  <r>
    <n v="728"/>
    <x v="0"/>
    <x v="3"/>
    <s v="Coke"/>
    <x v="3"/>
    <x v="3"/>
    <n v="69"/>
    <n v="90"/>
    <n v="6210"/>
    <n v="11"/>
    <x v="0"/>
    <n v="2"/>
  </r>
  <r>
    <n v="729"/>
    <x v="1"/>
    <x v="4"/>
    <s v="Biscuits"/>
    <x v="0"/>
    <x v="2"/>
    <n v="123"/>
    <n v="45"/>
    <n v="5535"/>
    <n v="15"/>
    <x v="2"/>
    <n v="5"/>
  </r>
  <r>
    <n v="730"/>
    <x v="0"/>
    <x v="5"/>
    <s v="Milk"/>
    <x v="2"/>
    <x v="1"/>
    <n v="209"/>
    <n v="135"/>
    <n v="28215"/>
    <n v="25"/>
    <x v="0"/>
    <n v="3"/>
  </r>
  <r>
    <n v="731"/>
    <x v="0"/>
    <x v="6"/>
    <s v="Milk"/>
    <x v="2"/>
    <x v="2"/>
    <n v="182"/>
    <n v="135"/>
    <n v="24570"/>
    <n v="17"/>
    <x v="1"/>
    <m/>
  </r>
  <r>
    <n v="732"/>
    <x v="0"/>
    <x v="7"/>
    <s v="Biscuits"/>
    <x v="0"/>
    <x v="1"/>
    <n v="131"/>
    <n v="90"/>
    <n v="11790"/>
    <n v="11"/>
    <x v="1"/>
    <n v="5"/>
  </r>
  <r>
    <n v="733"/>
    <x v="0"/>
    <x v="8"/>
    <s v="Paneer"/>
    <x v="2"/>
    <x v="4"/>
    <n v="205"/>
    <n v="135"/>
    <n v="27675"/>
    <n v="10"/>
    <x v="2"/>
    <n v="3"/>
  </r>
  <r>
    <n v="734"/>
    <x v="0"/>
    <x v="9"/>
    <s v="Atta"/>
    <x v="1"/>
    <x v="3"/>
    <n v="158"/>
    <n v="180"/>
    <n v="28440"/>
    <n v="24"/>
    <x v="2"/>
    <n v="4"/>
  </r>
  <r>
    <n v="735"/>
    <x v="1"/>
    <x v="10"/>
    <s v="Butter"/>
    <x v="2"/>
    <x v="1"/>
    <n v="54"/>
    <n v="90"/>
    <n v="4860"/>
    <n v="19"/>
    <x v="0"/>
    <n v="5"/>
  </r>
  <r>
    <n v="736"/>
    <x v="1"/>
    <x v="11"/>
    <s v="Atta"/>
    <x v="1"/>
    <x v="4"/>
    <n v="40"/>
    <n v="45"/>
    <n v="1800"/>
    <n v="15"/>
    <x v="0"/>
    <n v="3"/>
  </r>
  <r>
    <n v="737"/>
    <x v="0"/>
    <x v="12"/>
    <s v="Butter"/>
    <x v="2"/>
    <x v="3"/>
    <n v="216"/>
    <n v="180"/>
    <n v="38880"/>
    <n v="12"/>
    <x v="1"/>
    <n v="1"/>
  </r>
  <r>
    <n v="738"/>
    <x v="1"/>
    <x v="13"/>
    <s v="Atta"/>
    <x v="1"/>
    <x v="1"/>
    <n v="236"/>
    <n v="90"/>
    <n v="21240"/>
    <n v="15"/>
    <x v="0"/>
    <n v="5"/>
  </r>
  <r>
    <n v="739"/>
    <x v="1"/>
    <x v="14"/>
    <s v="Biscuits"/>
    <x v="0"/>
    <x v="4"/>
    <n v="166"/>
    <n v="45"/>
    <n v="7470"/>
    <n v="7"/>
    <x v="0"/>
    <n v="3"/>
  </r>
  <r>
    <n v="740"/>
    <x v="0"/>
    <x v="15"/>
    <s v="Juice"/>
    <x v="3"/>
    <x v="3"/>
    <n v="77"/>
    <n v="45"/>
    <n v="3465"/>
    <n v="21"/>
    <x v="1"/>
    <n v="5"/>
  </r>
  <r>
    <n v="741"/>
    <x v="1"/>
    <x v="16"/>
    <s v="Rice"/>
    <x v="1"/>
    <x v="3"/>
    <n v="243"/>
    <n v="225"/>
    <n v="54675"/>
    <n v="12"/>
    <x v="0"/>
    <m/>
  </r>
  <r>
    <n v="742"/>
    <x v="0"/>
    <x v="17"/>
    <s v="Biscuits"/>
    <x v="0"/>
    <x v="0"/>
    <n v="42"/>
    <n v="180"/>
    <n v="7560"/>
    <n v="20"/>
    <x v="0"/>
    <n v="3"/>
  </r>
  <r>
    <n v="743"/>
    <x v="0"/>
    <x v="18"/>
    <s v="Rice"/>
    <x v="1"/>
    <x v="3"/>
    <n v="100"/>
    <n v="90"/>
    <n v="9000"/>
    <n v="15"/>
    <x v="0"/>
    <m/>
  </r>
  <r>
    <n v="744"/>
    <x v="0"/>
    <x v="19"/>
    <s v="Biscuits"/>
    <x v="0"/>
    <x v="1"/>
    <n v="190"/>
    <n v="135"/>
    <n v="25650"/>
    <n v="12"/>
    <x v="2"/>
    <n v="3"/>
  </r>
  <r>
    <n v="745"/>
    <x v="0"/>
    <x v="20"/>
    <s v="Biscuits"/>
    <x v="0"/>
    <x v="2"/>
    <n v="144"/>
    <n v="180"/>
    <n v="25920"/>
    <n v="19"/>
    <x v="1"/>
    <n v="2"/>
  </r>
  <r>
    <n v="746"/>
    <x v="1"/>
    <x v="21"/>
    <s v="Paneer"/>
    <x v="2"/>
    <x v="2"/>
    <n v="122"/>
    <n v="225"/>
    <n v="27450"/>
    <n v="10"/>
    <x v="0"/>
    <m/>
  </r>
  <r>
    <n v="747"/>
    <x v="0"/>
    <x v="22"/>
    <s v="Juice"/>
    <x v="3"/>
    <x v="1"/>
    <n v="196"/>
    <n v="90"/>
    <n v="17640"/>
    <n v="23"/>
    <x v="0"/>
    <n v="1"/>
  </r>
  <r>
    <n v="748"/>
    <x v="0"/>
    <x v="23"/>
    <s v="Rice"/>
    <x v="1"/>
    <x v="0"/>
    <n v="180"/>
    <n v="45"/>
    <n v="8100"/>
    <n v="22"/>
    <x v="0"/>
    <n v="2"/>
  </r>
  <r>
    <n v="749"/>
    <x v="0"/>
    <x v="24"/>
    <s v="Eggs"/>
    <x v="4"/>
    <x v="0"/>
    <n v="39"/>
    <n v="225"/>
    <n v="8775"/>
    <n v="14"/>
    <x v="0"/>
    <n v="5"/>
  </r>
  <r>
    <n v="750"/>
    <x v="0"/>
    <x v="25"/>
    <s v="Milk"/>
    <x v="2"/>
    <x v="4"/>
    <n v="115"/>
    <n v="225"/>
    <n v="25875"/>
    <n v="11"/>
    <x v="1"/>
    <n v="5"/>
  </r>
  <r>
    <n v="751"/>
    <x v="1"/>
    <x v="26"/>
    <s v="Coke"/>
    <x v="3"/>
    <x v="3"/>
    <n v="151"/>
    <n v="225"/>
    <n v="33975"/>
    <n v="14"/>
    <x v="0"/>
    <m/>
  </r>
  <r>
    <n v="752"/>
    <x v="1"/>
    <x v="27"/>
    <s v="Coke"/>
    <x v="3"/>
    <x v="0"/>
    <n v="193"/>
    <n v="225"/>
    <n v="43425"/>
    <n v="12"/>
    <x v="1"/>
    <n v="4"/>
  </r>
  <r>
    <n v="753"/>
    <x v="0"/>
    <x v="28"/>
    <s v="Butter"/>
    <x v="2"/>
    <x v="2"/>
    <n v="184"/>
    <n v="90"/>
    <n v="16560"/>
    <n v="15"/>
    <x v="1"/>
    <n v="2"/>
  </r>
  <r>
    <n v="754"/>
    <x v="0"/>
    <x v="29"/>
    <s v="Butter"/>
    <x v="2"/>
    <x v="3"/>
    <n v="151"/>
    <n v="135"/>
    <n v="20385"/>
    <n v="20"/>
    <x v="1"/>
    <n v="5"/>
  </r>
  <r>
    <n v="755"/>
    <x v="0"/>
    <x v="30"/>
    <s v="Paneer"/>
    <x v="2"/>
    <x v="2"/>
    <n v="213"/>
    <n v="135"/>
    <n v="28755"/>
    <n v="25"/>
    <x v="0"/>
    <n v="2"/>
  </r>
  <r>
    <n v="756"/>
    <x v="1"/>
    <x v="31"/>
    <s v="Paneer"/>
    <x v="2"/>
    <x v="2"/>
    <n v="194"/>
    <n v="225"/>
    <n v="43650"/>
    <n v="17"/>
    <x v="0"/>
    <n v="4"/>
  </r>
  <r>
    <n v="757"/>
    <x v="1"/>
    <x v="32"/>
    <s v="Juice"/>
    <x v="3"/>
    <x v="2"/>
    <n v="162"/>
    <n v="135"/>
    <n v="21870"/>
    <n v="20"/>
    <x v="1"/>
    <n v="4"/>
  </r>
  <r>
    <n v="758"/>
    <x v="1"/>
    <x v="33"/>
    <s v="Eggs"/>
    <x v="4"/>
    <x v="4"/>
    <n v="213"/>
    <n v="135"/>
    <n v="28755"/>
    <n v="12"/>
    <x v="1"/>
    <n v="1"/>
  </r>
  <r>
    <n v="759"/>
    <x v="0"/>
    <x v="34"/>
    <s v="Coke"/>
    <x v="3"/>
    <x v="0"/>
    <n v="219"/>
    <n v="45"/>
    <n v="9855"/>
    <n v="25"/>
    <x v="0"/>
    <n v="1"/>
  </r>
  <r>
    <n v="760"/>
    <x v="1"/>
    <x v="35"/>
    <s v="Coke"/>
    <x v="3"/>
    <x v="1"/>
    <n v="248"/>
    <n v="180"/>
    <n v="44640"/>
    <n v="16"/>
    <x v="2"/>
    <n v="2"/>
  </r>
  <r>
    <n v="761"/>
    <x v="1"/>
    <x v="36"/>
    <s v="Butter"/>
    <x v="2"/>
    <x v="0"/>
    <n v="152"/>
    <n v="45"/>
    <n v="6840"/>
    <n v="12"/>
    <x v="0"/>
    <n v="5"/>
  </r>
  <r>
    <n v="762"/>
    <x v="1"/>
    <x v="37"/>
    <s v="Biscuits"/>
    <x v="0"/>
    <x v="1"/>
    <n v="47"/>
    <n v="225"/>
    <n v="10575"/>
    <n v="8"/>
    <x v="0"/>
    <n v="2"/>
  </r>
  <r>
    <n v="763"/>
    <x v="1"/>
    <x v="38"/>
    <s v="Butter"/>
    <x v="2"/>
    <x v="3"/>
    <n v="63"/>
    <n v="45"/>
    <n v="2835"/>
    <n v="15"/>
    <x v="1"/>
    <m/>
  </r>
  <r>
    <n v="764"/>
    <x v="1"/>
    <x v="39"/>
    <s v="Atta"/>
    <x v="1"/>
    <x v="2"/>
    <n v="224"/>
    <n v="45"/>
    <n v="10080"/>
    <n v="8"/>
    <x v="1"/>
    <n v="3"/>
  </r>
  <r>
    <n v="765"/>
    <x v="1"/>
    <x v="40"/>
    <s v="Atta"/>
    <x v="1"/>
    <x v="0"/>
    <n v="49"/>
    <n v="180"/>
    <n v="8820"/>
    <n v="9"/>
    <x v="0"/>
    <n v="4"/>
  </r>
  <r>
    <n v="766"/>
    <x v="1"/>
    <x v="41"/>
    <s v="Snacks"/>
    <x v="5"/>
    <x v="2"/>
    <n v="53"/>
    <n v="90"/>
    <n v="4770"/>
    <n v="18"/>
    <x v="1"/>
    <n v="2"/>
  </r>
  <r>
    <n v="767"/>
    <x v="1"/>
    <x v="42"/>
    <s v="Milk"/>
    <x v="2"/>
    <x v="3"/>
    <n v="247"/>
    <n v="90"/>
    <n v="22230"/>
    <n v="13"/>
    <x v="0"/>
    <n v="1"/>
  </r>
  <r>
    <n v="768"/>
    <x v="0"/>
    <x v="43"/>
    <s v="Milk"/>
    <x v="2"/>
    <x v="0"/>
    <n v="143"/>
    <n v="90"/>
    <n v="12870"/>
    <n v="24"/>
    <x v="1"/>
    <n v="3"/>
  </r>
  <r>
    <n v="769"/>
    <x v="1"/>
    <x v="44"/>
    <s v="Eggs"/>
    <x v="4"/>
    <x v="1"/>
    <n v="192"/>
    <n v="180"/>
    <n v="34560"/>
    <n v="10"/>
    <x v="2"/>
    <n v="1"/>
  </r>
  <r>
    <n v="770"/>
    <x v="1"/>
    <x v="45"/>
    <s v="Juice"/>
    <x v="3"/>
    <x v="0"/>
    <n v="248"/>
    <n v="45"/>
    <n v="11160"/>
    <n v="18"/>
    <x v="2"/>
    <n v="1"/>
  </r>
  <r>
    <n v="771"/>
    <x v="1"/>
    <x v="46"/>
    <s v="Biscuits"/>
    <x v="0"/>
    <x v="1"/>
    <n v="88"/>
    <n v="90"/>
    <n v="7920"/>
    <n v="15"/>
    <x v="2"/>
    <n v="4"/>
  </r>
  <r>
    <n v="772"/>
    <x v="1"/>
    <x v="47"/>
    <s v="Milk"/>
    <x v="2"/>
    <x v="1"/>
    <n v="45"/>
    <n v="90"/>
    <n v="4050"/>
    <n v="11"/>
    <x v="1"/>
    <n v="5"/>
  </r>
  <r>
    <n v="773"/>
    <x v="0"/>
    <x v="48"/>
    <s v="Butter"/>
    <x v="2"/>
    <x v="1"/>
    <n v="226"/>
    <n v="180"/>
    <n v="40680"/>
    <n v="15"/>
    <x v="1"/>
    <n v="3"/>
  </r>
  <r>
    <n v="774"/>
    <x v="0"/>
    <x v="49"/>
    <s v="Snacks"/>
    <x v="5"/>
    <x v="4"/>
    <n v="74"/>
    <n v="90"/>
    <n v="6660"/>
    <n v="23"/>
    <x v="0"/>
    <m/>
  </r>
  <r>
    <n v="775"/>
    <x v="1"/>
    <x v="50"/>
    <s v="Coke"/>
    <x v="3"/>
    <x v="0"/>
    <n v="118"/>
    <n v="225"/>
    <n v="26550"/>
    <n v="16"/>
    <x v="1"/>
    <n v="5"/>
  </r>
  <r>
    <n v="776"/>
    <x v="0"/>
    <x v="51"/>
    <s v="Coke"/>
    <x v="3"/>
    <x v="1"/>
    <n v="111"/>
    <n v="180"/>
    <n v="19980"/>
    <n v="17"/>
    <x v="1"/>
    <n v="4"/>
  </r>
  <r>
    <n v="777"/>
    <x v="0"/>
    <x v="52"/>
    <s v="Eggs"/>
    <x v="4"/>
    <x v="4"/>
    <n v="241"/>
    <n v="225"/>
    <n v="54225"/>
    <n v="15"/>
    <x v="2"/>
    <n v="5"/>
  </r>
  <r>
    <n v="778"/>
    <x v="1"/>
    <x v="53"/>
    <s v="Bread"/>
    <x v="0"/>
    <x v="3"/>
    <n v="155"/>
    <n v="180"/>
    <n v="27900"/>
    <n v="7"/>
    <x v="0"/>
    <m/>
  </r>
  <r>
    <n v="779"/>
    <x v="0"/>
    <x v="54"/>
    <s v="Snacks"/>
    <x v="5"/>
    <x v="0"/>
    <n v="161"/>
    <n v="135"/>
    <n v="21735"/>
    <n v="20"/>
    <x v="0"/>
    <n v="3"/>
  </r>
  <r>
    <n v="780"/>
    <x v="1"/>
    <x v="55"/>
    <s v="Eggs"/>
    <x v="4"/>
    <x v="0"/>
    <n v="236"/>
    <n v="180"/>
    <n v="42480"/>
    <n v="16"/>
    <x v="0"/>
    <n v="4"/>
  </r>
  <r>
    <n v="781"/>
    <x v="1"/>
    <x v="56"/>
    <s v="Biscuits"/>
    <x v="0"/>
    <x v="2"/>
    <n v="117"/>
    <n v="225"/>
    <n v="26325"/>
    <n v="19"/>
    <x v="1"/>
    <n v="5"/>
  </r>
  <r>
    <n v="782"/>
    <x v="0"/>
    <x v="57"/>
    <s v="Biscuits"/>
    <x v="0"/>
    <x v="4"/>
    <n v="36"/>
    <n v="225"/>
    <n v="8100"/>
    <n v="19"/>
    <x v="2"/>
    <n v="3"/>
  </r>
  <r>
    <n v="783"/>
    <x v="1"/>
    <x v="58"/>
    <s v="Biscuits"/>
    <x v="0"/>
    <x v="3"/>
    <n v="115"/>
    <n v="90"/>
    <n v="10350"/>
    <n v="9"/>
    <x v="2"/>
    <n v="2"/>
  </r>
  <r>
    <n v="784"/>
    <x v="1"/>
    <x v="59"/>
    <s v="Paneer"/>
    <x v="2"/>
    <x v="1"/>
    <n v="137"/>
    <n v="135"/>
    <n v="18495"/>
    <n v="12"/>
    <x v="1"/>
    <n v="2"/>
  </r>
  <r>
    <n v="785"/>
    <x v="1"/>
    <x v="60"/>
    <s v="Coke"/>
    <x v="3"/>
    <x v="2"/>
    <n v="203"/>
    <n v="135"/>
    <n v="27405"/>
    <n v="15"/>
    <x v="0"/>
    <n v="2"/>
  </r>
  <r>
    <n v="786"/>
    <x v="0"/>
    <x v="61"/>
    <s v="Milk"/>
    <x v="2"/>
    <x v="4"/>
    <n v="40"/>
    <n v="225"/>
    <n v="9000"/>
    <n v="18"/>
    <x v="0"/>
    <n v="1"/>
  </r>
  <r>
    <n v="787"/>
    <x v="0"/>
    <x v="62"/>
    <s v="Coke"/>
    <x v="3"/>
    <x v="3"/>
    <n v="132"/>
    <n v="225"/>
    <n v="29700"/>
    <n v="21"/>
    <x v="0"/>
    <n v="4"/>
  </r>
  <r>
    <n v="788"/>
    <x v="1"/>
    <x v="63"/>
    <s v="Coke"/>
    <x v="3"/>
    <x v="0"/>
    <n v="145"/>
    <n v="180"/>
    <n v="26100"/>
    <n v="8"/>
    <x v="1"/>
    <n v="4"/>
  </r>
  <r>
    <n v="789"/>
    <x v="1"/>
    <x v="64"/>
    <s v="Paneer"/>
    <x v="2"/>
    <x v="1"/>
    <n v="73"/>
    <n v="135"/>
    <n v="9855"/>
    <n v="8"/>
    <x v="1"/>
    <m/>
  </r>
  <r>
    <n v="790"/>
    <x v="1"/>
    <x v="65"/>
    <s v="Butter"/>
    <x v="2"/>
    <x v="0"/>
    <n v="108"/>
    <n v="180"/>
    <n v="19440"/>
    <n v="8"/>
    <x v="2"/>
    <n v="3"/>
  </r>
  <r>
    <n v="791"/>
    <x v="1"/>
    <x v="66"/>
    <s v="Paneer"/>
    <x v="2"/>
    <x v="3"/>
    <n v="127"/>
    <n v="90"/>
    <n v="11430"/>
    <n v="11"/>
    <x v="1"/>
    <n v="2"/>
  </r>
  <r>
    <n v="792"/>
    <x v="1"/>
    <x v="67"/>
    <s v="Atta"/>
    <x v="1"/>
    <x v="2"/>
    <n v="236"/>
    <n v="90"/>
    <n v="21240"/>
    <n v="8"/>
    <x v="0"/>
    <m/>
  </r>
  <r>
    <n v="793"/>
    <x v="1"/>
    <x v="68"/>
    <s v="Coke"/>
    <x v="3"/>
    <x v="3"/>
    <n v="50"/>
    <n v="45"/>
    <n v="2250"/>
    <n v="13"/>
    <x v="0"/>
    <m/>
  </r>
  <r>
    <n v="794"/>
    <x v="0"/>
    <x v="69"/>
    <s v="Biscuits"/>
    <x v="0"/>
    <x v="3"/>
    <n v="82"/>
    <n v="180"/>
    <n v="14760"/>
    <n v="25"/>
    <x v="1"/>
    <m/>
  </r>
  <r>
    <n v="795"/>
    <x v="0"/>
    <x v="70"/>
    <s v="Paneer"/>
    <x v="2"/>
    <x v="3"/>
    <n v="148"/>
    <n v="45"/>
    <n v="6660"/>
    <n v="14"/>
    <x v="2"/>
    <n v="5"/>
  </r>
  <r>
    <n v="796"/>
    <x v="1"/>
    <x v="71"/>
    <s v="Eggs"/>
    <x v="4"/>
    <x v="3"/>
    <n v="53"/>
    <n v="180"/>
    <n v="9540"/>
    <n v="17"/>
    <x v="0"/>
    <m/>
  </r>
  <r>
    <n v="797"/>
    <x v="1"/>
    <x v="72"/>
    <s v="Rice"/>
    <x v="1"/>
    <x v="3"/>
    <n v="127"/>
    <n v="180"/>
    <n v="22860"/>
    <n v="11"/>
    <x v="0"/>
    <n v="2"/>
  </r>
  <r>
    <n v="798"/>
    <x v="0"/>
    <x v="73"/>
    <s v="Butter"/>
    <x v="2"/>
    <x v="1"/>
    <n v="59"/>
    <n v="90"/>
    <n v="5310"/>
    <n v="12"/>
    <x v="2"/>
    <n v="4"/>
  </r>
  <r>
    <n v="799"/>
    <x v="1"/>
    <x v="74"/>
    <s v="Bread"/>
    <x v="0"/>
    <x v="2"/>
    <n v="228"/>
    <n v="180"/>
    <n v="41040"/>
    <n v="19"/>
    <x v="1"/>
    <n v="3"/>
  </r>
  <r>
    <n v="800"/>
    <x v="0"/>
    <x v="75"/>
    <s v="Rice"/>
    <x v="1"/>
    <x v="0"/>
    <n v="157"/>
    <n v="135"/>
    <n v="21195"/>
    <n v="21"/>
    <x v="1"/>
    <n v="5"/>
  </r>
  <r>
    <n v="801"/>
    <x v="0"/>
    <x v="76"/>
    <s v="Paneer"/>
    <x v="2"/>
    <x v="2"/>
    <n v="146"/>
    <n v="90"/>
    <n v="13140"/>
    <n v="14"/>
    <x v="1"/>
    <n v="3"/>
  </r>
  <r>
    <n v="802"/>
    <x v="0"/>
    <x v="77"/>
    <s v="Biscuits"/>
    <x v="0"/>
    <x v="0"/>
    <n v="175"/>
    <n v="90"/>
    <n v="15750"/>
    <n v="23"/>
    <x v="0"/>
    <n v="2"/>
  </r>
  <r>
    <n v="803"/>
    <x v="0"/>
    <x v="78"/>
    <s v="Rice"/>
    <x v="1"/>
    <x v="0"/>
    <n v="236"/>
    <n v="45"/>
    <n v="10620"/>
    <n v="10"/>
    <x v="1"/>
    <m/>
  </r>
  <r>
    <n v="804"/>
    <x v="0"/>
    <x v="79"/>
    <s v="Juice"/>
    <x v="3"/>
    <x v="0"/>
    <n v="171"/>
    <n v="180"/>
    <n v="30780"/>
    <n v="21"/>
    <x v="1"/>
    <n v="4"/>
  </r>
  <r>
    <n v="805"/>
    <x v="1"/>
    <x v="80"/>
    <s v="Butter"/>
    <x v="2"/>
    <x v="0"/>
    <n v="30"/>
    <n v="135"/>
    <n v="4050"/>
    <n v="16"/>
    <x v="1"/>
    <n v="3"/>
  </r>
  <r>
    <n v="806"/>
    <x v="0"/>
    <x v="81"/>
    <s v="Milk"/>
    <x v="2"/>
    <x v="4"/>
    <n v="39"/>
    <n v="225"/>
    <n v="8775"/>
    <n v="25"/>
    <x v="2"/>
    <n v="2"/>
  </r>
  <r>
    <n v="807"/>
    <x v="0"/>
    <x v="82"/>
    <s v="Rice"/>
    <x v="1"/>
    <x v="1"/>
    <n v="165"/>
    <n v="135"/>
    <n v="22275"/>
    <n v="13"/>
    <x v="2"/>
    <m/>
  </r>
  <r>
    <n v="808"/>
    <x v="0"/>
    <x v="83"/>
    <s v="Milk"/>
    <x v="2"/>
    <x v="3"/>
    <n v="40"/>
    <n v="90"/>
    <n v="3600"/>
    <n v="14"/>
    <x v="0"/>
    <n v="5"/>
  </r>
  <r>
    <n v="809"/>
    <x v="0"/>
    <x v="84"/>
    <s v="Rice"/>
    <x v="1"/>
    <x v="0"/>
    <n v="164"/>
    <n v="90"/>
    <n v="14760"/>
    <n v="19"/>
    <x v="0"/>
    <n v="2"/>
  </r>
  <r>
    <n v="810"/>
    <x v="0"/>
    <x v="85"/>
    <s v="Atta"/>
    <x v="1"/>
    <x v="2"/>
    <n v="94"/>
    <n v="225"/>
    <n v="21150"/>
    <n v="18"/>
    <x v="0"/>
    <n v="1"/>
  </r>
  <r>
    <n v="811"/>
    <x v="0"/>
    <x v="86"/>
    <s v="Milk"/>
    <x v="2"/>
    <x v="2"/>
    <n v="52"/>
    <n v="180"/>
    <n v="9360"/>
    <n v="24"/>
    <x v="1"/>
    <n v="4"/>
  </r>
  <r>
    <n v="812"/>
    <x v="0"/>
    <x v="87"/>
    <s v="Coke"/>
    <x v="3"/>
    <x v="3"/>
    <n v="135"/>
    <n v="225"/>
    <n v="30375"/>
    <n v="23"/>
    <x v="1"/>
    <n v="4"/>
  </r>
  <r>
    <n v="813"/>
    <x v="0"/>
    <x v="88"/>
    <s v="Eggs"/>
    <x v="4"/>
    <x v="3"/>
    <n v="210"/>
    <n v="90"/>
    <n v="18900"/>
    <n v="21"/>
    <x v="1"/>
    <n v="1"/>
  </r>
  <r>
    <n v="814"/>
    <x v="0"/>
    <x v="89"/>
    <s v="Biscuits"/>
    <x v="0"/>
    <x v="3"/>
    <n v="160"/>
    <n v="90"/>
    <n v="14400"/>
    <n v="10"/>
    <x v="0"/>
    <n v="5"/>
  </r>
  <r>
    <n v="815"/>
    <x v="0"/>
    <x v="90"/>
    <s v="Juice"/>
    <x v="3"/>
    <x v="3"/>
    <n v="199"/>
    <n v="45"/>
    <n v="8955"/>
    <n v="24"/>
    <x v="1"/>
    <n v="4"/>
  </r>
  <r>
    <n v="816"/>
    <x v="0"/>
    <x v="91"/>
    <s v="Coke"/>
    <x v="3"/>
    <x v="4"/>
    <n v="188"/>
    <n v="180"/>
    <n v="33840"/>
    <n v="21"/>
    <x v="1"/>
    <n v="2"/>
  </r>
  <r>
    <n v="817"/>
    <x v="0"/>
    <x v="92"/>
    <s v="Atta"/>
    <x v="1"/>
    <x v="4"/>
    <n v="152"/>
    <n v="45"/>
    <n v="6840"/>
    <n v="23"/>
    <x v="1"/>
    <n v="2"/>
  </r>
  <r>
    <n v="818"/>
    <x v="1"/>
    <x v="93"/>
    <s v="Eggs"/>
    <x v="4"/>
    <x v="3"/>
    <n v="139"/>
    <n v="180"/>
    <n v="25020"/>
    <n v="15"/>
    <x v="2"/>
    <m/>
  </r>
  <r>
    <n v="819"/>
    <x v="0"/>
    <x v="94"/>
    <s v="Biscuits"/>
    <x v="0"/>
    <x v="1"/>
    <n v="74"/>
    <n v="135"/>
    <n v="9990"/>
    <n v="22"/>
    <x v="2"/>
    <m/>
  </r>
  <r>
    <n v="820"/>
    <x v="1"/>
    <x v="95"/>
    <s v="Milk"/>
    <x v="2"/>
    <x v="0"/>
    <n v="235"/>
    <n v="180"/>
    <n v="42300"/>
    <n v="7"/>
    <x v="2"/>
    <n v="2"/>
  </r>
  <r>
    <n v="821"/>
    <x v="0"/>
    <x v="96"/>
    <s v="Atta"/>
    <x v="1"/>
    <x v="3"/>
    <n v="204"/>
    <n v="180"/>
    <n v="36720"/>
    <n v="21"/>
    <x v="1"/>
    <n v="1"/>
  </r>
  <r>
    <n v="822"/>
    <x v="0"/>
    <x v="97"/>
    <s v="Atta"/>
    <x v="1"/>
    <x v="0"/>
    <n v="234"/>
    <n v="135"/>
    <n v="31590"/>
    <n v="17"/>
    <x v="2"/>
    <n v="5"/>
  </r>
  <r>
    <n v="823"/>
    <x v="1"/>
    <x v="98"/>
    <s v="Atta"/>
    <x v="1"/>
    <x v="3"/>
    <n v="208"/>
    <n v="225"/>
    <n v="46800"/>
    <n v="17"/>
    <x v="2"/>
    <n v="4"/>
  </r>
  <r>
    <n v="824"/>
    <x v="0"/>
    <x v="99"/>
    <s v="Juice"/>
    <x v="3"/>
    <x v="0"/>
    <n v="117"/>
    <n v="45"/>
    <n v="5265"/>
    <n v="21"/>
    <x v="1"/>
    <n v="4"/>
  </r>
  <r>
    <n v="825"/>
    <x v="0"/>
    <x v="100"/>
    <s v="Eggs"/>
    <x v="4"/>
    <x v="1"/>
    <n v="137"/>
    <n v="180"/>
    <n v="24660"/>
    <n v="11"/>
    <x v="2"/>
    <n v="2"/>
  </r>
  <r>
    <n v="826"/>
    <x v="1"/>
    <x v="101"/>
    <s v="Juice"/>
    <x v="3"/>
    <x v="0"/>
    <n v="93"/>
    <n v="45"/>
    <n v="4185"/>
    <n v="12"/>
    <x v="0"/>
    <n v="1"/>
  </r>
  <r>
    <n v="827"/>
    <x v="0"/>
    <x v="102"/>
    <s v="Biscuits"/>
    <x v="0"/>
    <x v="4"/>
    <n v="160"/>
    <n v="180"/>
    <n v="28800"/>
    <n v="15"/>
    <x v="2"/>
    <m/>
  </r>
  <r>
    <n v="828"/>
    <x v="0"/>
    <x v="103"/>
    <s v="Snacks"/>
    <x v="5"/>
    <x v="2"/>
    <n v="199"/>
    <n v="180"/>
    <n v="35820"/>
    <n v="13"/>
    <x v="1"/>
    <n v="1"/>
  </r>
  <r>
    <n v="829"/>
    <x v="0"/>
    <x v="104"/>
    <s v="Bread"/>
    <x v="0"/>
    <x v="3"/>
    <n v="168"/>
    <n v="45"/>
    <n v="7560"/>
    <n v="23"/>
    <x v="1"/>
    <n v="5"/>
  </r>
  <r>
    <n v="830"/>
    <x v="0"/>
    <x v="105"/>
    <s v="Butter"/>
    <x v="2"/>
    <x v="3"/>
    <n v="87"/>
    <n v="45"/>
    <n v="3915"/>
    <n v="11"/>
    <x v="0"/>
    <n v="1"/>
  </r>
  <r>
    <n v="831"/>
    <x v="0"/>
    <x v="106"/>
    <s v="Eggs"/>
    <x v="4"/>
    <x v="2"/>
    <n v="156"/>
    <n v="225"/>
    <n v="35100"/>
    <n v="14"/>
    <x v="1"/>
    <n v="4"/>
  </r>
  <r>
    <n v="832"/>
    <x v="1"/>
    <x v="107"/>
    <s v="Snacks"/>
    <x v="5"/>
    <x v="1"/>
    <n v="232"/>
    <n v="90"/>
    <n v="20880"/>
    <n v="15"/>
    <x v="1"/>
    <n v="5"/>
  </r>
  <r>
    <n v="833"/>
    <x v="0"/>
    <x v="108"/>
    <s v="Eggs"/>
    <x v="4"/>
    <x v="1"/>
    <n v="151"/>
    <n v="45"/>
    <n v="6795"/>
    <n v="19"/>
    <x v="2"/>
    <n v="3"/>
  </r>
  <r>
    <n v="834"/>
    <x v="1"/>
    <x v="109"/>
    <s v="Paneer"/>
    <x v="2"/>
    <x v="4"/>
    <n v="110"/>
    <n v="135"/>
    <n v="14850"/>
    <n v="17"/>
    <x v="0"/>
    <n v="2"/>
  </r>
  <r>
    <n v="835"/>
    <x v="0"/>
    <x v="110"/>
    <s v="Rice"/>
    <x v="1"/>
    <x v="1"/>
    <n v="100"/>
    <n v="225"/>
    <n v="22500"/>
    <n v="23"/>
    <x v="0"/>
    <m/>
  </r>
  <r>
    <n v="836"/>
    <x v="1"/>
    <x v="111"/>
    <s v="Paneer"/>
    <x v="2"/>
    <x v="3"/>
    <n v="227"/>
    <n v="225"/>
    <n v="51075"/>
    <n v="13"/>
    <x v="0"/>
    <m/>
  </r>
  <r>
    <n v="837"/>
    <x v="0"/>
    <x v="112"/>
    <s v="Milk"/>
    <x v="2"/>
    <x v="3"/>
    <n v="154"/>
    <n v="90"/>
    <n v="13860"/>
    <n v="15"/>
    <x v="1"/>
    <n v="1"/>
  </r>
  <r>
    <n v="838"/>
    <x v="1"/>
    <x v="113"/>
    <s v="Bread"/>
    <x v="0"/>
    <x v="2"/>
    <n v="83"/>
    <n v="90"/>
    <n v="7470"/>
    <n v="18"/>
    <x v="1"/>
    <n v="1"/>
  </r>
  <r>
    <n v="839"/>
    <x v="1"/>
    <x v="114"/>
    <s v="Atta"/>
    <x v="1"/>
    <x v="3"/>
    <n v="45"/>
    <n v="90"/>
    <n v="4050"/>
    <n v="11"/>
    <x v="2"/>
    <n v="5"/>
  </r>
  <r>
    <n v="840"/>
    <x v="0"/>
    <x v="115"/>
    <s v="Atta"/>
    <x v="1"/>
    <x v="4"/>
    <n v="216"/>
    <n v="45"/>
    <n v="9720"/>
    <n v="13"/>
    <x v="1"/>
    <n v="4"/>
  </r>
  <r>
    <n v="841"/>
    <x v="0"/>
    <x v="116"/>
    <s v="Bread"/>
    <x v="0"/>
    <x v="4"/>
    <n v="199"/>
    <n v="180"/>
    <n v="35820"/>
    <n v="12"/>
    <x v="1"/>
    <n v="2"/>
  </r>
  <r>
    <n v="842"/>
    <x v="0"/>
    <x v="117"/>
    <s v="Paneer"/>
    <x v="2"/>
    <x v="0"/>
    <n v="192"/>
    <n v="225"/>
    <n v="43200"/>
    <n v="17"/>
    <x v="0"/>
    <n v="5"/>
  </r>
  <r>
    <n v="843"/>
    <x v="0"/>
    <x v="118"/>
    <s v="Coke"/>
    <x v="3"/>
    <x v="4"/>
    <n v="198"/>
    <n v="45"/>
    <n v="8910"/>
    <n v="17"/>
    <x v="1"/>
    <n v="4"/>
  </r>
  <r>
    <n v="844"/>
    <x v="0"/>
    <x v="119"/>
    <s v="Biscuits"/>
    <x v="0"/>
    <x v="2"/>
    <n v="198"/>
    <n v="45"/>
    <n v="8910"/>
    <n v="22"/>
    <x v="1"/>
    <m/>
  </r>
  <r>
    <n v="845"/>
    <x v="0"/>
    <x v="120"/>
    <s v="Milk"/>
    <x v="2"/>
    <x v="2"/>
    <n v="248"/>
    <n v="225"/>
    <n v="55800"/>
    <n v="12"/>
    <x v="1"/>
    <n v="1"/>
  </r>
  <r>
    <n v="846"/>
    <x v="1"/>
    <x v="121"/>
    <s v="Milk"/>
    <x v="2"/>
    <x v="3"/>
    <n v="83"/>
    <n v="225"/>
    <n v="18675"/>
    <n v="20"/>
    <x v="2"/>
    <m/>
  </r>
  <r>
    <n v="847"/>
    <x v="1"/>
    <x v="122"/>
    <s v="Eggs"/>
    <x v="4"/>
    <x v="1"/>
    <n v="146"/>
    <n v="180"/>
    <n v="26280"/>
    <n v="17"/>
    <x v="1"/>
    <n v="5"/>
  </r>
  <r>
    <n v="848"/>
    <x v="0"/>
    <x v="123"/>
    <s v="Milk"/>
    <x v="2"/>
    <x v="3"/>
    <n v="180"/>
    <n v="90"/>
    <n v="16200"/>
    <n v="16"/>
    <x v="2"/>
    <n v="1"/>
  </r>
  <r>
    <n v="849"/>
    <x v="0"/>
    <x v="124"/>
    <s v="Juice"/>
    <x v="3"/>
    <x v="1"/>
    <n v="106"/>
    <n v="135"/>
    <n v="14310"/>
    <n v="23"/>
    <x v="0"/>
    <n v="2"/>
  </r>
  <r>
    <n v="850"/>
    <x v="1"/>
    <x v="125"/>
    <s v="Snacks"/>
    <x v="5"/>
    <x v="2"/>
    <n v="68"/>
    <n v="225"/>
    <n v="15300"/>
    <n v="19"/>
    <x v="2"/>
    <n v="2"/>
  </r>
  <r>
    <n v="851"/>
    <x v="0"/>
    <x v="126"/>
    <s v="Biscuits"/>
    <x v="0"/>
    <x v="0"/>
    <n v="65"/>
    <n v="180"/>
    <n v="11700"/>
    <n v="12"/>
    <x v="2"/>
    <n v="3"/>
  </r>
  <r>
    <n v="852"/>
    <x v="0"/>
    <x v="127"/>
    <s v="Bread"/>
    <x v="0"/>
    <x v="2"/>
    <n v="167"/>
    <n v="90"/>
    <n v="15030"/>
    <n v="12"/>
    <x v="0"/>
    <n v="5"/>
  </r>
  <r>
    <n v="853"/>
    <x v="1"/>
    <x v="128"/>
    <s v="Butter"/>
    <x v="2"/>
    <x v="3"/>
    <n v="221"/>
    <n v="90"/>
    <n v="19890"/>
    <n v="16"/>
    <x v="0"/>
    <n v="4"/>
  </r>
  <r>
    <n v="854"/>
    <x v="1"/>
    <x v="129"/>
    <s v="Bread"/>
    <x v="0"/>
    <x v="1"/>
    <n v="245"/>
    <n v="225"/>
    <n v="55125"/>
    <n v="12"/>
    <x v="1"/>
    <m/>
  </r>
  <r>
    <n v="855"/>
    <x v="0"/>
    <x v="130"/>
    <s v="Rice"/>
    <x v="1"/>
    <x v="1"/>
    <n v="189"/>
    <n v="45"/>
    <n v="8505"/>
    <n v="20"/>
    <x v="2"/>
    <n v="4"/>
  </r>
  <r>
    <n v="856"/>
    <x v="0"/>
    <x v="131"/>
    <s v="Butter"/>
    <x v="2"/>
    <x v="3"/>
    <n v="181"/>
    <n v="225"/>
    <n v="40725"/>
    <n v="17"/>
    <x v="0"/>
    <n v="1"/>
  </r>
  <r>
    <n v="857"/>
    <x v="0"/>
    <x v="132"/>
    <s v="Coke"/>
    <x v="3"/>
    <x v="1"/>
    <n v="202"/>
    <n v="180"/>
    <n v="36360"/>
    <n v="15"/>
    <x v="2"/>
    <m/>
  </r>
  <r>
    <n v="858"/>
    <x v="1"/>
    <x v="133"/>
    <s v="Butter"/>
    <x v="2"/>
    <x v="3"/>
    <n v="150"/>
    <n v="225"/>
    <n v="33750"/>
    <n v="8"/>
    <x v="0"/>
    <n v="3"/>
  </r>
  <r>
    <n v="859"/>
    <x v="1"/>
    <x v="134"/>
    <s v="Butter"/>
    <x v="2"/>
    <x v="4"/>
    <n v="177"/>
    <n v="45"/>
    <n v="7965"/>
    <n v="20"/>
    <x v="1"/>
    <n v="1"/>
  </r>
  <r>
    <n v="860"/>
    <x v="1"/>
    <x v="135"/>
    <s v="Snacks"/>
    <x v="5"/>
    <x v="1"/>
    <n v="188"/>
    <n v="180"/>
    <n v="33840"/>
    <n v="8"/>
    <x v="2"/>
    <m/>
  </r>
  <r>
    <n v="861"/>
    <x v="0"/>
    <x v="136"/>
    <s v="Atta"/>
    <x v="1"/>
    <x v="4"/>
    <n v="141"/>
    <n v="90"/>
    <n v="12690"/>
    <n v="21"/>
    <x v="2"/>
    <n v="5"/>
  </r>
  <r>
    <n v="862"/>
    <x v="1"/>
    <x v="137"/>
    <s v="Rice"/>
    <x v="1"/>
    <x v="0"/>
    <n v="114"/>
    <n v="90"/>
    <n v="10260"/>
    <n v="7"/>
    <x v="2"/>
    <m/>
  </r>
  <r>
    <n v="863"/>
    <x v="1"/>
    <x v="138"/>
    <s v="Snacks"/>
    <x v="5"/>
    <x v="2"/>
    <n v="116"/>
    <n v="90"/>
    <n v="10440"/>
    <n v="14"/>
    <x v="0"/>
    <n v="5"/>
  </r>
  <r>
    <n v="864"/>
    <x v="0"/>
    <x v="139"/>
    <s v="Bread"/>
    <x v="0"/>
    <x v="1"/>
    <n v="178"/>
    <n v="225"/>
    <n v="40050"/>
    <n v="10"/>
    <x v="1"/>
    <n v="3"/>
  </r>
  <r>
    <n v="865"/>
    <x v="1"/>
    <x v="140"/>
    <s v="Paneer"/>
    <x v="2"/>
    <x v="3"/>
    <n v="249"/>
    <n v="225"/>
    <n v="56025"/>
    <n v="9"/>
    <x v="0"/>
    <n v="5"/>
  </r>
  <r>
    <n v="866"/>
    <x v="0"/>
    <x v="141"/>
    <s v="Eggs"/>
    <x v="4"/>
    <x v="4"/>
    <n v="193"/>
    <n v="90"/>
    <n v="17370"/>
    <n v="12"/>
    <x v="1"/>
    <m/>
  </r>
  <r>
    <n v="867"/>
    <x v="1"/>
    <x v="142"/>
    <s v="Paneer"/>
    <x v="2"/>
    <x v="2"/>
    <n v="68"/>
    <n v="90"/>
    <n v="6120"/>
    <n v="18"/>
    <x v="0"/>
    <m/>
  </r>
  <r>
    <n v="868"/>
    <x v="1"/>
    <x v="143"/>
    <s v="Snacks"/>
    <x v="5"/>
    <x v="2"/>
    <n v="152"/>
    <n v="45"/>
    <n v="6840"/>
    <n v="12"/>
    <x v="2"/>
    <n v="3"/>
  </r>
  <r>
    <n v="869"/>
    <x v="0"/>
    <x v="144"/>
    <s v="Paneer"/>
    <x v="2"/>
    <x v="1"/>
    <n v="236"/>
    <n v="180"/>
    <n v="42480"/>
    <n v="23"/>
    <x v="0"/>
    <m/>
  </r>
  <r>
    <n v="870"/>
    <x v="1"/>
    <x v="145"/>
    <s v="Rice"/>
    <x v="1"/>
    <x v="0"/>
    <n v="234"/>
    <n v="180"/>
    <n v="42120"/>
    <n v="17"/>
    <x v="1"/>
    <n v="3"/>
  </r>
  <r>
    <n v="871"/>
    <x v="1"/>
    <x v="146"/>
    <s v="Juice"/>
    <x v="3"/>
    <x v="3"/>
    <n v="154"/>
    <n v="135"/>
    <n v="20790"/>
    <n v="20"/>
    <x v="0"/>
    <n v="5"/>
  </r>
  <r>
    <n v="872"/>
    <x v="0"/>
    <x v="147"/>
    <s v="Butter"/>
    <x v="2"/>
    <x v="1"/>
    <n v="211"/>
    <n v="135"/>
    <n v="28485"/>
    <n v="20"/>
    <x v="0"/>
    <n v="4"/>
  </r>
  <r>
    <n v="873"/>
    <x v="0"/>
    <x v="148"/>
    <s v="Milk"/>
    <x v="2"/>
    <x v="0"/>
    <n v="146"/>
    <n v="225"/>
    <n v="32850"/>
    <n v="23"/>
    <x v="2"/>
    <n v="5"/>
  </r>
  <r>
    <n v="874"/>
    <x v="1"/>
    <x v="149"/>
    <s v="Biscuits"/>
    <x v="0"/>
    <x v="4"/>
    <n v="32"/>
    <n v="45"/>
    <n v="1440"/>
    <n v="18"/>
    <x v="0"/>
    <n v="4"/>
  </r>
  <r>
    <n v="875"/>
    <x v="1"/>
    <x v="150"/>
    <s v="Snacks"/>
    <x v="5"/>
    <x v="3"/>
    <n v="228"/>
    <n v="180"/>
    <n v="41040"/>
    <n v="16"/>
    <x v="2"/>
    <n v="2"/>
  </r>
  <r>
    <n v="876"/>
    <x v="1"/>
    <x v="151"/>
    <s v="Milk"/>
    <x v="2"/>
    <x v="2"/>
    <n v="173"/>
    <n v="180"/>
    <n v="31140"/>
    <n v="18"/>
    <x v="0"/>
    <n v="2"/>
  </r>
  <r>
    <n v="877"/>
    <x v="1"/>
    <x v="152"/>
    <s v="Butter"/>
    <x v="2"/>
    <x v="1"/>
    <n v="136"/>
    <n v="180"/>
    <n v="24480"/>
    <n v="11"/>
    <x v="1"/>
    <m/>
  </r>
  <r>
    <n v="878"/>
    <x v="1"/>
    <x v="153"/>
    <s v="Bread"/>
    <x v="0"/>
    <x v="4"/>
    <n v="81"/>
    <n v="45"/>
    <n v="3645"/>
    <n v="8"/>
    <x v="1"/>
    <n v="2"/>
  </r>
  <r>
    <n v="879"/>
    <x v="0"/>
    <x v="154"/>
    <s v="Biscuits"/>
    <x v="0"/>
    <x v="4"/>
    <n v="122"/>
    <n v="45"/>
    <n v="5490"/>
    <n v="24"/>
    <x v="1"/>
    <n v="1"/>
  </r>
  <r>
    <n v="880"/>
    <x v="1"/>
    <x v="155"/>
    <s v="Butter"/>
    <x v="2"/>
    <x v="3"/>
    <n v="54"/>
    <n v="225"/>
    <n v="12150"/>
    <n v="9"/>
    <x v="2"/>
    <n v="1"/>
  </r>
  <r>
    <n v="881"/>
    <x v="1"/>
    <x v="156"/>
    <s v="Milk"/>
    <x v="2"/>
    <x v="4"/>
    <n v="213"/>
    <n v="180"/>
    <n v="38340"/>
    <n v="9"/>
    <x v="2"/>
    <n v="3"/>
  </r>
  <r>
    <n v="882"/>
    <x v="1"/>
    <x v="157"/>
    <s v="Bread"/>
    <x v="0"/>
    <x v="1"/>
    <n v="183"/>
    <n v="225"/>
    <n v="41175"/>
    <n v="20"/>
    <x v="1"/>
    <n v="3"/>
  </r>
  <r>
    <n v="883"/>
    <x v="0"/>
    <x v="158"/>
    <s v="Rice"/>
    <x v="1"/>
    <x v="4"/>
    <n v="131"/>
    <n v="135"/>
    <n v="17685"/>
    <n v="18"/>
    <x v="1"/>
    <n v="3"/>
  </r>
  <r>
    <n v="884"/>
    <x v="1"/>
    <x v="159"/>
    <s v="Juice"/>
    <x v="3"/>
    <x v="0"/>
    <n v="45"/>
    <n v="225"/>
    <n v="10125"/>
    <n v="16"/>
    <x v="2"/>
    <n v="2"/>
  </r>
  <r>
    <n v="885"/>
    <x v="1"/>
    <x v="160"/>
    <s v="Eggs"/>
    <x v="4"/>
    <x v="0"/>
    <n v="138"/>
    <n v="180"/>
    <n v="24840"/>
    <n v="18"/>
    <x v="2"/>
    <n v="4"/>
  </r>
  <r>
    <n v="886"/>
    <x v="1"/>
    <x v="161"/>
    <s v="Butter"/>
    <x v="2"/>
    <x v="1"/>
    <n v="162"/>
    <n v="225"/>
    <n v="36450"/>
    <n v="14"/>
    <x v="2"/>
    <n v="2"/>
  </r>
  <r>
    <n v="887"/>
    <x v="1"/>
    <x v="162"/>
    <s v="Rice"/>
    <x v="1"/>
    <x v="3"/>
    <n v="243"/>
    <n v="225"/>
    <n v="54675"/>
    <n v="16"/>
    <x v="0"/>
    <n v="1"/>
  </r>
  <r>
    <n v="888"/>
    <x v="0"/>
    <x v="163"/>
    <s v="Milk"/>
    <x v="2"/>
    <x v="4"/>
    <n v="162"/>
    <n v="90"/>
    <n v="14580"/>
    <n v="12"/>
    <x v="0"/>
    <n v="3"/>
  </r>
  <r>
    <n v="889"/>
    <x v="0"/>
    <x v="164"/>
    <s v="Eggs"/>
    <x v="4"/>
    <x v="2"/>
    <n v="232"/>
    <n v="135"/>
    <n v="31320"/>
    <n v="13"/>
    <x v="1"/>
    <n v="1"/>
  </r>
  <r>
    <n v="890"/>
    <x v="1"/>
    <x v="165"/>
    <s v="Coke"/>
    <x v="3"/>
    <x v="0"/>
    <n v="187"/>
    <n v="135"/>
    <n v="25245"/>
    <n v="13"/>
    <x v="1"/>
    <n v="5"/>
  </r>
  <r>
    <n v="891"/>
    <x v="0"/>
    <x v="166"/>
    <s v="Atta"/>
    <x v="1"/>
    <x v="4"/>
    <n v="124"/>
    <n v="45"/>
    <n v="5580"/>
    <n v="19"/>
    <x v="1"/>
    <n v="2"/>
  </r>
  <r>
    <n v="892"/>
    <x v="0"/>
    <x v="167"/>
    <s v="Rice"/>
    <x v="1"/>
    <x v="3"/>
    <n v="177"/>
    <n v="225"/>
    <n v="39825"/>
    <n v="25"/>
    <x v="1"/>
    <n v="2"/>
  </r>
  <r>
    <n v="893"/>
    <x v="0"/>
    <x v="168"/>
    <s v="Butter"/>
    <x v="2"/>
    <x v="1"/>
    <n v="104"/>
    <n v="135"/>
    <n v="14040"/>
    <n v="23"/>
    <x v="1"/>
    <n v="2"/>
  </r>
  <r>
    <n v="894"/>
    <x v="0"/>
    <x v="169"/>
    <s v="Biscuits"/>
    <x v="0"/>
    <x v="0"/>
    <n v="223"/>
    <n v="90"/>
    <n v="20070"/>
    <n v="13"/>
    <x v="1"/>
    <m/>
  </r>
  <r>
    <n v="895"/>
    <x v="0"/>
    <x v="170"/>
    <s v="Eggs"/>
    <x v="4"/>
    <x v="2"/>
    <n v="139"/>
    <n v="135"/>
    <n v="18765"/>
    <n v="16"/>
    <x v="2"/>
    <n v="2"/>
  </r>
  <r>
    <n v="896"/>
    <x v="1"/>
    <x v="171"/>
    <s v="Biscuits"/>
    <x v="0"/>
    <x v="1"/>
    <n v="44"/>
    <n v="180"/>
    <n v="7920"/>
    <n v="8"/>
    <x v="2"/>
    <n v="1"/>
  </r>
  <r>
    <n v="897"/>
    <x v="0"/>
    <x v="172"/>
    <s v="Eggs"/>
    <x v="4"/>
    <x v="3"/>
    <n v="244"/>
    <n v="45"/>
    <n v="10980"/>
    <n v="22"/>
    <x v="0"/>
    <n v="1"/>
  </r>
  <r>
    <n v="898"/>
    <x v="1"/>
    <x v="173"/>
    <s v="Juice"/>
    <x v="3"/>
    <x v="1"/>
    <n v="191"/>
    <n v="225"/>
    <n v="42975"/>
    <n v="18"/>
    <x v="2"/>
    <n v="4"/>
  </r>
  <r>
    <n v="899"/>
    <x v="0"/>
    <x v="174"/>
    <s v="Biscuits"/>
    <x v="0"/>
    <x v="4"/>
    <n v="75"/>
    <n v="45"/>
    <n v="3375"/>
    <n v="23"/>
    <x v="1"/>
    <n v="1"/>
  </r>
  <r>
    <n v="900"/>
    <x v="1"/>
    <x v="175"/>
    <s v="Coke"/>
    <x v="3"/>
    <x v="0"/>
    <n v="152"/>
    <n v="90"/>
    <n v="13680"/>
    <n v="15"/>
    <x v="1"/>
    <n v="1"/>
  </r>
  <r>
    <n v="901"/>
    <x v="0"/>
    <x v="176"/>
    <s v="Biscuits"/>
    <x v="0"/>
    <x v="4"/>
    <n v="173"/>
    <n v="135"/>
    <n v="23355"/>
    <n v="16"/>
    <x v="0"/>
    <n v="2"/>
  </r>
  <r>
    <n v="902"/>
    <x v="1"/>
    <x v="177"/>
    <s v="Coke"/>
    <x v="3"/>
    <x v="0"/>
    <n v="246"/>
    <n v="180"/>
    <n v="44280"/>
    <n v="20"/>
    <x v="2"/>
    <n v="1"/>
  </r>
  <r>
    <n v="903"/>
    <x v="1"/>
    <x v="178"/>
    <s v="Juice"/>
    <x v="3"/>
    <x v="2"/>
    <n v="99"/>
    <n v="180"/>
    <n v="17820"/>
    <n v="7"/>
    <x v="1"/>
    <n v="4"/>
  </r>
  <r>
    <n v="904"/>
    <x v="0"/>
    <x v="179"/>
    <s v="Atta"/>
    <x v="1"/>
    <x v="3"/>
    <n v="221"/>
    <n v="135"/>
    <n v="29835"/>
    <n v="18"/>
    <x v="1"/>
    <n v="1"/>
  </r>
  <r>
    <n v="905"/>
    <x v="1"/>
    <x v="180"/>
    <s v="Paneer"/>
    <x v="2"/>
    <x v="2"/>
    <n v="197"/>
    <n v="45"/>
    <n v="8865"/>
    <n v="17"/>
    <x v="1"/>
    <m/>
  </r>
  <r>
    <n v="906"/>
    <x v="1"/>
    <x v="181"/>
    <s v="Eggs"/>
    <x v="4"/>
    <x v="1"/>
    <n v="227"/>
    <n v="90"/>
    <n v="20430"/>
    <n v="19"/>
    <x v="1"/>
    <n v="2"/>
  </r>
  <r>
    <n v="907"/>
    <x v="0"/>
    <x v="182"/>
    <s v="Biscuits"/>
    <x v="0"/>
    <x v="0"/>
    <n v="166"/>
    <n v="45"/>
    <n v="7470"/>
    <n v="20"/>
    <x v="0"/>
    <n v="2"/>
  </r>
  <r>
    <n v="908"/>
    <x v="1"/>
    <x v="183"/>
    <s v="Snacks"/>
    <x v="5"/>
    <x v="4"/>
    <n v="173"/>
    <n v="225"/>
    <n v="38925"/>
    <n v="10"/>
    <x v="0"/>
    <n v="2"/>
  </r>
  <r>
    <n v="909"/>
    <x v="0"/>
    <x v="184"/>
    <s v="Butter"/>
    <x v="2"/>
    <x v="3"/>
    <n v="157"/>
    <n v="225"/>
    <n v="35325"/>
    <n v="18"/>
    <x v="1"/>
    <n v="4"/>
  </r>
  <r>
    <n v="910"/>
    <x v="1"/>
    <x v="185"/>
    <s v="Paneer"/>
    <x v="2"/>
    <x v="1"/>
    <n v="192"/>
    <n v="225"/>
    <n v="43200"/>
    <n v="18"/>
    <x v="0"/>
    <n v="4"/>
  </r>
  <r>
    <n v="911"/>
    <x v="1"/>
    <x v="186"/>
    <s v="Atta"/>
    <x v="1"/>
    <x v="2"/>
    <n v="246"/>
    <n v="180"/>
    <n v="44280"/>
    <n v="8"/>
    <x v="0"/>
    <n v="5"/>
  </r>
  <r>
    <n v="912"/>
    <x v="1"/>
    <x v="187"/>
    <s v="Bread"/>
    <x v="0"/>
    <x v="4"/>
    <n v="126"/>
    <n v="180"/>
    <n v="22680"/>
    <n v="20"/>
    <x v="2"/>
    <m/>
  </r>
  <r>
    <n v="913"/>
    <x v="1"/>
    <x v="188"/>
    <s v="Atta"/>
    <x v="1"/>
    <x v="4"/>
    <n v="62"/>
    <n v="45"/>
    <n v="2790"/>
    <n v="15"/>
    <x v="1"/>
    <n v="2"/>
  </r>
  <r>
    <n v="914"/>
    <x v="1"/>
    <x v="189"/>
    <s v="Coke"/>
    <x v="3"/>
    <x v="2"/>
    <n v="148"/>
    <n v="225"/>
    <n v="33300"/>
    <n v="17"/>
    <x v="2"/>
    <n v="2"/>
  </r>
  <r>
    <n v="915"/>
    <x v="1"/>
    <x v="190"/>
    <s v="Milk"/>
    <x v="2"/>
    <x v="4"/>
    <n v="205"/>
    <n v="45"/>
    <n v="9225"/>
    <n v="10"/>
    <x v="1"/>
    <n v="5"/>
  </r>
  <r>
    <n v="916"/>
    <x v="0"/>
    <x v="191"/>
    <s v="Butter"/>
    <x v="2"/>
    <x v="2"/>
    <n v="163"/>
    <n v="135"/>
    <n v="22005"/>
    <n v="20"/>
    <x v="2"/>
    <n v="5"/>
  </r>
  <r>
    <n v="917"/>
    <x v="1"/>
    <x v="192"/>
    <s v="Rice"/>
    <x v="1"/>
    <x v="3"/>
    <n v="54"/>
    <n v="135"/>
    <n v="7290"/>
    <n v="18"/>
    <x v="0"/>
    <m/>
  </r>
  <r>
    <n v="918"/>
    <x v="0"/>
    <x v="193"/>
    <s v="Rice"/>
    <x v="1"/>
    <x v="1"/>
    <n v="78"/>
    <n v="90"/>
    <n v="7020"/>
    <n v="16"/>
    <x v="1"/>
    <n v="1"/>
  </r>
  <r>
    <n v="919"/>
    <x v="1"/>
    <x v="194"/>
    <s v="Bread"/>
    <x v="0"/>
    <x v="1"/>
    <n v="163"/>
    <n v="180"/>
    <n v="29340"/>
    <n v="13"/>
    <x v="0"/>
    <n v="3"/>
  </r>
  <r>
    <n v="920"/>
    <x v="0"/>
    <x v="195"/>
    <s v="Paneer"/>
    <x v="2"/>
    <x v="2"/>
    <n v="157"/>
    <n v="90"/>
    <n v="14130"/>
    <n v="21"/>
    <x v="2"/>
    <n v="3"/>
  </r>
  <r>
    <n v="921"/>
    <x v="1"/>
    <x v="196"/>
    <s v="Juice"/>
    <x v="3"/>
    <x v="2"/>
    <n v="76"/>
    <n v="90"/>
    <n v="6840"/>
    <n v="16"/>
    <x v="0"/>
    <n v="1"/>
  </r>
  <r>
    <n v="922"/>
    <x v="1"/>
    <x v="197"/>
    <s v="Paneer"/>
    <x v="2"/>
    <x v="3"/>
    <n v="123"/>
    <n v="45"/>
    <n v="5535"/>
    <n v="19"/>
    <x v="1"/>
    <n v="3"/>
  </r>
  <r>
    <n v="923"/>
    <x v="0"/>
    <x v="198"/>
    <s v="Eggs"/>
    <x v="4"/>
    <x v="4"/>
    <n v="42"/>
    <n v="45"/>
    <n v="1890"/>
    <n v="15"/>
    <x v="0"/>
    <n v="1"/>
  </r>
  <r>
    <n v="924"/>
    <x v="1"/>
    <x v="199"/>
    <s v="Snacks"/>
    <x v="5"/>
    <x v="4"/>
    <n v="95"/>
    <n v="45"/>
    <n v="4275"/>
    <n v="7"/>
    <x v="2"/>
    <n v="3"/>
  </r>
  <r>
    <n v="925"/>
    <x v="1"/>
    <x v="200"/>
    <s v="Paneer"/>
    <x v="2"/>
    <x v="0"/>
    <n v="183"/>
    <n v="135"/>
    <n v="24705"/>
    <n v="15"/>
    <x v="0"/>
    <n v="5"/>
  </r>
  <r>
    <n v="926"/>
    <x v="0"/>
    <x v="201"/>
    <s v="Juice"/>
    <x v="3"/>
    <x v="2"/>
    <n v="183"/>
    <n v="225"/>
    <n v="41175"/>
    <n v="13"/>
    <x v="1"/>
    <n v="3"/>
  </r>
  <r>
    <n v="927"/>
    <x v="0"/>
    <x v="202"/>
    <s v="Snacks"/>
    <x v="5"/>
    <x v="4"/>
    <n v="119"/>
    <n v="225"/>
    <n v="26775"/>
    <n v="21"/>
    <x v="1"/>
    <n v="5"/>
  </r>
  <r>
    <n v="928"/>
    <x v="0"/>
    <x v="203"/>
    <s v="Rice"/>
    <x v="1"/>
    <x v="2"/>
    <n v="243"/>
    <n v="180"/>
    <n v="43740"/>
    <n v="21"/>
    <x v="0"/>
    <n v="1"/>
  </r>
  <r>
    <n v="929"/>
    <x v="0"/>
    <x v="204"/>
    <s v="Butter"/>
    <x v="2"/>
    <x v="0"/>
    <n v="188"/>
    <n v="180"/>
    <n v="33840"/>
    <n v="25"/>
    <x v="1"/>
    <n v="4"/>
  </r>
  <r>
    <n v="930"/>
    <x v="0"/>
    <x v="205"/>
    <s v="Eggs"/>
    <x v="4"/>
    <x v="3"/>
    <n v="70"/>
    <n v="45"/>
    <n v="3150"/>
    <n v="13"/>
    <x v="0"/>
    <n v="3"/>
  </r>
  <r>
    <n v="931"/>
    <x v="1"/>
    <x v="206"/>
    <s v="Rice"/>
    <x v="1"/>
    <x v="0"/>
    <n v="206"/>
    <n v="135"/>
    <n v="27810"/>
    <n v="20"/>
    <x v="0"/>
    <n v="1"/>
  </r>
  <r>
    <n v="932"/>
    <x v="1"/>
    <x v="207"/>
    <s v="Juice"/>
    <x v="3"/>
    <x v="4"/>
    <n v="66"/>
    <n v="90"/>
    <n v="5940"/>
    <n v="8"/>
    <x v="1"/>
    <n v="2"/>
  </r>
  <r>
    <n v="933"/>
    <x v="1"/>
    <x v="208"/>
    <s v="Paneer"/>
    <x v="2"/>
    <x v="1"/>
    <n v="245"/>
    <n v="45"/>
    <n v="11025"/>
    <n v="13"/>
    <x v="1"/>
    <n v="2"/>
  </r>
  <r>
    <n v="934"/>
    <x v="1"/>
    <x v="209"/>
    <s v="Juice"/>
    <x v="3"/>
    <x v="3"/>
    <n v="119"/>
    <n v="90"/>
    <n v="10710"/>
    <n v="15"/>
    <x v="2"/>
    <n v="2"/>
  </r>
  <r>
    <n v="935"/>
    <x v="0"/>
    <x v="210"/>
    <s v="Rice"/>
    <x v="1"/>
    <x v="1"/>
    <n v="117"/>
    <n v="90"/>
    <n v="10530"/>
    <n v="21"/>
    <x v="2"/>
    <n v="2"/>
  </r>
  <r>
    <n v="936"/>
    <x v="0"/>
    <x v="211"/>
    <s v="Bread"/>
    <x v="0"/>
    <x v="0"/>
    <n v="178"/>
    <n v="180"/>
    <n v="32040"/>
    <n v="19"/>
    <x v="0"/>
    <m/>
  </r>
  <r>
    <n v="937"/>
    <x v="1"/>
    <x v="212"/>
    <s v="Biscuits"/>
    <x v="0"/>
    <x v="3"/>
    <n v="103"/>
    <n v="45"/>
    <n v="4635"/>
    <n v="20"/>
    <x v="1"/>
    <n v="1"/>
  </r>
  <r>
    <n v="938"/>
    <x v="0"/>
    <x v="213"/>
    <s v="Coke"/>
    <x v="3"/>
    <x v="1"/>
    <n v="42"/>
    <n v="180"/>
    <n v="7560"/>
    <n v="18"/>
    <x v="0"/>
    <n v="5"/>
  </r>
  <r>
    <n v="939"/>
    <x v="1"/>
    <x v="214"/>
    <s v="Eggs"/>
    <x v="4"/>
    <x v="3"/>
    <n v="54"/>
    <n v="135"/>
    <n v="7290"/>
    <n v="17"/>
    <x v="2"/>
    <n v="4"/>
  </r>
  <r>
    <n v="940"/>
    <x v="1"/>
    <x v="215"/>
    <s v="Bread"/>
    <x v="0"/>
    <x v="4"/>
    <n v="117"/>
    <n v="135"/>
    <n v="15795"/>
    <n v="8"/>
    <x v="0"/>
    <m/>
  </r>
  <r>
    <n v="941"/>
    <x v="0"/>
    <x v="216"/>
    <s v="Biscuits"/>
    <x v="0"/>
    <x v="2"/>
    <n v="80"/>
    <n v="45"/>
    <n v="3600"/>
    <n v="22"/>
    <x v="1"/>
    <n v="1"/>
  </r>
  <r>
    <n v="942"/>
    <x v="0"/>
    <x v="217"/>
    <s v="Coke"/>
    <x v="3"/>
    <x v="4"/>
    <n v="231"/>
    <n v="90"/>
    <n v="20790"/>
    <n v="21"/>
    <x v="2"/>
    <m/>
  </r>
  <r>
    <n v="943"/>
    <x v="1"/>
    <x v="218"/>
    <s v="Paneer"/>
    <x v="2"/>
    <x v="1"/>
    <n v="66"/>
    <n v="135"/>
    <n v="8910"/>
    <n v="10"/>
    <x v="2"/>
    <m/>
  </r>
  <r>
    <n v="944"/>
    <x v="1"/>
    <x v="219"/>
    <s v="Eggs"/>
    <x v="4"/>
    <x v="3"/>
    <n v="141"/>
    <n v="225"/>
    <n v="31725"/>
    <n v="8"/>
    <x v="0"/>
    <n v="5"/>
  </r>
  <r>
    <n v="945"/>
    <x v="0"/>
    <x v="220"/>
    <s v="Biscuits"/>
    <x v="0"/>
    <x v="4"/>
    <n v="115"/>
    <n v="90"/>
    <n v="10350"/>
    <n v="22"/>
    <x v="1"/>
    <n v="3"/>
  </r>
  <r>
    <n v="946"/>
    <x v="0"/>
    <x v="221"/>
    <s v="Paneer"/>
    <x v="2"/>
    <x v="0"/>
    <n v="190"/>
    <n v="90"/>
    <n v="17100"/>
    <n v="16"/>
    <x v="1"/>
    <n v="4"/>
  </r>
  <r>
    <n v="947"/>
    <x v="0"/>
    <x v="222"/>
    <s v="Biscuits"/>
    <x v="0"/>
    <x v="4"/>
    <n v="112"/>
    <n v="180"/>
    <n v="20160"/>
    <n v="10"/>
    <x v="2"/>
    <m/>
  </r>
  <r>
    <n v="948"/>
    <x v="0"/>
    <x v="223"/>
    <s v="Eggs"/>
    <x v="4"/>
    <x v="1"/>
    <n v="126"/>
    <n v="135"/>
    <n v="17010"/>
    <n v="21"/>
    <x v="1"/>
    <n v="5"/>
  </r>
  <r>
    <n v="949"/>
    <x v="0"/>
    <x v="224"/>
    <s v="Coke"/>
    <x v="3"/>
    <x v="3"/>
    <n v="210"/>
    <n v="225"/>
    <n v="47250"/>
    <n v="20"/>
    <x v="0"/>
    <n v="4"/>
  </r>
  <r>
    <n v="950"/>
    <x v="0"/>
    <x v="225"/>
    <s v="Atta"/>
    <x v="1"/>
    <x v="1"/>
    <n v="197"/>
    <n v="180"/>
    <n v="35460"/>
    <n v="18"/>
    <x v="2"/>
    <m/>
  </r>
  <r>
    <n v="951"/>
    <x v="0"/>
    <x v="226"/>
    <s v="Milk"/>
    <x v="2"/>
    <x v="2"/>
    <n v="156"/>
    <n v="135"/>
    <n v="21060"/>
    <n v="25"/>
    <x v="1"/>
    <n v="2"/>
  </r>
  <r>
    <n v="952"/>
    <x v="0"/>
    <x v="227"/>
    <s v="Paneer"/>
    <x v="2"/>
    <x v="4"/>
    <n v="62"/>
    <n v="90"/>
    <n v="5580"/>
    <n v="12"/>
    <x v="0"/>
    <n v="4"/>
  </r>
  <r>
    <n v="953"/>
    <x v="0"/>
    <x v="228"/>
    <s v="Snacks"/>
    <x v="5"/>
    <x v="3"/>
    <n v="109"/>
    <n v="180"/>
    <n v="19620"/>
    <n v="23"/>
    <x v="0"/>
    <n v="1"/>
  </r>
  <r>
    <n v="954"/>
    <x v="0"/>
    <x v="229"/>
    <s v="Milk"/>
    <x v="2"/>
    <x v="3"/>
    <n v="242"/>
    <n v="180"/>
    <n v="43560"/>
    <n v="25"/>
    <x v="0"/>
    <n v="5"/>
  </r>
  <r>
    <n v="955"/>
    <x v="1"/>
    <x v="230"/>
    <s v="Eggs"/>
    <x v="4"/>
    <x v="0"/>
    <n v="132"/>
    <n v="180"/>
    <n v="23760"/>
    <n v="14"/>
    <x v="2"/>
    <n v="3"/>
  </r>
  <r>
    <n v="956"/>
    <x v="1"/>
    <x v="231"/>
    <s v="Paneer"/>
    <x v="2"/>
    <x v="4"/>
    <n v="90"/>
    <n v="135"/>
    <n v="12150"/>
    <n v="11"/>
    <x v="2"/>
    <n v="2"/>
  </r>
  <r>
    <n v="957"/>
    <x v="0"/>
    <x v="232"/>
    <s v="Snacks"/>
    <x v="5"/>
    <x v="1"/>
    <n v="164"/>
    <n v="225"/>
    <n v="36900"/>
    <n v="11"/>
    <x v="2"/>
    <n v="5"/>
  </r>
  <r>
    <n v="958"/>
    <x v="1"/>
    <x v="233"/>
    <s v="Eggs"/>
    <x v="4"/>
    <x v="0"/>
    <n v="246"/>
    <n v="135"/>
    <n v="33210"/>
    <n v="7"/>
    <x v="2"/>
    <n v="4"/>
  </r>
  <r>
    <n v="959"/>
    <x v="0"/>
    <x v="234"/>
    <s v="Snacks"/>
    <x v="5"/>
    <x v="0"/>
    <n v="81"/>
    <n v="225"/>
    <n v="18225"/>
    <n v="16"/>
    <x v="1"/>
    <n v="4"/>
  </r>
  <r>
    <n v="960"/>
    <x v="0"/>
    <x v="235"/>
    <s v="Bread"/>
    <x v="0"/>
    <x v="4"/>
    <n v="166"/>
    <n v="180"/>
    <n v="29880"/>
    <n v="15"/>
    <x v="2"/>
    <n v="3"/>
  </r>
  <r>
    <n v="961"/>
    <x v="1"/>
    <x v="236"/>
    <s v="Milk"/>
    <x v="2"/>
    <x v="4"/>
    <n v="248"/>
    <n v="180"/>
    <n v="44640"/>
    <n v="12"/>
    <x v="2"/>
    <n v="3"/>
  </r>
  <r>
    <n v="962"/>
    <x v="1"/>
    <x v="237"/>
    <s v="Rice"/>
    <x v="1"/>
    <x v="1"/>
    <n v="69"/>
    <n v="225"/>
    <n v="15525"/>
    <n v="10"/>
    <x v="2"/>
    <n v="1"/>
  </r>
  <r>
    <n v="963"/>
    <x v="0"/>
    <x v="238"/>
    <s v="Biscuits"/>
    <x v="0"/>
    <x v="3"/>
    <n v="193"/>
    <n v="45"/>
    <n v="8685"/>
    <n v="14"/>
    <x v="0"/>
    <n v="4"/>
  </r>
  <r>
    <n v="964"/>
    <x v="1"/>
    <x v="239"/>
    <s v="Butter"/>
    <x v="2"/>
    <x v="3"/>
    <n v="235"/>
    <n v="225"/>
    <n v="52875"/>
    <n v="11"/>
    <x v="1"/>
    <n v="2"/>
  </r>
  <r>
    <n v="965"/>
    <x v="1"/>
    <x v="240"/>
    <s v="Milk"/>
    <x v="2"/>
    <x v="3"/>
    <n v="43"/>
    <n v="90"/>
    <n v="3870"/>
    <n v="9"/>
    <x v="1"/>
    <n v="5"/>
  </r>
  <r>
    <n v="966"/>
    <x v="0"/>
    <x v="241"/>
    <s v="Bread"/>
    <x v="0"/>
    <x v="4"/>
    <n v="141"/>
    <n v="180"/>
    <n v="25380"/>
    <n v="20"/>
    <x v="1"/>
    <n v="3"/>
  </r>
  <r>
    <n v="967"/>
    <x v="1"/>
    <x v="242"/>
    <s v="Juice"/>
    <x v="3"/>
    <x v="1"/>
    <n v="78"/>
    <n v="225"/>
    <n v="17550"/>
    <n v="12"/>
    <x v="2"/>
    <m/>
  </r>
  <r>
    <n v="968"/>
    <x v="0"/>
    <x v="243"/>
    <s v="Paneer"/>
    <x v="2"/>
    <x v="3"/>
    <n v="151"/>
    <n v="45"/>
    <n v="6795"/>
    <n v="19"/>
    <x v="2"/>
    <n v="1"/>
  </r>
  <r>
    <n v="969"/>
    <x v="1"/>
    <x v="244"/>
    <s v="Coke"/>
    <x v="3"/>
    <x v="4"/>
    <n v="186"/>
    <n v="225"/>
    <n v="41850"/>
    <n v="9"/>
    <x v="0"/>
    <n v="5"/>
  </r>
  <r>
    <n v="970"/>
    <x v="0"/>
    <x v="245"/>
    <s v="Biscuits"/>
    <x v="0"/>
    <x v="0"/>
    <n v="158"/>
    <n v="180"/>
    <n v="28440"/>
    <n v="13"/>
    <x v="2"/>
    <n v="2"/>
  </r>
  <r>
    <n v="971"/>
    <x v="1"/>
    <x v="246"/>
    <s v="Atta"/>
    <x v="1"/>
    <x v="3"/>
    <n v="59"/>
    <n v="180"/>
    <n v="10620"/>
    <n v="17"/>
    <x v="2"/>
    <n v="3"/>
  </r>
  <r>
    <n v="972"/>
    <x v="0"/>
    <x v="247"/>
    <s v="Rice"/>
    <x v="1"/>
    <x v="1"/>
    <n v="57"/>
    <n v="180"/>
    <n v="10260"/>
    <n v="12"/>
    <x v="0"/>
    <n v="1"/>
  </r>
  <r>
    <n v="973"/>
    <x v="0"/>
    <x v="248"/>
    <s v="Rice"/>
    <x v="1"/>
    <x v="1"/>
    <n v="237"/>
    <n v="90"/>
    <n v="21330"/>
    <n v="25"/>
    <x v="0"/>
    <m/>
  </r>
  <r>
    <n v="974"/>
    <x v="0"/>
    <x v="249"/>
    <s v="Snacks"/>
    <x v="5"/>
    <x v="3"/>
    <n v="221"/>
    <n v="225"/>
    <n v="49725"/>
    <n v="13"/>
    <x v="0"/>
    <n v="5"/>
  </r>
  <r>
    <n v="975"/>
    <x v="1"/>
    <x v="250"/>
    <s v="Milk"/>
    <x v="2"/>
    <x v="4"/>
    <n v="64"/>
    <n v="90"/>
    <n v="5760"/>
    <n v="17"/>
    <x v="2"/>
    <n v="1"/>
  </r>
  <r>
    <n v="976"/>
    <x v="0"/>
    <x v="251"/>
    <s v="Coke"/>
    <x v="3"/>
    <x v="2"/>
    <n v="110"/>
    <n v="135"/>
    <n v="14850"/>
    <n v="21"/>
    <x v="2"/>
    <n v="1"/>
  </r>
  <r>
    <n v="977"/>
    <x v="1"/>
    <x v="252"/>
    <s v="Biscuits"/>
    <x v="0"/>
    <x v="4"/>
    <n v="134"/>
    <n v="225"/>
    <n v="30150"/>
    <n v="11"/>
    <x v="0"/>
    <n v="2"/>
  </r>
  <r>
    <n v="978"/>
    <x v="0"/>
    <x v="253"/>
    <s v="Atta"/>
    <x v="1"/>
    <x v="2"/>
    <n v="180"/>
    <n v="180"/>
    <n v="32400"/>
    <n v="17"/>
    <x v="1"/>
    <n v="4"/>
  </r>
  <r>
    <n v="979"/>
    <x v="1"/>
    <x v="254"/>
    <s v="Coke"/>
    <x v="3"/>
    <x v="3"/>
    <n v="159"/>
    <n v="90"/>
    <n v="14310"/>
    <n v="13"/>
    <x v="1"/>
    <n v="5"/>
  </r>
  <r>
    <n v="980"/>
    <x v="0"/>
    <x v="255"/>
    <s v="Butter"/>
    <x v="2"/>
    <x v="1"/>
    <n v="135"/>
    <n v="180"/>
    <n v="24300"/>
    <n v="10"/>
    <x v="1"/>
    <n v="3"/>
  </r>
  <r>
    <n v="981"/>
    <x v="0"/>
    <x v="256"/>
    <s v="Butter"/>
    <x v="2"/>
    <x v="1"/>
    <n v="75"/>
    <n v="225"/>
    <n v="16875"/>
    <n v="18"/>
    <x v="2"/>
    <n v="1"/>
  </r>
  <r>
    <n v="982"/>
    <x v="0"/>
    <x v="257"/>
    <s v="Biscuits"/>
    <x v="0"/>
    <x v="2"/>
    <n v="94"/>
    <n v="90"/>
    <n v="8460"/>
    <n v="18"/>
    <x v="0"/>
    <n v="3"/>
  </r>
  <r>
    <n v="983"/>
    <x v="0"/>
    <x v="258"/>
    <s v="Atta"/>
    <x v="1"/>
    <x v="3"/>
    <n v="101"/>
    <n v="180"/>
    <n v="18180"/>
    <n v="10"/>
    <x v="0"/>
    <n v="2"/>
  </r>
  <r>
    <n v="984"/>
    <x v="0"/>
    <x v="259"/>
    <s v="Milk"/>
    <x v="2"/>
    <x v="4"/>
    <n v="30"/>
    <n v="90"/>
    <n v="2700"/>
    <n v="24"/>
    <x v="1"/>
    <n v="1"/>
  </r>
  <r>
    <n v="985"/>
    <x v="0"/>
    <x v="260"/>
    <s v="Milk"/>
    <x v="2"/>
    <x v="3"/>
    <n v="81"/>
    <n v="45"/>
    <n v="3645"/>
    <n v="22"/>
    <x v="0"/>
    <n v="3"/>
  </r>
  <r>
    <n v="986"/>
    <x v="1"/>
    <x v="261"/>
    <s v="Coke"/>
    <x v="3"/>
    <x v="4"/>
    <n v="53"/>
    <n v="180"/>
    <n v="9540"/>
    <n v="14"/>
    <x v="1"/>
    <n v="3"/>
  </r>
  <r>
    <n v="987"/>
    <x v="1"/>
    <x v="262"/>
    <s v="Coke"/>
    <x v="3"/>
    <x v="4"/>
    <n v="73"/>
    <n v="180"/>
    <n v="13140"/>
    <n v="19"/>
    <x v="2"/>
    <n v="3"/>
  </r>
  <r>
    <n v="988"/>
    <x v="0"/>
    <x v="263"/>
    <s v="Milk"/>
    <x v="2"/>
    <x v="1"/>
    <n v="246"/>
    <n v="225"/>
    <n v="55350"/>
    <n v="16"/>
    <x v="1"/>
    <n v="4"/>
  </r>
  <r>
    <n v="989"/>
    <x v="0"/>
    <x v="264"/>
    <s v="Bread"/>
    <x v="0"/>
    <x v="0"/>
    <n v="193"/>
    <n v="135"/>
    <n v="26055"/>
    <n v="20"/>
    <x v="2"/>
    <n v="4"/>
  </r>
  <r>
    <n v="990"/>
    <x v="1"/>
    <x v="265"/>
    <s v="Milk"/>
    <x v="2"/>
    <x v="3"/>
    <n v="133"/>
    <n v="45"/>
    <n v="5985"/>
    <n v="18"/>
    <x v="1"/>
    <n v="2"/>
  </r>
  <r>
    <n v="991"/>
    <x v="0"/>
    <x v="266"/>
    <s v="Eggs"/>
    <x v="4"/>
    <x v="3"/>
    <n v="206"/>
    <n v="135"/>
    <n v="27810"/>
    <n v="10"/>
    <x v="0"/>
    <n v="4"/>
  </r>
  <r>
    <n v="992"/>
    <x v="1"/>
    <x v="267"/>
    <s v="Atta"/>
    <x v="1"/>
    <x v="0"/>
    <n v="67"/>
    <n v="45"/>
    <n v="3015"/>
    <n v="12"/>
    <x v="0"/>
    <n v="2"/>
  </r>
  <r>
    <n v="993"/>
    <x v="1"/>
    <x v="268"/>
    <s v="Coke"/>
    <x v="3"/>
    <x v="0"/>
    <n v="116"/>
    <n v="90"/>
    <n v="10440"/>
    <n v="18"/>
    <x v="1"/>
    <n v="5"/>
  </r>
  <r>
    <n v="994"/>
    <x v="0"/>
    <x v="269"/>
    <s v="Butter"/>
    <x v="2"/>
    <x v="2"/>
    <n v="158"/>
    <n v="90"/>
    <n v="14220"/>
    <n v="22"/>
    <x v="0"/>
    <m/>
  </r>
  <r>
    <n v="995"/>
    <x v="0"/>
    <x v="270"/>
    <s v="Eggs"/>
    <x v="4"/>
    <x v="0"/>
    <n v="41"/>
    <n v="135"/>
    <n v="5535"/>
    <n v="17"/>
    <x v="1"/>
    <n v="5"/>
  </r>
  <r>
    <n v="996"/>
    <x v="1"/>
    <x v="271"/>
    <s v="Bread"/>
    <x v="0"/>
    <x v="1"/>
    <n v="249"/>
    <n v="45"/>
    <n v="11205"/>
    <n v="16"/>
    <x v="1"/>
    <n v="5"/>
  </r>
  <r>
    <n v="997"/>
    <x v="1"/>
    <x v="272"/>
    <s v="Biscuits"/>
    <x v="0"/>
    <x v="0"/>
    <n v="164"/>
    <n v="90"/>
    <n v="14760"/>
    <n v="16"/>
    <x v="0"/>
    <n v="3"/>
  </r>
  <r>
    <n v="998"/>
    <x v="1"/>
    <x v="273"/>
    <s v="Rice"/>
    <x v="1"/>
    <x v="0"/>
    <n v="120"/>
    <n v="45"/>
    <n v="5400"/>
    <n v="18"/>
    <x v="2"/>
    <n v="3"/>
  </r>
  <r>
    <n v="999"/>
    <x v="1"/>
    <x v="274"/>
    <s v="Paneer"/>
    <x v="2"/>
    <x v="3"/>
    <n v="84"/>
    <n v="225"/>
    <n v="18900"/>
    <n v="14"/>
    <x v="2"/>
    <n v="3"/>
  </r>
  <r>
    <n v="1000"/>
    <x v="0"/>
    <x v="275"/>
    <s v="Paneer"/>
    <x v="2"/>
    <x v="3"/>
    <n v="49"/>
    <n v="225"/>
    <n v="11025"/>
    <n v="11"/>
    <x v="0"/>
    <n v="3"/>
  </r>
  <r>
    <n v="1001"/>
    <x v="0"/>
    <x v="276"/>
    <s v="Milk"/>
    <x v="2"/>
    <x v="3"/>
    <n v="249"/>
    <n v="135"/>
    <n v="33615"/>
    <n v="16"/>
    <x v="1"/>
    <n v="2"/>
  </r>
  <r>
    <n v="1002"/>
    <x v="1"/>
    <x v="277"/>
    <s v="Biscuits"/>
    <x v="0"/>
    <x v="4"/>
    <n v="161"/>
    <n v="180"/>
    <n v="28980"/>
    <n v="12"/>
    <x v="1"/>
    <n v="2"/>
  </r>
  <r>
    <n v="1003"/>
    <x v="1"/>
    <x v="278"/>
    <s v="Juice"/>
    <x v="3"/>
    <x v="0"/>
    <n v="124"/>
    <n v="45"/>
    <n v="5580"/>
    <n v="18"/>
    <x v="1"/>
    <n v="5"/>
  </r>
  <r>
    <n v="1004"/>
    <x v="0"/>
    <x v="279"/>
    <s v="Rice"/>
    <x v="1"/>
    <x v="0"/>
    <n v="64"/>
    <n v="180"/>
    <n v="11520"/>
    <n v="20"/>
    <x v="0"/>
    <m/>
  </r>
  <r>
    <n v="1005"/>
    <x v="1"/>
    <x v="280"/>
    <s v="Atta"/>
    <x v="1"/>
    <x v="2"/>
    <n v="163"/>
    <n v="135"/>
    <n v="22005"/>
    <n v="10"/>
    <x v="0"/>
    <m/>
  </r>
  <r>
    <n v="1006"/>
    <x v="1"/>
    <x v="281"/>
    <s v="Eggs"/>
    <x v="4"/>
    <x v="3"/>
    <n v="154"/>
    <n v="90"/>
    <n v="13860"/>
    <n v="10"/>
    <x v="0"/>
    <n v="3"/>
  </r>
  <r>
    <n v="1007"/>
    <x v="0"/>
    <x v="282"/>
    <s v="Bread"/>
    <x v="0"/>
    <x v="3"/>
    <n v="166"/>
    <n v="90"/>
    <n v="14940"/>
    <n v="10"/>
    <x v="2"/>
    <m/>
  </r>
  <r>
    <n v="1008"/>
    <x v="0"/>
    <x v="283"/>
    <s v="Rice"/>
    <x v="1"/>
    <x v="3"/>
    <n v="76"/>
    <n v="135"/>
    <n v="10260"/>
    <n v="14"/>
    <x v="0"/>
    <m/>
  </r>
  <r>
    <n v="1009"/>
    <x v="1"/>
    <x v="284"/>
    <s v="Rice"/>
    <x v="1"/>
    <x v="3"/>
    <n v="240"/>
    <n v="45"/>
    <n v="10800"/>
    <n v="16"/>
    <x v="1"/>
    <n v="2"/>
  </r>
  <r>
    <n v="1010"/>
    <x v="1"/>
    <x v="285"/>
    <s v="Milk"/>
    <x v="2"/>
    <x v="0"/>
    <n v="195"/>
    <n v="225"/>
    <n v="43875"/>
    <n v="12"/>
    <x v="2"/>
    <n v="3"/>
  </r>
  <r>
    <n v="1011"/>
    <x v="0"/>
    <x v="286"/>
    <s v="Milk"/>
    <x v="2"/>
    <x v="1"/>
    <n v="178"/>
    <n v="135"/>
    <n v="24030"/>
    <n v="10"/>
    <x v="2"/>
    <m/>
  </r>
  <r>
    <n v="1012"/>
    <x v="1"/>
    <x v="287"/>
    <s v="Milk"/>
    <x v="2"/>
    <x v="3"/>
    <n v="51"/>
    <n v="90"/>
    <n v="4590"/>
    <n v="20"/>
    <x v="0"/>
    <m/>
  </r>
  <r>
    <n v="1013"/>
    <x v="0"/>
    <x v="288"/>
    <s v="Milk"/>
    <x v="2"/>
    <x v="2"/>
    <n v="153"/>
    <n v="180"/>
    <n v="27540"/>
    <n v="10"/>
    <x v="2"/>
    <m/>
  </r>
  <r>
    <n v="1014"/>
    <x v="1"/>
    <x v="289"/>
    <s v="Snacks"/>
    <x v="5"/>
    <x v="1"/>
    <n v="190"/>
    <n v="45"/>
    <n v="8550"/>
    <n v="16"/>
    <x v="1"/>
    <m/>
  </r>
  <r>
    <n v="1015"/>
    <x v="0"/>
    <x v="290"/>
    <s v="Biscuits"/>
    <x v="0"/>
    <x v="0"/>
    <n v="166"/>
    <n v="45"/>
    <n v="7470"/>
    <n v="20"/>
    <x v="0"/>
    <n v="2"/>
  </r>
  <r>
    <n v="1016"/>
    <x v="1"/>
    <x v="291"/>
    <s v="Snacks"/>
    <x v="5"/>
    <x v="4"/>
    <n v="173"/>
    <n v="225"/>
    <n v="38925"/>
    <n v="10"/>
    <x v="0"/>
    <n v="2"/>
  </r>
  <r>
    <n v="1017"/>
    <x v="0"/>
    <x v="292"/>
    <s v="Butter"/>
    <x v="2"/>
    <x v="3"/>
    <n v="157"/>
    <n v="225"/>
    <n v="35325"/>
    <n v="18"/>
    <x v="1"/>
    <n v="4"/>
  </r>
  <r>
    <n v="1018"/>
    <x v="1"/>
    <x v="293"/>
    <s v="Paneer"/>
    <x v="2"/>
    <x v="1"/>
    <n v="192"/>
    <n v="225"/>
    <n v="43200"/>
    <n v="18"/>
    <x v="0"/>
    <n v="4"/>
  </r>
  <r>
    <n v="1019"/>
    <x v="1"/>
    <x v="294"/>
    <s v="Atta"/>
    <x v="1"/>
    <x v="2"/>
    <n v="246"/>
    <n v="180"/>
    <n v="44280"/>
    <n v="8"/>
    <x v="0"/>
    <n v="5"/>
  </r>
  <r>
    <n v="1020"/>
    <x v="1"/>
    <x v="295"/>
    <s v="Bread"/>
    <x v="0"/>
    <x v="4"/>
    <n v="126"/>
    <n v="180"/>
    <n v="22680"/>
    <n v="20"/>
    <x v="2"/>
    <m/>
  </r>
  <r>
    <n v="1021"/>
    <x v="1"/>
    <x v="296"/>
    <s v="Atta"/>
    <x v="1"/>
    <x v="4"/>
    <n v="62"/>
    <n v="45"/>
    <n v="2790"/>
    <n v="15"/>
    <x v="1"/>
    <n v="2"/>
  </r>
  <r>
    <n v="1022"/>
    <x v="1"/>
    <x v="297"/>
    <s v="Coke"/>
    <x v="3"/>
    <x v="2"/>
    <n v="148"/>
    <n v="225"/>
    <n v="33300"/>
    <n v="17"/>
    <x v="2"/>
    <n v="2"/>
  </r>
  <r>
    <n v="1023"/>
    <x v="1"/>
    <x v="298"/>
    <s v="Milk"/>
    <x v="2"/>
    <x v="4"/>
    <n v="205"/>
    <n v="45"/>
    <n v="9225"/>
    <n v="10"/>
    <x v="1"/>
    <n v="5"/>
  </r>
  <r>
    <n v="1024"/>
    <x v="0"/>
    <x v="299"/>
    <s v="Butter"/>
    <x v="2"/>
    <x v="2"/>
    <n v="163"/>
    <n v="135"/>
    <n v="22005"/>
    <n v="20"/>
    <x v="2"/>
    <n v="5"/>
  </r>
  <r>
    <n v="1025"/>
    <x v="1"/>
    <x v="300"/>
    <s v="Rice"/>
    <x v="1"/>
    <x v="3"/>
    <n v="54"/>
    <n v="135"/>
    <n v="7290"/>
    <n v="18"/>
    <x v="0"/>
    <m/>
  </r>
  <r>
    <n v="1026"/>
    <x v="0"/>
    <x v="301"/>
    <s v="Rice"/>
    <x v="1"/>
    <x v="1"/>
    <n v="78"/>
    <n v="90"/>
    <n v="7020"/>
    <n v="16"/>
    <x v="1"/>
    <n v="1"/>
  </r>
  <r>
    <n v="1027"/>
    <x v="1"/>
    <x v="302"/>
    <s v="Bread"/>
    <x v="0"/>
    <x v="1"/>
    <n v="163"/>
    <n v="180"/>
    <n v="29340"/>
    <n v="13"/>
    <x v="0"/>
    <n v="3"/>
  </r>
  <r>
    <n v="1028"/>
    <x v="0"/>
    <x v="303"/>
    <s v="Paneer"/>
    <x v="2"/>
    <x v="2"/>
    <n v="157"/>
    <n v="90"/>
    <n v="14130"/>
    <n v="21"/>
    <x v="2"/>
    <n v="3"/>
  </r>
  <r>
    <n v="1029"/>
    <x v="1"/>
    <x v="304"/>
    <s v="Juice"/>
    <x v="3"/>
    <x v="2"/>
    <n v="76"/>
    <n v="90"/>
    <n v="6840"/>
    <n v="16"/>
    <x v="0"/>
    <n v="1"/>
  </r>
  <r>
    <n v="1030"/>
    <x v="1"/>
    <x v="305"/>
    <s v="Paneer"/>
    <x v="2"/>
    <x v="3"/>
    <n v="123"/>
    <n v="45"/>
    <n v="5535"/>
    <n v="19"/>
    <x v="1"/>
    <n v="3"/>
  </r>
  <r>
    <n v="1031"/>
    <x v="0"/>
    <x v="306"/>
    <s v="Eggs"/>
    <x v="4"/>
    <x v="4"/>
    <n v="42"/>
    <n v="45"/>
    <n v="1890"/>
    <n v="15"/>
    <x v="0"/>
    <n v="1"/>
  </r>
  <r>
    <n v="1032"/>
    <x v="1"/>
    <x v="307"/>
    <s v="Snacks"/>
    <x v="5"/>
    <x v="4"/>
    <n v="95"/>
    <n v="45"/>
    <n v="4275"/>
    <n v="7"/>
    <x v="2"/>
    <n v="3"/>
  </r>
  <r>
    <n v="1033"/>
    <x v="1"/>
    <x v="308"/>
    <s v="Paneer"/>
    <x v="2"/>
    <x v="0"/>
    <n v="183"/>
    <n v="135"/>
    <n v="24705"/>
    <n v="15"/>
    <x v="0"/>
    <n v="5"/>
  </r>
  <r>
    <n v="1034"/>
    <x v="0"/>
    <x v="309"/>
    <s v="Snacks"/>
    <x v="5"/>
    <x v="3"/>
    <n v="109"/>
    <n v="180"/>
    <n v="19620"/>
    <n v="23"/>
    <x v="0"/>
    <n v="1"/>
  </r>
  <r>
    <n v="1035"/>
    <x v="0"/>
    <x v="310"/>
    <s v="Milk"/>
    <x v="2"/>
    <x v="3"/>
    <n v="242"/>
    <n v="180"/>
    <n v="43560"/>
    <n v="25"/>
    <x v="0"/>
    <n v="5"/>
  </r>
  <r>
    <n v="1036"/>
    <x v="1"/>
    <x v="311"/>
    <s v="Eggs"/>
    <x v="4"/>
    <x v="0"/>
    <n v="132"/>
    <n v="180"/>
    <n v="23760"/>
    <n v="14"/>
    <x v="2"/>
    <n v="3"/>
  </r>
  <r>
    <n v="1037"/>
    <x v="1"/>
    <x v="312"/>
    <s v="Paneer"/>
    <x v="2"/>
    <x v="4"/>
    <n v="90"/>
    <n v="135"/>
    <n v="12150"/>
    <n v="11"/>
    <x v="2"/>
    <n v="2"/>
  </r>
  <r>
    <n v="1038"/>
    <x v="0"/>
    <x v="313"/>
    <s v="Snacks"/>
    <x v="5"/>
    <x v="1"/>
    <n v="164"/>
    <n v="225"/>
    <n v="36900"/>
    <n v="11"/>
    <x v="2"/>
    <n v="5"/>
  </r>
  <r>
    <n v="1039"/>
    <x v="1"/>
    <x v="314"/>
    <s v="Eggs"/>
    <x v="4"/>
    <x v="0"/>
    <n v="246"/>
    <n v="135"/>
    <n v="33210"/>
    <n v="7"/>
    <x v="2"/>
    <n v="4"/>
  </r>
  <r>
    <n v="1040"/>
    <x v="0"/>
    <x v="315"/>
    <s v="Snacks"/>
    <x v="5"/>
    <x v="0"/>
    <n v="81"/>
    <n v="225"/>
    <n v="18225"/>
    <n v="16"/>
    <x v="1"/>
    <n v="4"/>
  </r>
  <r>
    <n v="1041"/>
    <x v="0"/>
    <x v="316"/>
    <s v="Bread"/>
    <x v="0"/>
    <x v="4"/>
    <n v="166"/>
    <n v="180"/>
    <n v="29880"/>
    <n v="15"/>
    <x v="2"/>
    <n v="3"/>
  </r>
  <r>
    <n v="1042"/>
    <x v="1"/>
    <x v="317"/>
    <s v="Milk"/>
    <x v="2"/>
    <x v="4"/>
    <n v="248"/>
    <n v="180"/>
    <n v="44640"/>
    <n v="12"/>
    <x v="2"/>
    <n v="3"/>
  </r>
  <r>
    <n v="1043"/>
    <x v="1"/>
    <x v="318"/>
    <s v="Rice"/>
    <x v="1"/>
    <x v="1"/>
    <n v="69"/>
    <n v="225"/>
    <n v="15525"/>
    <n v="10"/>
    <x v="2"/>
    <n v="1"/>
  </r>
  <r>
    <n v="1044"/>
    <x v="0"/>
    <x v="319"/>
    <s v="Biscuits"/>
    <x v="0"/>
    <x v="3"/>
    <n v="193"/>
    <n v="45"/>
    <n v="8685"/>
    <n v="14"/>
    <x v="0"/>
    <n v="4"/>
  </r>
  <r>
    <n v="1045"/>
    <x v="1"/>
    <x v="320"/>
    <s v="Butter"/>
    <x v="2"/>
    <x v="3"/>
    <n v="235"/>
    <n v="225"/>
    <n v="52875"/>
    <n v="11"/>
    <x v="1"/>
    <n v="2"/>
  </r>
  <r>
    <n v="1046"/>
    <x v="1"/>
    <x v="321"/>
    <s v="Milk"/>
    <x v="2"/>
    <x v="3"/>
    <n v="43"/>
    <n v="90"/>
    <n v="3870"/>
    <n v="9"/>
    <x v="1"/>
    <n v="5"/>
  </r>
  <r>
    <n v="1047"/>
    <x v="0"/>
    <x v="322"/>
    <s v="Bread"/>
    <x v="0"/>
    <x v="4"/>
    <n v="141"/>
    <n v="180"/>
    <n v="25380"/>
    <n v="20"/>
    <x v="1"/>
    <n v="3"/>
  </r>
  <r>
    <n v="1048"/>
    <x v="1"/>
    <x v="323"/>
    <s v="Juice"/>
    <x v="3"/>
    <x v="1"/>
    <n v="78"/>
    <n v="225"/>
    <n v="17550"/>
    <n v="12"/>
    <x v="2"/>
    <m/>
  </r>
  <r>
    <n v="1049"/>
    <x v="0"/>
    <x v="324"/>
    <s v="Paneer"/>
    <x v="2"/>
    <x v="3"/>
    <n v="151"/>
    <n v="45"/>
    <n v="6795"/>
    <n v="19"/>
    <x v="2"/>
    <n v="1"/>
  </r>
  <r>
    <n v="1050"/>
    <x v="1"/>
    <x v="325"/>
    <s v="Coke"/>
    <x v="3"/>
    <x v="4"/>
    <n v="186"/>
    <n v="225"/>
    <n v="41850"/>
    <n v="9"/>
    <x v="0"/>
    <n v="5"/>
  </r>
  <r>
    <n v="1051"/>
    <x v="0"/>
    <x v="326"/>
    <s v="Biscuits"/>
    <x v="0"/>
    <x v="0"/>
    <n v="158"/>
    <n v="180"/>
    <n v="28440"/>
    <n v="13"/>
    <x v="2"/>
    <n v="2"/>
  </r>
  <r>
    <n v="1052"/>
    <x v="1"/>
    <x v="327"/>
    <s v="Atta"/>
    <x v="1"/>
    <x v="3"/>
    <n v="59"/>
    <n v="180"/>
    <n v="10620"/>
    <n v="17"/>
    <x v="2"/>
    <n v="3"/>
  </r>
  <r>
    <n v="1053"/>
    <x v="0"/>
    <x v="328"/>
    <s v="Rice"/>
    <x v="1"/>
    <x v="1"/>
    <n v="57"/>
    <n v="180"/>
    <n v="10260"/>
    <n v="12"/>
    <x v="0"/>
    <n v="1"/>
  </r>
  <r>
    <n v="1054"/>
    <x v="0"/>
    <x v="329"/>
    <s v="Rice"/>
    <x v="1"/>
    <x v="1"/>
    <n v="237"/>
    <n v="90"/>
    <n v="21330"/>
    <n v="25"/>
    <x v="0"/>
    <m/>
  </r>
  <r>
    <n v="1055"/>
    <x v="0"/>
    <x v="330"/>
    <s v="Snacks"/>
    <x v="5"/>
    <x v="3"/>
    <n v="221"/>
    <n v="225"/>
    <n v="49725"/>
    <n v="13"/>
    <x v="0"/>
    <n v="5"/>
  </r>
  <r>
    <n v="1056"/>
    <x v="1"/>
    <x v="331"/>
    <s v="Milk"/>
    <x v="2"/>
    <x v="4"/>
    <n v="64"/>
    <n v="90"/>
    <n v="5760"/>
    <n v="17"/>
    <x v="2"/>
    <n v="1"/>
  </r>
  <r>
    <n v="1057"/>
    <x v="0"/>
    <x v="332"/>
    <s v="Coke"/>
    <x v="3"/>
    <x v="2"/>
    <n v="110"/>
    <n v="135"/>
    <n v="14850"/>
    <n v="21"/>
    <x v="2"/>
    <n v="1"/>
  </r>
  <r>
    <n v="1058"/>
    <x v="1"/>
    <x v="333"/>
    <s v="Biscuits"/>
    <x v="0"/>
    <x v="4"/>
    <n v="134"/>
    <n v="225"/>
    <n v="30150"/>
    <n v="11"/>
    <x v="0"/>
    <n v="2"/>
  </r>
  <r>
    <n v="1059"/>
    <x v="0"/>
    <x v="334"/>
    <s v="Atta"/>
    <x v="1"/>
    <x v="2"/>
    <n v="180"/>
    <n v="180"/>
    <n v="32400"/>
    <n v="17"/>
    <x v="1"/>
    <n v="4"/>
  </r>
  <r>
    <n v="1060"/>
    <x v="1"/>
    <x v="335"/>
    <s v="Coke"/>
    <x v="3"/>
    <x v="3"/>
    <n v="159"/>
    <n v="90"/>
    <n v="14310"/>
    <n v="13"/>
    <x v="1"/>
    <n v="5"/>
  </r>
  <r>
    <n v="1061"/>
    <x v="0"/>
    <x v="336"/>
    <s v="Butter"/>
    <x v="2"/>
    <x v="1"/>
    <n v="135"/>
    <n v="180"/>
    <n v="24300"/>
    <n v="10"/>
    <x v="1"/>
    <n v="3"/>
  </r>
  <r>
    <n v="1062"/>
    <x v="1"/>
    <x v="337"/>
    <s v="Milk"/>
    <x v="2"/>
    <x v="3"/>
    <n v="43"/>
    <n v="90"/>
    <n v="3870"/>
    <n v="9"/>
    <x v="1"/>
    <n v="5"/>
  </r>
  <r>
    <n v="1063"/>
    <x v="0"/>
    <x v="338"/>
    <s v="Bread"/>
    <x v="0"/>
    <x v="4"/>
    <n v="141"/>
    <n v="180"/>
    <n v="25380"/>
    <n v="20"/>
    <x v="1"/>
    <n v="3"/>
  </r>
  <r>
    <n v="1064"/>
    <x v="1"/>
    <x v="339"/>
    <s v="Juice"/>
    <x v="3"/>
    <x v="1"/>
    <n v="78"/>
    <n v="225"/>
    <n v="17550"/>
    <n v="12"/>
    <x v="2"/>
    <m/>
  </r>
  <r>
    <n v="1065"/>
    <x v="0"/>
    <x v="340"/>
    <s v="Paneer"/>
    <x v="2"/>
    <x v="3"/>
    <n v="151"/>
    <n v="45"/>
    <n v="6795"/>
    <n v="19"/>
    <x v="2"/>
    <n v="1"/>
  </r>
  <r>
    <n v="1066"/>
    <x v="1"/>
    <x v="341"/>
    <s v="Coke"/>
    <x v="3"/>
    <x v="4"/>
    <n v="186"/>
    <n v="225"/>
    <n v="41850"/>
    <n v="9"/>
    <x v="0"/>
    <n v="5"/>
  </r>
  <r>
    <n v="1067"/>
    <x v="0"/>
    <x v="342"/>
    <s v="Biscuits"/>
    <x v="0"/>
    <x v="0"/>
    <n v="158"/>
    <n v="180"/>
    <n v="28440"/>
    <n v="13"/>
    <x v="2"/>
    <n v="2"/>
  </r>
  <r>
    <n v="1068"/>
    <x v="1"/>
    <x v="343"/>
    <s v="Atta"/>
    <x v="1"/>
    <x v="3"/>
    <n v="59"/>
    <n v="180"/>
    <n v="10620"/>
    <n v="17"/>
    <x v="2"/>
    <n v="3"/>
  </r>
  <r>
    <n v="1069"/>
    <x v="0"/>
    <x v="344"/>
    <s v="Rice"/>
    <x v="1"/>
    <x v="1"/>
    <n v="57"/>
    <n v="180"/>
    <n v="10260"/>
    <n v="12"/>
    <x v="0"/>
    <n v="1"/>
  </r>
  <r>
    <n v="1070"/>
    <x v="0"/>
    <x v="345"/>
    <s v="Rice"/>
    <x v="1"/>
    <x v="1"/>
    <n v="237"/>
    <n v="90"/>
    <n v="21330"/>
    <n v="25"/>
    <x v="0"/>
    <m/>
  </r>
  <r>
    <n v="1071"/>
    <x v="0"/>
    <x v="346"/>
    <s v="Snacks"/>
    <x v="5"/>
    <x v="3"/>
    <n v="221"/>
    <n v="225"/>
    <n v="49725"/>
    <n v="13"/>
    <x v="0"/>
    <n v="5"/>
  </r>
  <r>
    <n v="1072"/>
    <x v="1"/>
    <x v="347"/>
    <s v="Milk"/>
    <x v="2"/>
    <x v="4"/>
    <n v="64"/>
    <n v="90"/>
    <n v="5760"/>
    <n v="17"/>
    <x v="2"/>
    <n v="1"/>
  </r>
  <r>
    <n v="1073"/>
    <x v="0"/>
    <x v="348"/>
    <s v="Coke"/>
    <x v="3"/>
    <x v="2"/>
    <n v="110"/>
    <n v="135"/>
    <n v="14850"/>
    <n v="21"/>
    <x v="2"/>
    <n v="1"/>
  </r>
  <r>
    <n v="1074"/>
    <x v="1"/>
    <x v="349"/>
    <s v="Biscuits"/>
    <x v="0"/>
    <x v="4"/>
    <n v="134"/>
    <n v="225"/>
    <n v="30150"/>
    <n v="11"/>
    <x v="0"/>
    <n v="2"/>
  </r>
  <r>
    <n v="1075"/>
    <x v="0"/>
    <x v="350"/>
    <s v="Atta"/>
    <x v="1"/>
    <x v="2"/>
    <n v="180"/>
    <n v="180"/>
    <n v="32400"/>
    <n v="17"/>
    <x v="1"/>
    <n v="4"/>
  </r>
  <r>
    <n v="1076"/>
    <x v="1"/>
    <x v="351"/>
    <s v="Coke"/>
    <x v="3"/>
    <x v="3"/>
    <n v="159"/>
    <n v="90"/>
    <n v="14310"/>
    <n v="13"/>
    <x v="1"/>
    <n v="5"/>
  </r>
  <r>
    <n v="1077"/>
    <x v="0"/>
    <x v="352"/>
    <s v="Butter"/>
    <x v="2"/>
    <x v="1"/>
    <n v="135"/>
    <n v="180"/>
    <n v="24300"/>
    <n v="10"/>
    <x v="1"/>
    <n v="3"/>
  </r>
  <r>
    <n v="1078"/>
    <x v="0"/>
    <x v="353"/>
    <s v="Butter"/>
    <x v="2"/>
    <x v="1"/>
    <n v="75"/>
    <n v="225"/>
    <n v="16875"/>
    <n v="18"/>
    <x v="2"/>
    <n v="1"/>
  </r>
  <r>
    <n v="1079"/>
    <x v="0"/>
    <x v="354"/>
    <s v="Biscuits"/>
    <x v="0"/>
    <x v="2"/>
    <n v="94"/>
    <n v="90"/>
    <n v="8460"/>
    <n v="18"/>
    <x v="0"/>
    <n v="3"/>
  </r>
  <r>
    <n v="1080"/>
    <x v="0"/>
    <x v="355"/>
    <s v="Atta"/>
    <x v="1"/>
    <x v="3"/>
    <n v="101"/>
    <n v="180"/>
    <n v="18180"/>
    <n v="10"/>
    <x v="0"/>
    <n v="2"/>
  </r>
  <r>
    <n v="1081"/>
    <x v="0"/>
    <x v="356"/>
    <s v="Milk"/>
    <x v="2"/>
    <x v="4"/>
    <n v="30"/>
    <n v="90"/>
    <n v="2700"/>
    <n v="24"/>
    <x v="1"/>
    <n v="1"/>
  </r>
  <r>
    <n v="1082"/>
    <x v="0"/>
    <x v="357"/>
    <s v="Milk"/>
    <x v="2"/>
    <x v="3"/>
    <n v="81"/>
    <n v="45"/>
    <n v="3645"/>
    <n v="22"/>
    <x v="0"/>
    <n v="3"/>
  </r>
  <r>
    <n v="1083"/>
    <x v="1"/>
    <x v="358"/>
    <s v="Coke"/>
    <x v="3"/>
    <x v="4"/>
    <n v="53"/>
    <n v="180"/>
    <n v="9540"/>
    <n v="14"/>
    <x v="1"/>
    <n v="3"/>
  </r>
  <r>
    <n v="1084"/>
    <x v="1"/>
    <x v="359"/>
    <s v="Coke"/>
    <x v="3"/>
    <x v="4"/>
    <n v="73"/>
    <n v="180"/>
    <n v="13140"/>
    <n v="19"/>
    <x v="2"/>
    <n v="3"/>
  </r>
  <r>
    <n v="1085"/>
    <x v="0"/>
    <x v="360"/>
    <s v="Milk"/>
    <x v="2"/>
    <x v="1"/>
    <n v="246"/>
    <n v="225"/>
    <n v="55350"/>
    <n v="16"/>
    <x v="1"/>
    <n v="4"/>
  </r>
  <r>
    <n v="1086"/>
    <x v="0"/>
    <x v="361"/>
    <s v="Bread"/>
    <x v="0"/>
    <x v="0"/>
    <n v="193"/>
    <n v="135"/>
    <n v="26055"/>
    <n v="20"/>
    <x v="2"/>
    <n v="4"/>
  </r>
  <r>
    <n v="1087"/>
    <x v="1"/>
    <x v="362"/>
    <s v="Milk"/>
    <x v="2"/>
    <x v="3"/>
    <n v="133"/>
    <n v="45"/>
    <n v="5985"/>
    <n v="18"/>
    <x v="1"/>
    <n v="2"/>
  </r>
  <r>
    <n v="1088"/>
    <x v="0"/>
    <x v="363"/>
    <s v="Eggs"/>
    <x v="4"/>
    <x v="3"/>
    <n v="206"/>
    <n v="135"/>
    <n v="27810"/>
    <n v="10"/>
    <x v="0"/>
    <n v="4"/>
  </r>
  <r>
    <n v="1089"/>
    <x v="1"/>
    <x v="364"/>
    <s v="Atta"/>
    <x v="1"/>
    <x v="0"/>
    <n v="67"/>
    <n v="45"/>
    <n v="3015"/>
    <n v="12"/>
    <x v="0"/>
    <n v="2"/>
  </r>
  <r>
    <n v="1090"/>
    <x v="1"/>
    <x v="324"/>
    <s v="Coke"/>
    <x v="3"/>
    <x v="0"/>
    <n v="116"/>
    <n v="90"/>
    <n v="10440"/>
    <n v="18"/>
    <x v="1"/>
    <n v="5"/>
  </r>
  <r>
    <n v="1091"/>
    <x v="0"/>
    <x v="325"/>
    <s v="Butter"/>
    <x v="2"/>
    <x v="2"/>
    <n v="158"/>
    <n v="90"/>
    <n v="14220"/>
    <n v="22"/>
    <x v="0"/>
    <m/>
  </r>
  <r>
    <n v="1092"/>
    <x v="0"/>
    <x v="326"/>
    <s v="Eggs"/>
    <x v="4"/>
    <x v="0"/>
    <n v="41"/>
    <n v="135"/>
    <n v="5535"/>
    <n v="17"/>
    <x v="1"/>
    <n v="5"/>
  </r>
  <r>
    <n v="1093"/>
    <x v="1"/>
    <x v="327"/>
    <s v="Bread"/>
    <x v="0"/>
    <x v="1"/>
    <n v="249"/>
    <n v="45"/>
    <n v="11205"/>
    <n v="16"/>
    <x v="1"/>
    <n v="5"/>
  </r>
  <r>
    <n v="1094"/>
    <x v="1"/>
    <x v="328"/>
    <s v="Biscuits"/>
    <x v="0"/>
    <x v="0"/>
    <n v="164"/>
    <n v="90"/>
    <n v="14760"/>
    <n v="16"/>
    <x v="0"/>
    <n v="3"/>
  </r>
  <r>
    <n v="1095"/>
    <x v="1"/>
    <x v="329"/>
    <s v="Rice"/>
    <x v="1"/>
    <x v="0"/>
    <n v="120"/>
    <n v="45"/>
    <n v="5400"/>
    <n v="18"/>
    <x v="2"/>
    <n v="3"/>
  </r>
  <r>
    <n v="1096"/>
    <x v="1"/>
    <x v="330"/>
    <s v="Paneer"/>
    <x v="2"/>
    <x v="3"/>
    <n v="84"/>
    <n v="225"/>
    <n v="18900"/>
    <n v="14"/>
    <x v="2"/>
    <n v="3"/>
  </r>
  <r>
    <n v="1097"/>
    <x v="0"/>
    <x v="331"/>
    <s v="Paneer"/>
    <x v="2"/>
    <x v="3"/>
    <n v="49"/>
    <n v="225"/>
    <n v="11025"/>
    <n v="11"/>
    <x v="0"/>
    <n v="3"/>
  </r>
  <r>
    <n v="1098"/>
    <x v="0"/>
    <x v="332"/>
    <s v="Milk"/>
    <x v="2"/>
    <x v="3"/>
    <n v="249"/>
    <n v="135"/>
    <n v="33615"/>
    <n v="16"/>
    <x v="1"/>
    <n v="2"/>
  </r>
  <r>
    <n v="1099"/>
    <x v="1"/>
    <x v="333"/>
    <s v="Biscuits"/>
    <x v="0"/>
    <x v="4"/>
    <n v="161"/>
    <n v="180"/>
    <n v="28980"/>
    <n v="12"/>
    <x v="1"/>
    <n v="2"/>
  </r>
  <r>
    <n v="1100"/>
    <x v="1"/>
    <x v="334"/>
    <s v="Juice"/>
    <x v="3"/>
    <x v="0"/>
    <n v="124"/>
    <n v="45"/>
    <n v="5580"/>
    <n v="18"/>
    <x v="1"/>
    <n v="5"/>
  </r>
  <r>
    <n v="1101"/>
    <x v="0"/>
    <x v="335"/>
    <s v="Rice"/>
    <x v="1"/>
    <x v="0"/>
    <n v="64"/>
    <n v="180"/>
    <n v="11520"/>
    <n v="20"/>
    <x v="0"/>
    <m/>
  </r>
  <r>
    <n v="1102"/>
    <x v="1"/>
    <x v="336"/>
    <s v="Atta"/>
    <x v="1"/>
    <x v="2"/>
    <n v="163"/>
    <n v="135"/>
    <n v="22005"/>
    <n v="10"/>
    <x v="0"/>
    <m/>
  </r>
  <r>
    <n v="1103"/>
    <x v="1"/>
    <x v="337"/>
    <s v="Eggs"/>
    <x v="4"/>
    <x v="3"/>
    <n v="154"/>
    <n v="90"/>
    <n v="13860"/>
    <n v="10"/>
    <x v="0"/>
    <n v="3"/>
  </r>
  <r>
    <n v="1104"/>
    <x v="0"/>
    <x v="338"/>
    <s v="Bread"/>
    <x v="0"/>
    <x v="3"/>
    <n v="166"/>
    <n v="90"/>
    <n v="14940"/>
    <n v="10"/>
    <x v="2"/>
    <m/>
  </r>
  <r>
    <n v="1105"/>
    <x v="0"/>
    <x v="339"/>
    <s v="Rice"/>
    <x v="1"/>
    <x v="3"/>
    <n v="76"/>
    <n v="135"/>
    <n v="10260"/>
    <n v="14"/>
    <x v="0"/>
    <m/>
  </r>
  <r>
    <n v="1106"/>
    <x v="1"/>
    <x v="303"/>
    <s v="Rice"/>
    <x v="1"/>
    <x v="3"/>
    <n v="240"/>
    <n v="45"/>
    <n v="10800"/>
    <n v="16"/>
    <x v="1"/>
    <n v="2"/>
  </r>
  <r>
    <n v="1107"/>
    <x v="1"/>
    <x v="304"/>
    <s v="Atta"/>
    <x v="1"/>
    <x v="3"/>
    <n v="208"/>
    <n v="225"/>
    <n v="46800"/>
    <n v="17"/>
    <x v="2"/>
    <n v="4"/>
  </r>
  <r>
    <n v="1108"/>
    <x v="0"/>
    <x v="305"/>
    <s v="Juice"/>
    <x v="3"/>
    <x v="0"/>
    <n v="117"/>
    <n v="45"/>
    <n v="5265"/>
    <n v="21"/>
    <x v="1"/>
    <n v="4"/>
  </r>
  <r>
    <n v="1109"/>
    <x v="0"/>
    <x v="306"/>
    <s v="Eggs"/>
    <x v="4"/>
    <x v="1"/>
    <n v="137"/>
    <n v="180"/>
    <n v="24660"/>
    <n v="11"/>
    <x v="2"/>
    <n v="2"/>
  </r>
  <r>
    <n v="1110"/>
    <x v="1"/>
    <x v="307"/>
    <s v="Juice"/>
    <x v="3"/>
    <x v="0"/>
    <n v="93"/>
    <n v="45"/>
    <n v="4185"/>
    <n v="12"/>
    <x v="0"/>
    <n v="1"/>
  </r>
  <r>
    <n v="1111"/>
    <x v="0"/>
    <x v="308"/>
    <s v="Biscuits"/>
    <x v="0"/>
    <x v="4"/>
    <n v="160"/>
    <n v="180"/>
    <n v="28800"/>
    <n v="15"/>
    <x v="2"/>
    <m/>
  </r>
  <r>
    <n v="1112"/>
    <x v="0"/>
    <x v="309"/>
    <s v="Snacks"/>
    <x v="5"/>
    <x v="2"/>
    <n v="199"/>
    <n v="180"/>
    <n v="35820"/>
    <n v="13"/>
    <x v="1"/>
    <n v="1"/>
  </r>
  <r>
    <n v="1113"/>
    <x v="0"/>
    <x v="310"/>
    <s v="Bread"/>
    <x v="0"/>
    <x v="3"/>
    <n v="168"/>
    <n v="45"/>
    <n v="7560"/>
    <n v="23"/>
    <x v="1"/>
    <n v="5"/>
  </r>
  <r>
    <n v="1114"/>
    <x v="0"/>
    <x v="311"/>
    <s v="Butter"/>
    <x v="2"/>
    <x v="3"/>
    <n v="87"/>
    <n v="45"/>
    <n v="3915"/>
    <n v="11"/>
    <x v="0"/>
    <n v="1"/>
  </r>
  <r>
    <n v="1115"/>
    <x v="0"/>
    <x v="312"/>
    <s v="Eggs"/>
    <x v="4"/>
    <x v="2"/>
    <n v="156"/>
    <n v="225"/>
    <n v="35100"/>
    <n v="14"/>
    <x v="1"/>
    <n v="4"/>
  </r>
  <r>
    <n v="1116"/>
    <x v="1"/>
    <x v="313"/>
    <s v="Snacks"/>
    <x v="5"/>
    <x v="1"/>
    <n v="232"/>
    <n v="90"/>
    <n v="20880"/>
    <n v="15"/>
    <x v="1"/>
    <n v="5"/>
  </r>
  <r>
    <n v="1117"/>
    <x v="0"/>
    <x v="314"/>
    <s v="Eggs"/>
    <x v="4"/>
    <x v="1"/>
    <n v="151"/>
    <n v="45"/>
    <n v="6795"/>
    <n v="19"/>
    <x v="2"/>
    <n v="3"/>
  </r>
  <r>
    <n v="1118"/>
    <x v="1"/>
    <x v="315"/>
    <s v="Paneer"/>
    <x v="2"/>
    <x v="4"/>
    <n v="110"/>
    <n v="135"/>
    <n v="14850"/>
    <n v="17"/>
    <x v="0"/>
    <n v="2"/>
  </r>
  <r>
    <n v="1119"/>
    <x v="0"/>
    <x v="316"/>
    <s v="Rice"/>
    <x v="1"/>
    <x v="1"/>
    <n v="100"/>
    <n v="225"/>
    <n v="22500"/>
    <n v="23"/>
    <x v="0"/>
    <m/>
  </r>
  <r>
    <n v="1120"/>
    <x v="1"/>
    <x v="317"/>
    <s v="Paneer"/>
    <x v="2"/>
    <x v="3"/>
    <n v="227"/>
    <n v="225"/>
    <n v="51075"/>
    <n v="13"/>
    <x v="0"/>
    <m/>
  </r>
  <r>
    <n v="1121"/>
    <x v="0"/>
    <x v="318"/>
    <s v="Milk"/>
    <x v="2"/>
    <x v="3"/>
    <n v="154"/>
    <n v="90"/>
    <n v="13860"/>
    <n v="15"/>
    <x v="1"/>
    <n v="1"/>
  </r>
  <r>
    <n v="1122"/>
    <x v="1"/>
    <x v="253"/>
    <s v="Bread"/>
    <x v="0"/>
    <x v="2"/>
    <n v="83"/>
    <n v="90"/>
    <n v="7470"/>
    <n v="18"/>
    <x v="1"/>
    <n v="1"/>
  </r>
  <r>
    <n v="1123"/>
    <x v="1"/>
    <x v="254"/>
    <s v="Atta"/>
    <x v="1"/>
    <x v="3"/>
    <n v="45"/>
    <n v="90"/>
    <n v="4050"/>
    <n v="11"/>
    <x v="2"/>
    <n v="5"/>
  </r>
  <r>
    <n v="1124"/>
    <x v="0"/>
    <x v="255"/>
    <s v="Atta"/>
    <x v="1"/>
    <x v="4"/>
    <n v="216"/>
    <n v="45"/>
    <n v="9720"/>
    <n v="13"/>
    <x v="1"/>
    <n v="4"/>
  </r>
  <r>
    <n v="1125"/>
    <x v="0"/>
    <x v="256"/>
    <s v="Bread"/>
    <x v="0"/>
    <x v="4"/>
    <n v="199"/>
    <n v="180"/>
    <n v="35820"/>
    <n v="12"/>
    <x v="1"/>
    <n v="2"/>
  </r>
  <r>
    <n v="1126"/>
    <x v="0"/>
    <x v="257"/>
    <s v="Paneer"/>
    <x v="2"/>
    <x v="0"/>
    <n v="192"/>
    <n v="225"/>
    <n v="43200"/>
    <n v="17"/>
    <x v="0"/>
    <n v="5"/>
  </r>
  <r>
    <n v="1127"/>
    <x v="0"/>
    <x v="258"/>
    <s v="Coke"/>
    <x v="3"/>
    <x v="4"/>
    <n v="198"/>
    <n v="45"/>
    <n v="8910"/>
    <n v="17"/>
    <x v="1"/>
    <n v="4"/>
  </r>
  <r>
    <n v="1128"/>
    <x v="0"/>
    <x v="259"/>
    <s v="Biscuits"/>
    <x v="0"/>
    <x v="2"/>
    <n v="198"/>
    <n v="45"/>
    <n v="8910"/>
    <n v="22"/>
    <x v="1"/>
    <m/>
  </r>
  <r>
    <n v="1129"/>
    <x v="0"/>
    <x v="260"/>
    <s v="Milk"/>
    <x v="2"/>
    <x v="2"/>
    <n v="248"/>
    <n v="225"/>
    <n v="55800"/>
    <n v="12"/>
    <x v="1"/>
    <n v="1"/>
  </r>
  <r>
    <n v="1130"/>
    <x v="0"/>
    <x v="261"/>
    <s v="Biscuits"/>
    <x v="0"/>
    <x v="4"/>
    <n v="198"/>
    <n v="135"/>
    <n v="26730"/>
    <n v="10"/>
    <x v="0"/>
    <m/>
  </r>
  <r>
    <n v="1131"/>
    <x v="1"/>
    <x v="262"/>
    <s v="Coke"/>
    <x v="3"/>
    <x v="0"/>
    <n v="112"/>
    <n v="90"/>
    <n v="10080"/>
    <n v="18"/>
    <x v="0"/>
    <n v="2"/>
  </r>
  <r>
    <n v="1132"/>
    <x v="1"/>
    <x v="263"/>
    <s v="Milk"/>
    <x v="2"/>
    <x v="0"/>
    <n v="39"/>
    <n v="90"/>
    <n v="3510"/>
    <n v="12"/>
    <x v="2"/>
    <n v="5"/>
  </r>
  <r>
    <n v="1133"/>
    <x v="0"/>
    <x v="264"/>
    <s v="Rice"/>
    <x v="1"/>
    <x v="3"/>
    <n v="187"/>
    <n v="45"/>
    <n v="8415"/>
    <n v="12"/>
    <x v="1"/>
    <n v="2"/>
  </r>
  <r>
    <n v="1134"/>
    <x v="1"/>
    <x v="265"/>
    <s v="Snacks"/>
    <x v="5"/>
    <x v="3"/>
    <n v="182"/>
    <n v="180"/>
    <n v="32760"/>
    <n v="17"/>
    <x v="2"/>
    <n v="3"/>
  </r>
  <r>
    <n v="1135"/>
    <x v="1"/>
    <x v="266"/>
    <s v="Eggs"/>
    <x v="4"/>
    <x v="1"/>
    <n v="31"/>
    <n v="90"/>
    <n v="2790"/>
    <n v="18"/>
    <x v="2"/>
    <n v="5"/>
  </r>
  <r>
    <n v="1136"/>
    <x v="1"/>
    <x v="267"/>
    <s v="Milk"/>
    <x v="2"/>
    <x v="2"/>
    <n v="236"/>
    <n v="135"/>
    <n v="31860"/>
    <n v="19"/>
    <x v="1"/>
    <m/>
  </r>
  <r>
    <n v="1137"/>
    <x v="1"/>
    <x v="268"/>
    <s v="Rice"/>
    <x v="1"/>
    <x v="4"/>
    <n v="129"/>
    <n v="225"/>
    <n v="29025"/>
    <n v="8"/>
    <x v="0"/>
    <m/>
  </r>
  <r>
    <n v="1138"/>
    <x v="1"/>
    <x v="269"/>
    <s v="Snacks"/>
    <x v="5"/>
    <x v="1"/>
    <n v="186"/>
    <n v="225"/>
    <n v="41850"/>
    <n v="7"/>
    <x v="1"/>
    <m/>
  </r>
  <r>
    <n v="1139"/>
    <x v="0"/>
    <x v="270"/>
    <s v="Juice"/>
    <x v="3"/>
    <x v="1"/>
    <n v="226"/>
    <n v="225"/>
    <n v="50850"/>
    <n v="13"/>
    <x v="0"/>
    <n v="3"/>
  </r>
  <r>
    <n v="1140"/>
    <x v="1"/>
    <x v="271"/>
    <s v="Juice"/>
    <x v="3"/>
    <x v="3"/>
    <n v="46"/>
    <n v="135"/>
    <n v="6210"/>
    <n v="19"/>
    <x v="2"/>
    <n v="4"/>
  </r>
  <r>
    <n v="1141"/>
    <x v="0"/>
    <x v="272"/>
    <s v="Juice"/>
    <x v="3"/>
    <x v="0"/>
    <n v="224"/>
    <n v="180"/>
    <n v="40320"/>
    <n v="23"/>
    <x v="2"/>
    <n v="3"/>
  </r>
  <r>
    <n v="1142"/>
    <x v="0"/>
    <x v="273"/>
    <s v="Milk"/>
    <x v="2"/>
    <x v="2"/>
    <n v="200"/>
    <n v="135"/>
    <n v="27000"/>
    <n v="13"/>
    <x v="1"/>
    <n v="2"/>
  </r>
  <r>
    <n v="1143"/>
    <x v="1"/>
    <x v="132"/>
    <s v="Snacks"/>
    <x v="5"/>
    <x v="2"/>
    <n v="155"/>
    <n v="225"/>
    <n v="34875"/>
    <n v="17"/>
    <x v="1"/>
    <n v="2"/>
  </r>
  <r>
    <n v="1144"/>
    <x v="0"/>
    <x v="133"/>
    <s v="Biscuits"/>
    <x v="0"/>
    <x v="0"/>
    <n v="194"/>
    <n v="135"/>
    <n v="26190"/>
    <n v="18"/>
    <x v="2"/>
    <n v="3"/>
  </r>
  <r>
    <n v="1145"/>
    <x v="1"/>
    <x v="134"/>
    <s v="Snacks"/>
    <x v="5"/>
    <x v="4"/>
    <n v="204"/>
    <n v="45"/>
    <n v="9180"/>
    <n v="8"/>
    <x v="2"/>
    <n v="5"/>
  </r>
  <r>
    <n v="1146"/>
    <x v="0"/>
    <x v="135"/>
    <s v="Eggs"/>
    <x v="4"/>
    <x v="0"/>
    <n v="41"/>
    <n v="135"/>
    <n v="5535"/>
    <n v="17"/>
    <x v="1"/>
    <n v="5"/>
  </r>
  <r>
    <n v="1147"/>
    <x v="1"/>
    <x v="136"/>
    <s v="Bread"/>
    <x v="0"/>
    <x v="1"/>
    <n v="249"/>
    <n v="45"/>
    <n v="11205"/>
    <n v="16"/>
    <x v="1"/>
    <n v="5"/>
  </r>
  <r>
    <n v="1148"/>
    <x v="1"/>
    <x v="137"/>
    <s v="Biscuits"/>
    <x v="0"/>
    <x v="0"/>
    <n v="164"/>
    <n v="90"/>
    <n v="14760"/>
    <n v="16"/>
    <x v="0"/>
    <n v="3"/>
  </r>
  <r>
    <n v="1149"/>
    <x v="1"/>
    <x v="138"/>
    <s v="Rice"/>
    <x v="1"/>
    <x v="0"/>
    <n v="120"/>
    <n v="45"/>
    <n v="5400"/>
    <n v="18"/>
    <x v="2"/>
    <n v="3"/>
  </r>
  <r>
    <n v="1150"/>
    <x v="1"/>
    <x v="139"/>
    <s v="Paneer"/>
    <x v="2"/>
    <x v="3"/>
    <n v="84"/>
    <n v="225"/>
    <n v="18900"/>
    <n v="14"/>
    <x v="2"/>
    <n v="3"/>
  </r>
  <r>
    <n v="1151"/>
    <x v="0"/>
    <x v="140"/>
    <s v="Paneer"/>
    <x v="2"/>
    <x v="3"/>
    <n v="49"/>
    <n v="225"/>
    <n v="11025"/>
    <n v="11"/>
    <x v="0"/>
    <n v="3"/>
  </r>
  <r>
    <n v="1152"/>
    <x v="0"/>
    <x v="141"/>
    <s v="Milk"/>
    <x v="2"/>
    <x v="3"/>
    <n v="249"/>
    <n v="135"/>
    <n v="33615"/>
    <n v="16"/>
    <x v="1"/>
    <n v="2"/>
  </r>
  <r>
    <n v="1153"/>
    <x v="1"/>
    <x v="142"/>
    <s v="Biscuits"/>
    <x v="0"/>
    <x v="4"/>
    <n v="161"/>
    <n v="180"/>
    <n v="28980"/>
    <n v="12"/>
    <x v="1"/>
    <n v="2"/>
  </r>
  <r>
    <n v="1154"/>
    <x v="1"/>
    <x v="143"/>
    <s v="Juice"/>
    <x v="3"/>
    <x v="0"/>
    <n v="124"/>
    <n v="45"/>
    <n v="5580"/>
    <n v="18"/>
    <x v="1"/>
    <n v="5"/>
  </r>
  <r>
    <n v="1155"/>
    <x v="0"/>
    <x v="144"/>
    <s v="Rice"/>
    <x v="1"/>
    <x v="0"/>
    <n v="64"/>
    <n v="180"/>
    <n v="11520"/>
    <n v="20"/>
    <x v="0"/>
    <m/>
  </r>
  <r>
    <n v="1156"/>
    <x v="1"/>
    <x v="145"/>
    <s v="Atta"/>
    <x v="1"/>
    <x v="2"/>
    <n v="163"/>
    <n v="135"/>
    <n v="22005"/>
    <n v="10"/>
    <x v="0"/>
    <m/>
  </r>
  <r>
    <n v="1157"/>
    <x v="1"/>
    <x v="146"/>
    <s v="Eggs"/>
    <x v="4"/>
    <x v="3"/>
    <n v="154"/>
    <n v="90"/>
    <n v="13860"/>
    <n v="10"/>
    <x v="0"/>
    <n v="3"/>
  </r>
  <r>
    <n v="1158"/>
    <x v="0"/>
    <x v="147"/>
    <s v="Bread"/>
    <x v="0"/>
    <x v="3"/>
    <n v="166"/>
    <n v="90"/>
    <n v="14940"/>
    <n v="10"/>
    <x v="2"/>
    <m/>
  </r>
  <r>
    <n v="1159"/>
    <x v="0"/>
    <x v="148"/>
    <s v="Rice"/>
    <x v="1"/>
    <x v="3"/>
    <n v="76"/>
    <n v="135"/>
    <n v="10260"/>
    <n v="14"/>
    <x v="0"/>
    <m/>
  </r>
  <r>
    <n v="1160"/>
    <x v="1"/>
    <x v="149"/>
    <s v="Rice"/>
    <x v="1"/>
    <x v="3"/>
    <n v="240"/>
    <n v="45"/>
    <n v="10800"/>
    <n v="16"/>
    <x v="1"/>
    <n v="2"/>
  </r>
  <r>
    <n v="1161"/>
    <x v="1"/>
    <x v="150"/>
    <s v="Atta"/>
    <x v="1"/>
    <x v="3"/>
    <n v="208"/>
    <n v="225"/>
    <n v="46800"/>
    <n v="17"/>
    <x v="2"/>
    <n v="4"/>
  </r>
  <r>
    <n v="1162"/>
    <x v="0"/>
    <x v="151"/>
    <s v="Juice"/>
    <x v="3"/>
    <x v="0"/>
    <n v="117"/>
    <n v="45"/>
    <n v="5265"/>
    <n v="21"/>
    <x v="1"/>
    <n v="4"/>
  </r>
  <r>
    <n v="1163"/>
    <x v="0"/>
    <x v="152"/>
    <s v="Eggs"/>
    <x v="4"/>
    <x v="1"/>
    <n v="137"/>
    <n v="180"/>
    <n v="24660"/>
    <n v="11"/>
    <x v="2"/>
    <n v="2"/>
  </r>
  <r>
    <n v="1164"/>
    <x v="1"/>
    <x v="153"/>
    <s v="Juice"/>
    <x v="3"/>
    <x v="0"/>
    <n v="93"/>
    <n v="45"/>
    <n v="4185"/>
    <n v="12"/>
    <x v="0"/>
    <n v="1"/>
  </r>
  <r>
    <n v="1165"/>
    <x v="0"/>
    <x v="154"/>
    <s v="Biscuits"/>
    <x v="0"/>
    <x v="4"/>
    <n v="160"/>
    <n v="180"/>
    <n v="28800"/>
    <n v="15"/>
    <x v="2"/>
    <m/>
  </r>
  <r>
    <n v="1166"/>
    <x v="0"/>
    <x v="155"/>
    <s v="Snacks"/>
    <x v="5"/>
    <x v="2"/>
    <n v="199"/>
    <n v="180"/>
    <n v="35820"/>
    <n v="13"/>
    <x v="1"/>
    <n v="1"/>
  </r>
  <r>
    <n v="1167"/>
    <x v="0"/>
    <x v="156"/>
    <s v="Bread"/>
    <x v="0"/>
    <x v="3"/>
    <n v="168"/>
    <n v="45"/>
    <n v="7560"/>
    <n v="23"/>
    <x v="1"/>
    <n v="5"/>
  </r>
  <r>
    <n v="1168"/>
    <x v="0"/>
    <x v="157"/>
    <s v="Butter"/>
    <x v="2"/>
    <x v="3"/>
    <n v="87"/>
    <n v="45"/>
    <n v="3915"/>
    <n v="11"/>
    <x v="0"/>
    <n v="1"/>
  </r>
  <r>
    <n v="1169"/>
    <x v="0"/>
    <x v="158"/>
    <s v="Eggs"/>
    <x v="4"/>
    <x v="2"/>
    <n v="156"/>
    <n v="225"/>
    <n v="35100"/>
    <n v="14"/>
    <x v="1"/>
    <n v="4"/>
  </r>
  <r>
    <n v="1170"/>
    <x v="1"/>
    <x v="159"/>
    <s v="Snacks"/>
    <x v="5"/>
    <x v="1"/>
    <n v="232"/>
    <n v="90"/>
    <n v="20880"/>
    <n v="15"/>
    <x v="1"/>
    <n v="5"/>
  </r>
  <r>
    <n v="1171"/>
    <x v="0"/>
    <x v="160"/>
    <s v="Eggs"/>
    <x v="4"/>
    <x v="1"/>
    <n v="151"/>
    <n v="45"/>
    <n v="6795"/>
    <n v="19"/>
    <x v="2"/>
    <n v="3"/>
  </r>
  <r>
    <n v="1172"/>
    <x v="1"/>
    <x v="161"/>
    <s v="Paneer"/>
    <x v="2"/>
    <x v="4"/>
    <n v="110"/>
    <n v="135"/>
    <n v="14850"/>
    <n v="17"/>
    <x v="0"/>
    <n v="2"/>
  </r>
  <r>
    <n v="1173"/>
    <x v="0"/>
    <x v="162"/>
    <s v="Rice"/>
    <x v="1"/>
    <x v="1"/>
    <n v="100"/>
    <n v="225"/>
    <n v="22500"/>
    <n v="23"/>
    <x v="0"/>
    <m/>
  </r>
  <r>
    <n v="1174"/>
    <x v="1"/>
    <x v="163"/>
    <s v="Paneer"/>
    <x v="2"/>
    <x v="3"/>
    <n v="227"/>
    <n v="225"/>
    <n v="51075"/>
    <n v="13"/>
    <x v="0"/>
    <m/>
  </r>
  <r>
    <n v="1175"/>
    <x v="0"/>
    <x v="164"/>
    <s v="Milk"/>
    <x v="2"/>
    <x v="3"/>
    <n v="154"/>
    <n v="90"/>
    <n v="13860"/>
    <n v="15"/>
    <x v="1"/>
    <n v="1"/>
  </r>
  <r>
    <n v="1176"/>
    <x v="1"/>
    <x v="165"/>
    <s v="Bread"/>
    <x v="0"/>
    <x v="2"/>
    <n v="83"/>
    <n v="90"/>
    <n v="7470"/>
    <n v="18"/>
    <x v="1"/>
    <n v="1"/>
  </r>
  <r>
    <n v="1177"/>
    <x v="1"/>
    <x v="60"/>
    <s v="Atta"/>
    <x v="1"/>
    <x v="3"/>
    <n v="45"/>
    <n v="90"/>
    <n v="4050"/>
    <n v="11"/>
    <x v="2"/>
    <n v="5"/>
  </r>
  <r>
    <n v="1178"/>
    <x v="0"/>
    <x v="61"/>
    <s v="Atta"/>
    <x v="1"/>
    <x v="4"/>
    <n v="216"/>
    <n v="45"/>
    <n v="9720"/>
    <n v="13"/>
    <x v="1"/>
    <n v="4"/>
  </r>
  <r>
    <n v="1179"/>
    <x v="0"/>
    <x v="62"/>
    <s v="Bread"/>
    <x v="0"/>
    <x v="4"/>
    <n v="199"/>
    <n v="180"/>
    <n v="35820"/>
    <n v="12"/>
    <x v="1"/>
    <n v="2"/>
  </r>
  <r>
    <n v="1180"/>
    <x v="0"/>
    <x v="63"/>
    <s v="Paneer"/>
    <x v="2"/>
    <x v="0"/>
    <n v="192"/>
    <n v="225"/>
    <n v="43200"/>
    <n v="17"/>
    <x v="0"/>
    <n v="5"/>
  </r>
  <r>
    <n v="1181"/>
    <x v="0"/>
    <x v="64"/>
    <s v="Coke"/>
    <x v="3"/>
    <x v="4"/>
    <n v="198"/>
    <n v="45"/>
    <n v="8910"/>
    <n v="17"/>
    <x v="1"/>
    <n v="4"/>
  </r>
  <r>
    <n v="1182"/>
    <x v="0"/>
    <x v="65"/>
    <s v="Biscuits"/>
    <x v="0"/>
    <x v="2"/>
    <n v="198"/>
    <n v="45"/>
    <n v="8910"/>
    <n v="22"/>
    <x v="1"/>
    <m/>
  </r>
  <r>
    <n v="1183"/>
    <x v="0"/>
    <x v="66"/>
    <s v="Milk"/>
    <x v="2"/>
    <x v="2"/>
    <n v="248"/>
    <n v="225"/>
    <n v="55800"/>
    <n v="12"/>
    <x v="1"/>
    <n v="1"/>
  </r>
  <r>
    <n v="1184"/>
    <x v="0"/>
    <x v="67"/>
    <s v="Biscuits"/>
    <x v="0"/>
    <x v="4"/>
    <n v="198"/>
    <n v="135"/>
    <n v="26730"/>
    <n v="10"/>
    <x v="0"/>
    <m/>
  </r>
  <r>
    <n v="1185"/>
    <x v="1"/>
    <x v="68"/>
    <s v="Coke"/>
    <x v="3"/>
    <x v="0"/>
    <n v="112"/>
    <n v="90"/>
    <n v="10080"/>
    <n v="18"/>
    <x v="0"/>
    <n v="2"/>
  </r>
  <r>
    <n v="1186"/>
    <x v="1"/>
    <x v="69"/>
    <s v="Milk"/>
    <x v="2"/>
    <x v="0"/>
    <n v="39"/>
    <n v="90"/>
    <n v="3510"/>
    <n v="12"/>
    <x v="2"/>
    <n v="5"/>
  </r>
  <r>
    <n v="1187"/>
    <x v="0"/>
    <x v="70"/>
    <s v="Rice"/>
    <x v="1"/>
    <x v="3"/>
    <n v="187"/>
    <n v="45"/>
    <n v="8415"/>
    <n v="12"/>
    <x v="1"/>
    <n v="2"/>
  </r>
  <r>
    <n v="1188"/>
    <x v="1"/>
    <x v="71"/>
    <s v="Snacks"/>
    <x v="5"/>
    <x v="3"/>
    <n v="182"/>
    <n v="180"/>
    <n v="32760"/>
    <n v="17"/>
    <x v="2"/>
    <n v="3"/>
  </r>
  <r>
    <n v="1189"/>
    <x v="1"/>
    <x v="72"/>
    <s v="Eggs"/>
    <x v="4"/>
    <x v="1"/>
    <n v="31"/>
    <n v="90"/>
    <n v="2790"/>
    <n v="18"/>
    <x v="2"/>
    <n v="5"/>
  </r>
  <r>
    <n v="1190"/>
    <x v="1"/>
    <x v="73"/>
    <s v="Milk"/>
    <x v="2"/>
    <x v="2"/>
    <n v="236"/>
    <n v="135"/>
    <n v="31860"/>
    <n v="19"/>
    <x v="1"/>
    <m/>
  </r>
  <r>
    <n v="1191"/>
    <x v="1"/>
    <x v="74"/>
    <s v="Rice"/>
    <x v="1"/>
    <x v="4"/>
    <n v="129"/>
    <n v="225"/>
    <n v="29025"/>
    <n v="8"/>
    <x v="0"/>
    <m/>
  </r>
  <r>
    <n v="1192"/>
    <x v="1"/>
    <x v="75"/>
    <s v="Snacks"/>
    <x v="5"/>
    <x v="1"/>
    <n v="186"/>
    <n v="225"/>
    <n v="41850"/>
    <n v="7"/>
    <x v="1"/>
    <m/>
  </r>
  <r>
    <n v="1193"/>
    <x v="0"/>
    <x v="76"/>
    <s v="Juice"/>
    <x v="3"/>
    <x v="1"/>
    <n v="226"/>
    <n v="225"/>
    <n v="50850"/>
    <n v="13"/>
    <x v="0"/>
    <n v="3"/>
  </r>
  <r>
    <n v="1194"/>
    <x v="1"/>
    <x v="77"/>
    <s v="Juice"/>
    <x v="3"/>
    <x v="3"/>
    <n v="46"/>
    <n v="135"/>
    <n v="6210"/>
    <n v="19"/>
    <x v="2"/>
    <n v="4"/>
  </r>
  <r>
    <n v="1195"/>
    <x v="0"/>
    <x v="78"/>
    <s v="Juice"/>
    <x v="3"/>
    <x v="0"/>
    <n v="224"/>
    <n v="180"/>
    <n v="40320"/>
    <n v="23"/>
    <x v="2"/>
    <n v="3"/>
  </r>
  <r>
    <n v="1196"/>
    <x v="0"/>
    <x v="79"/>
    <s v="Milk"/>
    <x v="2"/>
    <x v="2"/>
    <n v="200"/>
    <n v="135"/>
    <n v="27000"/>
    <n v="13"/>
    <x v="1"/>
    <n v="2"/>
  </r>
  <r>
    <n v="1197"/>
    <x v="1"/>
    <x v="80"/>
    <s v="Snacks"/>
    <x v="5"/>
    <x v="2"/>
    <n v="155"/>
    <n v="225"/>
    <n v="34875"/>
    <n v="17"/>
    <x v="1"/>
    <n v="2"/>
  </r>
  <r>
    <n v="1198"/>
    <x v="0"/>
    <x v="81"/>
    <s v="Biscuits"/>
    <x v="0"/>
    <x v="0"/>
    <n v="194"/>
    <n v="135"/>
    <n v="26190"/>
    <n v="18"/>
    <x v="2"/>
    <n v="3"/>
  </r>
  <r>
    <n v="1199"/>
    <x v="1"/>
    <x v="82"/>
    <s v="Snacks"/>
    <x v="5"/>
    <x v="4"/>
    <n v="204"/>
    <n v="45"/>
    <n v="9180"/>
    <n v="8"/>
    <x v="2"/>
    <n v="5"/>
  </r>
  <r>
    <n v="1200"/>
    <x v="1"/>
    <x v="83"/>
    <s v="Snacks"/>
    <x v="5"/>
    <x v="2"/>
    <n v="100"/>
    <n v="135"/>
    <n v="13500"/>
    <n v="8"/>
    <x v="2"/>
    <n v="3"/>
  </r>
  <r>
    <n v="1201"/>
    <x v="0"/>
    <x v="84"/>
    <s v="Snacks"/>
    <x v="5"/>
    <x v="4"/>
    <n v="249"/>
    <n v="45"/>
    <n v="11205"/>
    <n v="18"/>
    <x v="0"/>
    <n v="5"/>
  </r>
  <r>
    <n v="1202"/>
    <x v="1"/>
    <x v="85"/>
    <s v="Bread"/>
    <x v="0"/>
    <x v="3"/>
    <n v="129"/>
    <n v="180"/>
    <n v="23220"/>
    <n v="10"/>
    <x v="1"/>
    <n v="3"/>
  </r>
  <r>
    <n v="1203"/>
    <x v="1"/>
    <x v="86"/>
    <s v="Eggs"/>
    <x v="4"/>
    <x v="2"/>
    <n v="85"/>
    <n v="135"/>
    <n v="11475"/>
    <n v="14"/>
    <x v="1"/>
    <n v="1"/>
  </r>
  <r>
    <n v="1204"/>
    <x v="0"/>
    <x v="87"/>
    <s v="Milk"/>
    <x v="2"/>
    <x v="4"/>
    <n v="35"/>
    <n v="45"/>
    <n v="1575"/>
    <n v="11"/>
    <x v="0"/>
    <n v="4"/>
  </r>
  <r>
    <n v="1205"/>
    <x v="0"/>
    <x v="88"/>
    <s v="Juice"/>
    <x v="3"/>
    <x v="2"/>
    <n v="223"/>
    <n v="180"/>
    <n v="40140"/>
    <n v="21"/>
    <x v="0"/>
    <n v="3"/>
  </r>
  <r>
    <n v="1206"/>
    <x v="0"/>
    <x v="89"/>
    <s v="Paneer"/>
    <x v="2"/>
    <x v="1"/>
    <n v="136"/>
    <n v="90"/>
    <n v="12240"/>
    <n v="11"/>
    <x v="1"/>
    <n v="4"/>
  </r>
  <r>
    <n v="1207"/>
    <x v="1"/>
    <x v="90"/>
    <s v="Coke"/>
    <x v="3"/>
    <x v="3"/>
    <n v="119"/>
    <n v="180"/>
    <n v="21420"/>
    <n v="14"/>
    <x v="1"/>
    <n v="1"/>
  </r>
  <r>
    <n v="1208"/>
    <x v="1"/>
    <x v="91"/>
    <s v="Coke"/>
    <x v="3"/>
    <x v="4"/>
    <n v="44"/>
    <n v="180"/>
    <n v="7920"/>
    <n v="15"/>
    <x v="1"/>
    <m/>
  </r>
  <r>
    <n v="1209"/>
    <x v="1"/>
    <x v="92"/>
    <s v="Coke"/>
    <x v="3"/>
    <x v="0"/>
    <n v="230"/>
    <n v="45"/>
    <n v="10350"/>
    <n v="14"/>
    <x v="2"/>
    <n v="4"/>
  </r>
  <r>
    <n v="1210"/>
    <x v="0"/>
    <x v="93"/>
    <s v="Paneer"/>
    <x v="2"/>
    <x v="4"/>
    <n v="35"/>
    <n v="90"/>
    <n v="3150"/>
    <n v="19"/>
    <x v="2"/>
    <n v="3"/>
  </r>
  <r>
    <n v="1211"/>
    <x v="0"/>
    <x v="94"/>
    <s v="Snacks"/>
    <x v="5"/>
    <x v="2"/>
    <n v="228"/>
    <n v="45"/>
    <n v="10260"/>
    <n v="21"/>
    <x v="2"/>
    <n v="2"/>
  </r>
  <r>
    <n v="1212"/>
    <x v="1"/>
    <x v="95"/>
    <s v="Eggs"/>
    <x v="4"/>
    <x v="1"/>
    <n v="100"/>
    <n v="225"/>
    <n v="22500"/>
    <n v="14"/>
    <x v="2"/>
    <n v="2"/>
  </r>
  <r>
    <n v="1213"/>
    <x v="0"/>
    <x v="96"/>
    <s v="Biscuits"/>
    <x v="0"/>
    <x v="3"/>
    <n v="47"/>
    <n v="135"/>
    <n v="6345"/>
    <n v="21"/>
    <x v="2"/>
    <n v="3"/>
  </r>
  <r>
    <n v="1214"/>
    <x v="0"/>
    <x v="97"/>
    <s v="Biscuits"/>
    <x v="0"/>
    <x v="1"/>
    <n v="194"/>
    <n v="90"/>
    <n v="17460"/>
    <n v="16"/>
    <x v="0"/>
    <m/>
  </r>
  <r>
    <n v="1215"/>
    <x v="1"/>
    <x v="0"/>
    <s v="Atta"/>
    <x v="1"/>
    <x v="3"/>
    <n v="215"/>
    <n v="45"/>
    <n v="9675"/>
    <n v="8"/>
    <x v="0"/>
    <n v="1"/>
  </r>
  <r>
    <n v="1216"/>
    <x v="1"/>
    <x v="1"/>
    <s v="Butter"/>
    <x v="2"/>
    <x v="3"/>
    <n v="156"/>
    <n v="180"/>
    <n v="28080"/>
    <n v="17"/>
    <x v="2"/>
    <n v="3"/>
  </r>
  <r>
    <n v="1217"/>
    <x v="1"/>
    <x v="2"/>
    <s v="Eggs"/>
    <x v="4"/>
    <x v="4"/>
    <n v="42"/>
    <n v="225"/>
    <n v="9450"/>
    <n v="14"/>
    <x v="2"/>
    <n v="5"/>
  </r>
  <r>
    <n v="1218"/>
    <x v="1"/>
    <x v="3"/>
    <s v="Milk"/>
    <x v="2"/>
    <x v="4"/>
    <n v="132"/>
    <n v="225"/>
    <n v="29700"/>
    <n v="16"/>
    <x v="2"/>
    <n v="3"/>
  </r>
  <r>
    <n v="1219"/>
    <x v="0"/>
    <x v="4"/>
    <s v="Coke"/>
    <x v="3"/>
    <x v="3"/>
    <n v="102"/>
    <n v="180"/>
    <n v="18360"/>
    <n v="16"/>
    <x v="1"/>
    <n v="4"/>
  </r>
  <r>
    <n v="1220"/>
    <x v="1"/>
    <x v="5"/>
    <s v="Paneer"/>
    <x v="2"/>
    <x v="3"/>
    <n v="48"/>
    <n v="135"/>
    <n v="6480"/>
    <n v="14"/>
    <x v="1"/>
    <n v="2"/>
  </r>
  <r>
    <n v="1221"/>
    <x v="0"/>
    <x v="6"/>
    <s v="Bread"/>
    <x v="0"/>
    <x v="2"/>
    <n v="229"/>
    <n v="135"/>
    <n v="30915"/>
    <n v="12"/>
    <x v="1"/>
    <n v="5"/>
  </r>
  <r>
    <n v="1222"/>
    <x v="0"/>
    <x v="7"/>
    <s v="Biscuits"/>
    <x v="0"/>
    <x v="4"/>
    <n v="52"/>
    <n v="90"/>
    <n v="4680"/>
    <n v="25"/>
    <x v="2"/>
    <n v="5"/>
  </r>
  <r>
    <n v="1223"/>
    <x v="1"/>
    <x v="8"/>
    <s v="Atta"/>
    <x v="1"/>
    <x v="3"/>
    <n v="112"/>
    <n v="45"/>
    <n v="5040"/>
    <n v="18"/>
    <x v="1"/>
    <n v="3"/>
  </r>
  <r>
    <n v="1224"/>
    <x v="0"/>
    <x v="9"/>
    <s v="Butter"/>
    <x v="2"/>
    <x v="4"/>
    <n v="59"/>
    <n v="180"/>
    <n v="10620"/>
    <n v="14"/>
    <x v="2"/>
    <n v="2"/>
  </r>
  <r>
    <n v="1225"/>
    <x v="1"/>
    <x v="10"/>
    <s v="Atta"/>
    <x v="1"/>
    <x v="0"/>
    <n v="162"/>
    <n v="90"/>
    <n v="14580"/>
    <n v="10"/>
    <x v="1"/>
    <m/>
  </r>
  <r>
    <n v="1226"/>
    <x v="0"/>
    <x v="11"/>
    <s v="Atta"/>
    <x v="1"/>
    <x v="2"/>
    <n v="184"/>
    <n v="135"/>
    <n v="24840"/>
    <n v="18"/>
    <x v="2"/>
    <n v="1"/>
  </r>
  <r>
    <n v="1227"/>
    <x v="1"/>
    <x v="12"/>
    <s v="Bread"/>
    <x v="0"/>
    <x v="3"/>
    <n v="113"/>
    <n v="180"/>
    <n v="20340"/>
    <n v="11"/>
    <x v="2"/>
    <m/>
  </r>
  <r>
    <n v="1228"/>
    <x v="0"/>
    <x v="13"/>
    <s v="Paneer"/>
    <x v="2"/>
    <x v="2"/>
    <n v="158"/>
    <n v="180"/>
    <n v="28440"/>
    <n v="12"/>
    <x v="1"/>
    <n v="3"/>
  </r>
  <r>
    <n v="1229"/>
    <x v="0"/>
    <x v="14"/>
    <s v="Eggs"/>
    <x v="4"/>
    <x v="1"/>
    <n v="189"/>
    <n v="225"/>
    <n v="42525"/>
    <n v="22"/>
    <x v="1"/>
    <n v="4"/>
  </r>
  <r>
    <n v="1230"/>
    <x v="1"/>
    <x v="15"/>
    <s v="Juice"/>
    <x v="3"/>
    <x v="2"/>
    <n v="98"/>
    <n v="225"/>
    <n v="22050"/>
    <n v="19"/>
    <x v="2"/>
    <m/>
  </r>
  <r>
    <n v="1231"/>
    <x v="0"/>
    <x v="16"/>
    <s v="Paneer"/>
    <x v="2"/>
    <x v="4"/>
    <n v="162"/>
    <n v="90"/>
    <n v="14580"/>
    <n v="13"/>
    <x v="0"/>
    <n v="4"/>
  </r>
  <r>
    <n v="1232"/>
    <x v="1"/>
    <x v="17"/>
    <s v="Paneer"/>
    <x v="2"/>
    <x v="2"/>
    <n v="56"/>
    <n v="45"/>
    <n v="2520"/>
    <n v="20"/>
    <x v="2"/>
    <n v="4"/>
  </r>
  <r>
    <n v="1233"/>
    <x v="0"/>
    <x v="18"/>
    <s v="Paneer"/>
    <x v="2"/>
    <x v="3"/>
    <n v="197"/>
    <n v="135"/>
    <n v="26595"/>
    <n v="22"/>
    <x v="2"/>
    <n v="2"/>
  </r>
  <r>
    <n v="1234"/>
    <x v="0"/>
    <x v="19"/>
    <s v="Snacks"/>
    <x v="5"/>
    <x v="0"/>
    <n v="38"/>
    <n v="180"/>
    <n v="6840"/>
    <n v="12"/>
    <x v="1"/>
    <m/>
  </r>
  <r>
    <n v="1235"/>
    <x v="1"/>
    <x v="20"/>
    <s v="Bread"/>
    <x v="0"/>
    <x v="1"/>
    <n v="91"/>
    <n v="90"/>
    <n v="8190"/>
    <n v="10"/>
    <x v="2"/>
    <n v="2"/>
  </r>
  <r>
    <n v="1236"/>
    <x v="0"/>
    <x v="21"/>
    <s v="Paneer"/>
    <x v="2"/>
    <x v="2"/>
    <n v="245"/>
    <n v="180"/>
    <n v="44100"/>
    <n v="19"/>
    <x v="2"/>
    <m/>
  </r>
  <r>
    <n v="1237"/>
    <x v="0"/>
    <x v="22"/>
    <s v="Biscuits"/>
    <x v="0"/>
    <x v="4"/>
    <n v="68"/>
    <n v="90"/>
    <n v="6120"/>
    <n v="21"/>
    <x v="2"/>
    <m/>
  </r>
  <r>
    <n v="1238"/>
    <x v="0"/>
    <x v="23"/>
    <s v="Bread"/>
    <x v="0"/>
    <x v="3"/>
    <n v="194"/>
    <n v="45"/>
    <n v="8730"/>
    <n v="16"/>
    <x v="2"/>
    <n v="3"/>
  </r>
  <r>
    <n v="1239"/>
    <x v="1"/>
    <x v="24"/>
    <s v="Eggs"/>
    <x v="4"/>
    <x v="4"/>
    <n v="216"/>
    <n v="45"/>
    <n v="9720"/>
    <n v="9"/>
    <x v="2"/>
    <m/>
  </r>
  <r>
    <n v="1240"/>
    <x v="1"/>
    <x v="25"/>
    <s v="Atta"/>
    <x v="1"/>
    <x v="1"/>
    <n v="42"/>
    <n v="45"/>
    <n v="1890"/>
    <n v="17"/>
    <x v="1"/>
    <n v="4"/>
  </r>
  <r>
    <n v="1241"/>
    <x v="0"/>
    <x v="26"/>
    <s v="Rice"/>
    <x v="1"/>
    <x v="4"/>
    <n v="215"/>
    <n v="135"/>
    <n v="29025"/>
    <n v="21"/>
    <x v="1"/>
    <n v="5"/>
  </r>
  <r>
    <n v="1242"/>
    <x v="0"/>
    <x v="27"/>
    <s v="Butter"/>
    <x v="2"/>
    <x v="1"/>
    <n v="64"/>
    <n v="135"/>
    <n v="8640"/>
    <n v="12"/>
    <x v="1"/>
    <n v="3"/>
  </r>
  <r>
    <n v="1243"/>
    <x v="1"/>
    <x v="28"/>
    <s v="Juice"/>
    <x v="3"/>
    <x v="1"/>
    <n v="42"/>
    <n v="225"/>
    <n v="9450"/>
    <n v="15"/>
    <x v="2"/>
    <n v="5"/>
  </r>
  <r>
    <n v="1244"/>
    <x v="1"/>
    <x v="29"/>
    <s v="Rice"/>
    <x v="1"/>
    <x v="1"/>
    <n v="198"/>
    <n v="135"/>
    <n v="26730"/>
    <n v="9"/>
    <x v="2"/>
    <n v="4"/>
  </r>
  <r>
    <n v="1245"/>
    <x v="1"/>
    <x v="30"/>
    <s v="Juice"/>
    <x v="3"/>
    <x v="0"/>
    <n v="129"/>
    <n v="225"/>
    <n v="29025"/>
    <n v="12"/>
    <x v="0"/>
    <n v="4"/>
  </r>
  <r>
    <n v="1246"/>
    <x v="0"/>
    <x v="31"/>
    <s v="Biscuits"/>
    <x v="0"/>
    <x v="3"/>
    <n v="216"/>
    <n v="180"/>
    <n v="38880"/>
    <n v="12"/>
    <x v="1"/>
    <m/>
  </r>
  <r>
    <n v="1247"/>
    <x v="0"/>
    <x v="32"/>
    <s v="Bread"/>
    <x v="0"/>
    <x v="2"/>
    <n v="146"/>
    <n v="135"/>
    <n v="19710"/>
    <n v="18"/>
    <x v="1"/>
    <n v="1"/>
  </r>
  <r>
    <n v="1248"/>
    <x v="1"/>
    <x v="33"/>
    <s v="Coke"/>
    <x v="3"/>
    <x v="0"/>
    <n v="90"/>
    <n v="45"/>
    <n v="4050"/>
    <n v="19"/>
    <x v="1"/>
    <n v="3"/>
  </r>
  <r>
    <n v="1249"/>
    <x v="0"/>
    <x v="34"/>
    <s v="Milk"/>
    <x v="2"/>
    <x v="2"/>
    <n v="42"/>
    <n v="135"/>
    <n v="5670"/>
    <n v="20"/>
    <x v="2"/>
    <n v="4"/>
  </r>
  <r>
    <n v="1250"/>
    <x v="1"/>
    <x v="35"/>
    <s v="Atta"/>
    <x v="1"/>
    <x v="0"/>
    <n v="58"/>
    <n v="225"/>
    <n v="13050"/>
    <n v="16"/>
    <x v="1"/>
    <m/>
  </r>
  <r>
    <n v="1251"/>
    <x v="1"/>
    <x v="36"/>
    <s v="Juice"/>
    <x v="3"/>
    <x v="3"/>
    <n v="139"/>
    <n v="90"/>
    <n v="12510"/>
    <n v="12"/>
    <x v="0"/>
    <n v="4"/>
  </r>
  <r>
    <n v="1252"/>
    <x v="0"/>
    <x v="37"/>
    <s v="Coke"/>
    <x v="3"/>
    <x v="4"/>
    <n v="250"/>
    <n v="45"/>
    <n v="11250"/>
    <n v="12"/>
    <x v="0"/>
    <m/>
  </r>
  <r>
    <n v="1253"/>
    <x v="0"/>
    <x v="38"/>
    <s v="Snacks"/>
    <x v="5"/>
    <x v="4"/>
    <n v="137"/>
    <n v="180"/>
    <n v="24660"/>
    <n v="18"/>
    <x v="1"/>
    <n v="1"/>
  </r>
  <r>
    <n v="1254"/>
    <x v="1"/>
    <x v="39"/>
    <s v="Milk"/>
    <x v="2"/>
    <x v="1"/>
    <n v="83"/>
    <n v="90"/>
    <n v="7470"/>
    <n v="11"/>
    <x v="2"/>
    <n v="3"/>
  </r>
  <r>
    <n v="1255"/>
    <x v="1"/>
    <x v="40"/>
    <s v="Eggs"/>
    <x v="4"/>
    <x v="2"/>
    <n v="138"/>
    <n v="45"/>
    <n v="6210"/>
    <n v="13"/>
    <x v="1"/>
    <n v="4"/>
  </r>
  <r>
    <n v="1256"/>
    <x v="0"/>
    <x v="41"/>
    <s v="Juice"/>
    <x v="3"/>
    <x v="0"/>
    <n v="56"/>
    <n v="180"/>
    <n v="10080"/>
    <n v="17"/>
    <x v="1"/>
    <n v="4"/>
  </r>
  <r>
    <n v="1257"/>
    <x v="1"/>
    <x v="42"/>
    <s v="Coke"/>
    <x v="3"/>
    <x v="1"/>
    <n v="67"/>
    <n v="225"/>
    <n v="15075"/>
    <n v="20"/>
    <x v="2"/>
    <n v="1"/>
  </r>
  <r>
    <n v="1258"/>
    <x v="0"/>
    <x v="43"/>
    <s v="Biscuits"/>
    <x v="0"/>
    <x v="0"/>
    <n v="228"/>
    <n v="90"/>
    <n v="20520"/>
    <n v="23"/>
    <x v="0"/>
    <n v="3"/>
  </r>
  <r>
    <n v="1259"/>
    <x v="0"/>
    <x v="44"/>
    <s v="Atta"/>
    <x v="1"/>
    <x v="1"/>
    <n v="45"/>
    <n v="225"/>
    <n v="10125"/>
    <n v="12"/>
    <x v="0"/>
    <n v="2"/>
  </r>
  <r>
    <n v="1260"/>
    <x v="0"/>
    <x v="45"/>
    <s v="Rice"/>
    <x v="1"/>
    <x v="0"/>
    <n v="203"/>
    <n v="180"/>
    <n v="36540"/>
    <n v="14"/>
    <x v="2"/>
    <n v="2"/>
  </r>
  <r>
    <n v="1261"/>
    <x v="1"/>
    <x v="46"/>
    <s v="Rice"/>
    <x v="1"/>
    <x v="2"/>
    <n v="69"/>
    <n v="45"/>
    <n v="3105"/>
    <n v="13"/>
    <x v="1"/>
    <n v="2"/>
  </r>
  <r>
    <n v="1262"/>
    <x v="1"/>
    <x v="47"/>
    <s v="Rice"/>
    <x v="1"/>
    <x v="2"/>
    <n v="97"/>
    <n v="90"/>
    <n v="8730"/>
    <n v="10"/>
    <x v="1"/>
    <n v="3"/>
  </r>
  <r>
    <n v="1263"/>
    <x v="1"/>
    <x v="48"/>
    <s v="Eggs"/>
    <x v="4"/>
    <x v="2"/>
    <n v="62"/>
    <n v="90"/>
    <n v="5580"/>
    <n v="9"/>
    <x v="2"/>
    <n v="1"/>
  </r>
  <r>
    <n v="1264"/>
    <x v="0"/>
    <x v="49"/>
    <s v="Atta"/>
    <x v="1"/>
    <x v="0"/>
    <n v="199"/>
    <n v="45"/>
    <n v="8955"/>
    <n v="19"/>
    <x v="1"/>
    <m/>
  </r>
  <r>
    <n v="1265"/>
    <x v="1"/>
    <x v="50"/>
    <s v="Paneer"/>
    <x v="2"/>
    <x v="1"/>
    <n v="81"/>
    <n v="225"/>
    <n v="18225"/>
    <n v="7"/>
    <x v="0"/>
    <n v="1"/>
  </r>
  <r>
    <n v="1266"/>
    <x v="1"/>
    <x v="51"/>
    <s v="Coke"/>
    <x v="3"/>
    <x v="0"/>
    <n v="196"/>
    <n v="225"/>
    <n v="44100"/>
    <n v="13"/>
    <x v="1"/>
    <n v="1"/>
  </r>
  <r>
    <n v="1267"/>
    <x v="0"/>
    <x v="52"/>
    <s v="Paneer"/>
    <x v="2"/>
    <x v="0"/>
    <n v="179"/>
    <n v="180"/>
    <n v="32220"/>
    <n v="11"/>
    <x v="0"/>
    <n v="1"/>
  </r>
  <r>
    <n v="1268"/>
    <x v="0"/>
    <x v="53"/>
    <s v="Paneer"/>
    <x v="2"/>
    <x v="3"/>
    <n v="93"/>
    <n v="135"/>
    <n v="12555"/>
    <n v="21"/>
    <x v="1"/>
    <n v="5"/>
  </r>
  <r>
    <n v="1269"/>
    <x v="0"/>
    <x v="54"/>
    <s v="Paneer"/>
    <x v="2"/>
    <x v="1"/>
    <n v="37"/>
    <n v="225"/>
    <n v="8325"/>
    <n v="25"/>
    <x v="2"/>
    <n v="5"/>
  </r>
  <r>
    <n v="1270"/>
    <x v="0"/>
    <x v="55"/>
    <s v="Butter"/>
    <x v="2"/>
    <x v="4"/>
    <n v="43"/>
    <n v="90"/>
    <n v="3870"/>
    <n v="13"/>
    <x v="2"/>
    <n v="1"/>
  </r>
  <r>
    <n v="1271"/>
    <x v="1"/>
    <x v="56"/>
    <s v="Snacks"/>
    <x v="5"/>
    <x v="3"/>
    <n v="219"/>
    <n v="135"/>
    <n v="29565"/>
    <n v="15"/>
    <x v="0"/>
    <n v="2"/>
  </r>
  <r>
    <n v="1272"/>
    <x v="0"/>
    <x v="57"/>
    <s v="Biscuits"/>
    <x v="0"/>
    <x v="3"/>
    <n v="217"/>
    <n v="90"/>
    <n v="19530"/>
    <n v="12"/>
    <x v="2"/>
    <n v="1"/>
  </r>
  <r>
    <n v="1273"/>
    <x v="0"/>
    <x v="58"/>
    <s v="Juice"/>
    <x v="3"/>
    <x v="4"/>
    <n v="63"/>
    <n v="225"/>
    <n v="14175"/>
    <n v="17"/>
    <x v="2"/>
    <n v="5"/>
  </r>
  <r>
    <n v="1274"/>
    <x v="1"/>
    <x v="59"/>
    <s v="Butter"/>
    <x v="2"/>
    <x v="2"/>
    <n v="46"/>
    <n v="90"/>
    <n v="4140"/>
    <n v="11"/>
    <x v="0"/>
    <n v="5"/>
  </r>
  <r>
    <n v="1275"/>
    <x v="0"/>
    <x v="60"/>
    <s v="Butter"/>
    <x v="2"/>
    <x v="4"/>
    <n v="62"/>
    <n v="180"/>
    <n v="11160"/>
    <n v="14"/>
    <x v="0"/>
    <m/>
  </r>
  <r>
    <n v="1276"/>
    <x v="0"/>
    <x v="61"/>
    <s v="Eggs"/>
    <x v="4"/>
    <x v="0"/>
    <n v="123"/>
    <n v="45"/>
    <n v="5535"/>
    <n v="10"/>
    <x v="2"/>
    <n v="5"/>
  </r>
  <r>
    <n v="1277"/>
    <x v="1"/>
    <x v="62"/>
    <s v="Juice"/>
    <x v="3"/>
    <x v="3"/>
    <n v="54"/>
    <n v="45"/>
    <n v="2430"/>
    <n v="13"/>
    <x v="0"/>
    <n v="4"/>
  </r>
  <r>
    <n v="1278"/>
    <x v="0"/>
    <x v="63"/>
    <s v="Bread"/>
    <x v="0"/>
    <x v="1"/>
    <n v="85"/>
    <n v="90"/>
    <n v="7650"/>
    <n v="12"/>
    <x v="2"/>
    <n v="5"/>
  </r>
  <r>
    <n v="1279"/>
    <x v="1"/>
    <x v="64"/>
    <s v="Eggs"/>
    <x v="4"/>
    <x v="1"/>
    <n v="125"/>
    <n v="180"/>
    <n v="22500"/>
    <n v="16"/>
    <x v="1"/>
    <n v="2"/>
  </r>
  <r>
    <n v="1280"/>
    <x v="0"/>
    <x v="65"/>
    <s v="Paneer"/>
    <x v="2"/>
    <x v="0"/>
    <n v="229"/>
    <n v="90"/>
    <n v="20610"/>
    <n v="12"/>
    <x v="1"/>
    <m/>
  </r>
  <r>
    <n v="1281"/>
    <x v="0"/>
    <x v="66"/>
    <s v="Milk"/>
    <x v="2"/>
    <x v="2"/>
    <n v="70"/>
    <n v="90"/>
    <n v="6300"/>
    <n v="14"/>
    <x v="0"/>
    <n v="5"/>
  </r>
  <r>
    <n v="1282"/>
    <x v="0"/>
    <x v="67"/>
    <s v="Milk"/>
    <x v="2"/>
    <x v="2"/>
    <n v="141"/>
    <n v="180"/>
    <n v="25380"/>
    <n v="10"/>
    <x v="0"/>
    <n v="5"/>
  </r>
  <r>
    <n v="1283"/>
    <x v="0"/>
    <x v="68"/>
    <s v="Biscuits"/>
    <x v="0"/>
    <x v="4"/>
    <n v="135"/>
    <n v="180"/>
    <n v="24300"/>
    <n v="23"/>
    <x v="2"/>
    <m/>
  </r>
  <r>
    <n v="1284"/>
    <x v="0"/>
    <x v="69"/>
    <s v="Rice"/>
    <x v="1"/>
    <x v="0"/>
    <n v="149"/>
    <n v="135"/>
    <n v="20115"/>
    <n v="14"/>
    <x v="1"/>
    <n v="3"/>
  </r>
  <r>
    <n v="1285"/>
    <x v="1"/>
    <x v="70"/>
    <s v="Milk"/>
    <x v="2"/>
    <x v="1"/>
    <n v="58"/>
    <n v="135"/>
    <n v="7830"/>
    <n v="20"/>
    <x v="2"/>
    <n v="4"/>
  </r>
  <r>
    <n v="1286"/>
    <x v="0"/>
    <x v="71"/>
    <s v="Atta"/>
    <x v="1"/>
    <x v="2"/>
    <n v="227"/>
    <n v="45"/>
    <n v="10215"/>
    <n v="19"/>
    <x v="0"/>
    <n v="3"/>
  </r>
  <r>
    <n v="1287"/>
    <x v="0"/>
    <x v="72"/>
    <s v="Biscuits"/>
    <x v="0"/>
    <x v="2"/>
    <n v="141"/>
    <n v="135"/>
    <n v="19035"/>
    <n v="12"/>
    <x v="2"/>
    <n v="4"/>
  </r>
  <r>
    <n v="1288"/>
    <x v="1"/>
    <x v="73"/>
    <s v="Biscuits"/>
    <x v="0"/>
    <x v="0"/>
    <n v="81"/>
    <n v="45"/>
    <n v="3645"/>
    <n v="19"/>
    <x v="1"/>
    <n v="5"/>
  </r>
  <r>
    <n v="1289"/>
    <x v="0"/>
    <x v="74"/>
    <s v="Milk"/>
    <x v="2"/>
    <x v="0"/>
    <n v="134"/>
    <n v="45"/>
    <n v="6030"/>
    <n v="24"/>
    <x v="0"/>
    <n v="3"/>
  </r>
  <r>
    <n v="1290"/>
    <x v="0"/>
    <x v="75"/>
    <s v="Milk"/>
    <x v="2"/>
    <x v="3"/>
    <n v="69"/>
    <n v="45"/>
    <n v="3105"/>
    <n v="24"/>
    <x v="2"/>
    <n v="5"/>
  </r>
  <r>
    <n v="1291"/>
    <x v="0"/>
    <x v="76"/>
    <s v="Eggs"/>
    <x v="4"/>
    <x v="4"/>
    <n v="183"/>
    <n v="45"/>
    <n v="8235"/>
    <n v="21"/>
    <x v="0"/>
    <n v="4"/>
  </r>
  <r>
    <n v="1292"/>
    <x v="0"/>
    <x v="77"/>
    <s v="Atta"/>
    <x v="1"/>
    <x v="3"/>
    <n v="84"/>
    <n v="180"/>
    <n v="15120"/>
    <n v="25"/>
    <x v="1"/>
    <n v="3"/>
  </r>
  <r>
    <n v="1293"/>
    <x v="0"/>
    <x v="78"/>
    <s v="Butter"/>
    <x v="2"/>
    <x v="1"/>
    <n v="249"/>
    <n v="135"/>
    <n v="33615"/>
    <n v="14"/>
    <x v="0"/>
    <n v="3"/>
  </r>
  <r>
    <n v="1294"/>
    <x v="1"/>
    <x v="79"/>
    <s v="Snacks"/>
    <x v="5"/>
    <x v="2"/>
    <n v="229"/>
    <n v="225"/>
    <n v="51525"/>
    <n v="17"/>
    <x v="0"/>
    <n v="2"/>
  </r>
  <r>
    <n v="1295"/>
    <x v="0"/>
    <x v="80"/>
    <s v="Juice"/>
    <x v="3"/>
    <x v="1"/>
    <n v="44"/>
    <n v="180"/>
    <n v="7920"/>
    <n v="12"/>
    <x v="0"/>
    <n v="4"/>
  </r>
  <r>
    <n v="1296"/>
    <x v="0"/>
    <x v="81"/>
    <s v="Biscuits"/>
    <x v="0"/>
    <x v="4"/>
    <n v="198"/>
    <n v="135"/>
    <n v="26730"/>
    <n v="10"/>
    <x v="0"/>
    <m/>
  </r>
  <r>
    <n v="1297"/>
    <x v="1"/>
    <x v="82"/>
    <s v="Coke"/>
    <x v="3"/>
    <x v="0"/>
    <n v="112"/>
    <n v="90"/>
    <n v="10080"/>
    <n v="18"/>
    <x v="0"/>
    <n v="2"/>
  </r>
  <r>
    <n v="1298"/>
    <x v="1"/>
    <x v="83"/>
    <s v="Milk"/>
    <x v="2"/>
    <x v="0"/>
    <n v="39"/>
    <n v="90"/>
    <n v="3510"/>
    <n v="12"/>
    <x v="2"/>
    <n v="5"/>
  </r>
  <r>
    <n v="1299"/>
    <x v="0"/>
    <x v="84"/>
    <s v="Rice"/>
    <x v="1"/>
    <x v="3"/>
    <n v="187"/>
    <n v="45"/>
    <n v="8415"/>
    <n v="12"/>
    <x v="1"/>
    <n v="2"/>
  </r>
  <r>
    <n v="1300"/>
    <x v="1"/>
    <x v="85"/>
    <s v="Snacks"/>
    <x v="5"/>
    <x v="3"/>
    <n v="182"/>
    <n v="180"/>
    <n v="32760"/>
    <n v="17"/>
    <x v="2"/>
    <n v="3"/>
  </r>
  <r>
    <n v="1301"/>
    <x v="1"/>
    <x v="86"/>
    <s v="Eggs"/>
    <x v="4"/>
    <x v="1"/>
    <n v="31"/>
    <n v="90"/>
    <n v="2790"/>
    <n v="18"/>
    <x v="2"/>
    <n v="5"/>
  </r>
  <r>
    <n v="1302"/>
    <x v="1"/>
    <x v="87"/>
    <s v="Milk"/>
    <x v="2"/>
    <x v="2"/>
    <n v="236"/>
    <n v="135"/>
    <n v="31860"/>
    <n v="19"/>
    <x v="1"/>
    <m/>
  </r>
  <r>
    <n v="1303"/>
    <x v="1"/>
    <x v="88"/>
    <s v="Rice"/>
    <x v="1"/>
    <x v="4"/>
    <n v="129"/>
    <n v="225"/>
    <n v="29025"/>
    <n v="8"/>
    <x v="0"/>
    <m/>
  </r>
  <r>
    <n v="1304"/>
    <x v="1"/>
    <x v="89"/>
    <s v="Snacks"/>
    <x v="5"/>
    <x v="1"/>
    <n v="186"/>
    <n v="225"/>
    <n v="41850"/>
    <n v="7"/>
    <x v="1"/>
    <m/>
  </r>
  <r>
    <n v="1305"/>
    <x v="0"/>
    <x v="90"/>
    <s v="Juice"/>
    <x v="3"/>
    <x v="1"/>
    <n v="226"/>
    <n v="225"/>
    <n v="50850"/>
    <n v="13"/>
    <x v="0"/>
    <n v="3"/>
  </r>
  <r>
    <n v="1306"/>
    <x v="1"/>
    <x v="91"/>
    <s v="Juice"/>
    <x v="3"/>
    <x v="3"/>
    <n v="46"/>
    <n v="135"/>
    <n v="6210"/>
    <n v="19"/>
    <x v="2"/>
    <n v="4"/>
  </r>
  <r>
    <n v="1307"/>
    <x v="0"/>
    <x v="92"/>
    <s v="Juice"/>
    <x v="3"/>
    <x v="0"/>
    <n v="224"/>
    <n v="180"/>
    <n v="40320"/>
    <n v="23"/>
    <x v="2"/>
    <n v="3"/>
  </r>
  <r>
    <n v="1308"/>
    <x v="0"/>
    <x v="93"/>
    <s v="Milk"/>
    <x v="2"/>
    <x v="2"/>
    <n v="200"/>
    <n v="135"/>
    <n v="27000"/>
    <n v="13"/>
    <x v="1"/>
    <n v="2"/>
  </r>
  <r>
    <n v="1309"/>
    <x v="1"/>
    <x v="94"/>
    <s v="Snacks"/>
    <x v="5"/>
    <x v="2"/>
    <n v="155"/>
    <n v="225"/>
    <n v="34875"/>
    <n v="17"/>
    <x v="1"/>
    <n v="2"/>
  </r>
  <r>
    <n v="1310"/>
    <x v="0"/>
    <x v="95"/>
    <s v="Biscuits"/>
    <x v="0"/>
    <x v="0"/>
    <n v="194"/>
    <n v="135"/>
    <n v="26190"/>
    <n v="18"/>
    <x v="2"/>
    <n v="3"/>
  </r>
  <r>
    <n v="1311"/>
    <x v="1"/>
    <x v="96"/>
    <s v="Snacks"/>
    <x v="5"/>
    <x v="4"/>
    <n v="204"/>
    <n v="45"/>
    <n v="9180"/>
    <n v="8"/>
    <x v="2"/>
    <n v="5"/>
  </r>
  <r>
    <n v="1312"/>
    <x v="0"/>
    <x v="97"/>
    <s v="Bread"/>
    <x v="0"/>
    <x v="2"/>
    <n v="150"/>
    <n v="90"/>
    <n v="13500"/>
    <n v="15"/>
    <x v="1"/>
    <n v="3"/>
  </r>
  <r>
    <n v="1313"/>
    <x v="1"/>
    <x v="98"/>
    <s v="Snacks"/>
    <x v="5"/>
    <x v="1"/>
    <n v="97"/>
    <n v="45"/>
    <n v="4365"/>
    <n v="18"/>
    <x v="2"/>
    <n v="1"/>
  </r>
  <r>
    <n v="1314"/>
    <x v="0"/>
    <x v="99"/>
    <s v="Bread"/>
    <x v="0"/>
    <x v="3"/>
    <n v="215"/>
    <n v="45"/>
    <n v="9675"/>
    <n v="19"/>
    <x v="0"/>
    <n v="1"/>
  </r>
  <r>
    <n v="1315"/>
    <x v="0"/>
    <x v="100"/>
    <s v="Rice"/>
    <x v="1"/>
    <x v="2"/>
    <n v="174"/>
    <n v="45"/>
    <n v="7830"/>
    <n v="14"/>
    <x v="1"/>
    <n v="1"/>
  </r>
  <r>
    <n v="1316"/>
    <x v="0"/>
    <x v="101"/>
    <s v="Coke"/>
    <x v="3"/>
    <x v="4"/>
    <n v="143"/>
    <n v="225"/>
    <n v="32175"/>
    <n v="16"/>
    <x v="0"/>
    <n v="2"/>
  </r>
  <r>
    <n v="1317"/>
    <x v="1"/>
    <x v="102"/>
    <s v="Eggs"/>
    <x v="4"/>
    <x v="2"/>
    <n v="124"/>
    <n v="180"/>
    <n v="22320"/>
    <n v="20"/>
    <x v="2"/>
    <n v="1"/>
  </r>
  <r>
    <n v="1318"/>
    <x v="0"/>
    <x v="103"/>
    <s v="Rice"/>
    <x v="1"/>
    <x v="2"/>
    <n v="96"/>
    <n v="225"/>
    <n v="21600"/>
    <n v="15"/>
    <x v="1"/>
    <n v="3"/>
  </r>
  <r>
    <n v="1319"/>
    <x v="0"/>
    <x v="104"/>
    <s v="Paneer"/>
    <x v="2"/>
    <x v="4"/>
    <n v="207"/>
    <n v="135"/>
    <n v="27945"/>
    <n v="17"/>
    <x v="2"/>
    <m/>
  </r>
  <r>
    <n v="1320"/>
    <x v="0"/>
    <x v="105"/>
    <s v="Biscuits"/>
    <x v="0"/>
    <x v="3"/>
    <n v="241"/>
    <n v="45"/>
    <n v="10845"/>
    <n v="18"/>
    <x v="1"/>
    <n v="1"/>
  </r>
  <r>
    <n v="1321"/>
    <x v="0"/>
    <x v="106"/>
    <s v="Butter"/>
    <x v="2"/>
    <x v="0"/>
    <n v="213"/>
    <n v="45"/>
    <n v="9585"/>
    <n v="23"/>
    <x v="0"/>
    <n v="1"/>
  </r>
  <r>
    <n v="1322"/>
    <x v="0"/>
    <x v="107"/>
    <s v="Biscuits"/>
    <x v="0"/>
    <x v="2"/>
    <n v="218"/>
    <n v="135"/>
    <n v="29430"/>
    <n v="11"/>
    <x v="2"/>
    <n v="5"/>
  </r>
  <r>
    <n v="1323"/>
    <x v="0"/>
    <x v="108"/>
    <s v="Juice"/>
    <x v="3"/>
    <x v="4"/>
    <n v="69"/>
    <n v="225"/>
    <n v="15525"/>
    <n v="20"/>
    <x v="0"/>
    <n v="1"/>
  </r>
  <r>
    <n v="1324"/>
    <x v="1"/>
    <x v="109"/>
    <s v="Atta"/>
    <x v="1"/>
    <x v="0"/>
    <n v="206"/>
    <n v="45"/>
    <n v="9270"/>
    <n v="12"/>
    <x v="1"/>
    <m/>
  </r>
  <r>
    <n v="1325"/>
    <x v="0"/>
    <x v="110"/>
    <s v="Paneer"/>
    <x v="2"/>
    <x v="1"/>
    <n v="45"/>
    <n v="45"/>
    <n v="2025"/>
    <n v="18"/>
    <x v="1"/>
    <n v="1"/>
  </r>
  <r>
    <n v="1326"/>
    <x v="1"/>
    <x v="111"/>
    <s v="Milk"/>
    <x v="2"/>
    <x v="2"/>
    <n v="61"/>
    <n v="90"/>
    <n v="5490"/>
    <n v="19"/>
    <x v="2"/>
    <n v="1"/>
  </r>
  <r>
    <n v="1327"/>
    <x v="0"/>
    <x v="112"/>
    <s v="Snacks"/>
    <x v="5"/>
    <x v="0"/>
    <n v="161"/>
    <n v="135"/>
    <n v="21735"/>
    <n v="22"/>
    <x v="1"/>
    <m/>
  </r>
  <r>
    <n v="1328"/>
    <x v="0"/>
    <x v="113"/>
    <s v="Eggs"/>
    <x v="4"/>
    <x v="2"/>
    <n v="93"/>
    <n v="90"/>
    <n v="8370"/>
    <n v="18"/>
    <x v="2"/>
    <n v="2"/>
  </r>
  <r>
    <n v="1329"/>
    <x v="0"/>
    <x v="114"/>
    <s v="Milk"/>
    <x v="2"/>
    <x v="0"/>
    <n v="100"/>
    <n v="180"/>
    <n v="18000"/>
    <n v="25"/>
    <x v="2"/>
    <n v="4"/>
  </r>
  <r>
    <n v="1330"/>
    <x v="0"/>
    <x v="115"/>
    <s v="Eggs"/>
    <x v="4"/>
    <x v="0"/>
    <n v="154"/>
    <n v="45"/>
    <n v="6930"/>
    <n v="16"/>
    <x v="1"/>
    <n v="3"/>
  </r>
  <r>
    <n v="1331"/>
    <x v="1"/>
    <x v="116"/>
    <s v="Coke"/>
    <x v="3"/>
    <x v="4"/>
    <n v="91"/>
    <n v="225"/>
    <n v="20475"/>
    <n v="12"/>
    <x v="2"/>
    <n v="2"/>
  </r>
  <r>
    <n v="1332"/>
    <x v="1"/>
    <x v="0"/>
    <s v="Milk"/>
    <x v="2"/>
    <x v="2"/>
    <n v="44"/>
    <n v="90"/>
    <n v="3960"/>
    <n v="12"/>
    <x v="1"/>
    <n v="1"/>
  </r>
  <r>
    <n v="1333"/>
    <x v="1"/>
    <x v="1"/>
    <s v="Coke"/>
    <x v="3"/>
    <x v="0"/>
    <n v="40"/>
    <n v="135"/>
    <n v="5400"/>
    <n v="11"/>
    <x v="2"/>
    <n v="3"/>
  </r>
  <r>
    <n v="1334"/>
    <x v="0"/>
    <x v="2"/>
    <s v="Butter"/>
    <x v="2"/>
    <x v="3"/>
    <n v="117"/>
    <n v="225"/>
    <n v="26325"/>
    <n v="22"/>
    <x v="0"/>
    <n v="1"/>
  </r>
  <r>
    <n v="1335"/>
    <x v="1"/>
    <x v="3"/>
    <s v="Milk"/>
    <x v="2"/>
    <x v="1"/>
    <n v="151"/>
    <n v="180"/>
    <n v="27180"/>
    <n v="14"/>
    <x v="2"/>
    <n v="5"/>
  </r>
  <r>
    <n v="1336"/>
    <x v="0"/>
    <x v="4"/>
    <s v="Eggs"/>
    <x v="4"/>
    <x v="3"/>
    <n v="158"/>
    <n v="135"/>
    <n v="21330"/>
    <n v="16"/>
    <x v="1"/>
    <n v="3"/>
  </r>
  <r>
    <n v="1337"/>
    <x v="0"/>
    <x v="5"/>
    <s v="Rice"/>
    <x v="1"/>
    <x v="2"/>
    <n v="208"/>
    <n v="135"/>
    <n v="28080"/>
    <n v="18"/>
    <x v="2"/>
    <m/>
  </r>
  <r>
    <n v="1338"/>
    <x v="1"/>
    <x v="6"/>
    <s v="Milk"/>
    <x v="2"/>
    <x v="1"/>
    <n v="56"/>
    <n v="45"/>
    <n v="2520"/>
    <n v="15"/>
    <x v="0"/>
    <m/>
  </r>
  <r>
    <n v="1339"/>
    <x v="1"/>
    <x v="7"/>
    <s v="Snacks"/>
    <x v="5"/>
    <x v="2"/>
    <n v="100"/>
    <n v="135"/>
    <n v="13500"/>
    <n v="8"/>
    <x v="2"/>
    <n v="3"/>
  </r>
  <r>
    <n v="1340"/>
    <x v="0"/>
    <x v="8"/>
    <s v="Snacks"/>
    <x v="5"/>
    <x v="4"/>
    <n v="249"/>
    <n v="45"/>
    <n v="11205"/>
    <n v="18"/>
    <x v="0"/>
    <n v="5"/>
  </r>
  <r>
    <n v="1341"/>
    <x v="1"/>
    <x v="9"/>
    <s v="Bread"/>
    <x v="0"/>
    <x v="3"/>
    <n v="129"/>
    <n v="180"/>
    <n v="23220"/>
    <n v="10"/>
    <x v="1"/>
    <n v="3"/>
  </r>
  <r>
    <n v="1342"/>
    <x v="1"/>
    <x v="10"/>
    <s v="Eggs"/>
    <x v="4"/>
    <x v="2"/>
    <n v="85"/>
    <n v="135"/>
    <n v="11475"/>
    <n v="14"/>
    <x v="1"/>
    <n v="1"/>
  </r>
  <r>
    <n v="1343"/>
    <x v="0"/>
    <x v="11"/>
    <s v="Milk"/>
    <x v="2"/>
    <x v="4"/>
    <n v="35"/>
    <n v="45"/>
    <n v="1575"/>
    <n v="11"/>
    <x v="0"/>
    <n v="4"/>
  </r>
  <r>
    <n v="1344"/>
    <x v="0"/>
    <x v="12"/>
    <s v="Juice"/>
    <x v="3"/>
    <x v="2"/>
    <n v="223"/>
    <n v="180"/>
    <n v="40140"/>
    <n v="21"/>
    <x v="0"/>
    <n v="3"/>
  </r>
  <r>
    <n v="1345"/>
    <x v="0"/>
    <x v="13"/>
    <s v="Paneer"/>
    <x v="2"/>
    <x v="1"/>
    <n v="136"/>
    <n v="90"/>
    <n v="12240"/>
    <n v="11"/>
    <x v="1"/>
    <n v="4"/>
  </r>
  <r>
    <n v="1346"/>
    <x v="1"/>
    <x v="14"/>
    <s v="Coke"/>
    <x v="3"/>
    <x v="3"/>
    <n v="119"/>
    <n v="180"/>
    <n v="21420"/>
    <n v="14"/>
    <x v="1"/>
    <n v="1"/>
  </r>
  <r>
    <n v="1347"/>
    <x v="1"/>
    <x v="15"/>
    <s v="Coke"/>
    <x v="3"/>
    <x v="4"/>
    <n v="44"/>
    <n v="180"/>
    <n v="7920"/>
    <n v="15"/>
    <x v="1"/>
    <m/>
  </r>
  <r>
    <n v="1348"/>
    <x v="1"/>
    <x v="16"/>
    <s v="Coke"/>
    <x v="3"/>
    <x v="0"/>
    <n v="230"/>
    <n v="45"/>
    <n v="10350"/>
    <n v="14"/>
    <x v="2"/>
    <n v="4"/>
  </r>
  <r>
    <n v="1349"/>
    <x v="0"/>
    <x v="17"/>
    <s v="Paneer"/>
    <x v="2"/>
    <x v="4"/>
    <n v="35"/>
    <n v="90"/>
    <n v="3150"/>
    <n v="19"/>
    <x v="2"/>
    <n v="3"/>
  </r>
  <r>
    <n v="1350"/>
    <x v="0"/>
    <x v="18"/>
    <s v="Snacks"/>
    <x v="5"/>
    <x v="2"/>
    <n v="228"/>
    <n v="45"/>
    <n v="10260"/>
    <n v="21"/>
    <x v="2"/>
    <n v="2"/>
  </r>
  <r>
    <n v="1351"/>
    <x v="1"/>
    <x v="19"/>
    <s v="Eggs"/>
    <x v="4"/>
    <x v="1"/>
    <n v="100"/>
    <n v="225"/>
    <n v="22500"/>
    <n v="14"/>
    <x v="2"/>
    <n v="2"/>
  </r>
  <r>
    <n v="1352"/>
    <x v="0"/>
    <x v="20"/>
    <s v="Biscuits"/>
    <x v="0"/>
    <x v="3"/>
    <n v="47"/>
    <n v="135"/>
    <n v="6345"/>
    <n v="21"/>
    <x v="2"/>
    <n v="3"/>
  </r>
  <r>
    <n v="1353"/>
    <x v="0"/>
    <x v="21"/>
    <s v="Biscuits"/>
    <x v="0"/>
    <x v="1"/>
    <n v="194"/>
    <n v="90"/>
    <n v="17460"/>
    <n v="16"/>
    <x v="0"/>
    <m/>
  </r>
  <r>
    <n v="1354"/>
    <x v="1"/>
    <x v="22"/>
    <s v="Atta"/>
    <x v="1"/>
    <x v="3"/>
    <n v="215"/>
    <n v="45"/>
    <n v="9675"/>
    <n v="8"/>
    <x v="0"/>
    <n v="1"/>
  </r>
  <r>
    <n v="1355"/>
    <x v="1"/>
    <x v="23"/>
    <s v="Butter"/>
    <x v="2"/>
    <x v="3"/>
    <n v="156"/>
    <n v="180"/>
    <n v="28080"/>
    <n v="17"/>
    <x v="2"/>
    <n v="3"/>
  </r>
  <r>
    <n v="1356"/>
    <x v="1"/>
    <x v="24"/>
    <s v="Eggs"/>
    <x v="4"/>
    <x v="4"/>
    <n v="42"/>
    <n v="225"/>
    <n v="9450"/>
    <n v="14"/>
    <x v="2"/>
    <n v="5"/>
  </r>
  <r>
    <n v="1357"/>
    <x v="1"/>
    <x v="25"/>
    <s v="Milk"/>
    <x v="2"/>
    <x v="4"/>
    <n v="132"/>
    <n v="225"/>
    <n v="29700"/>
    <n v="16"/>
    <x v="2"/>
    <n v="3"/>
  </r>
  <r>
    <n v="1358"/>
    <x v="0"/>
    <x v="26"/>
    <s v="Coke"/>
    <x v="3"/>
    <x v="3"/>
    <n v="102"/>
    <n v="180"/>
    <n v="18360"/>
    <n v="16"/>
    <x v="1"/>
    <n v="4"/>
  </r>
  <r>
    <n v="1359"/>
    <x v="1"/>
    <x v="27"/>
    <s v="Paneer"/>
    <x v="2"/>
    <x v="3"/>
    <n v="48"/>
    <n v="135"/>
    <n v="6480"/>
    <n v="14"/>
    <x v="1"/>
    <n v="2"/>
  </r>
  <r>
    <n v="1360"/>
    <x v="0"/>
    <x v="28"/>
    <s v="Bread"/>
    <x v="0"/>
    <x v="2"/>
    <n v="229"/>
    <n v="135"/>
    <n v="30915"/>
    <n v="12"/>
    <x v="1"/>
    <n v="5"/>
  </r>
  <r>
    <n v="1361"/>
    <x v="0"/>
    <x v="29"/>
    <s v="Biscuits"/>
    <x v="0"/>
    <x v="4"/>
    <n v="52"/>
    <n v="90"/>
    <n v="4680"/>
    <n v="25"/>
    <x v="2"/>
    <n v="5"/>
  </r>
  <r>
    <n v="1362"/>
    <x v="1"/>
    <x v="30"/>
    <s v="Atta"/>
    <x v="1"/>
    <x v="3"/>
    <n v="112"/>
    <n v="45"/>
    <n v="5040"/>
    <n v="18"/>
    <x v="1"/>
    <n v="3"/>
  </r>
  <r>
    <n v="1363"/>
    <x v="0"/>
    <x v="31"/>
    <s v="Butter"/>
    <x v="2"/>
    <x v="4"/>
    <n v="59"/>
    <n v="180"/>
    <n v="10620"/>
    <n v="14"/>
    <x v="2"/>
    <n v="2"/>
  </r>
  <r>
    <n v="1364"/>
    <x v="1"/>
    <x v="32"/>
    <s v="Atta"/>
    <x v="1"/>
    <x v="0"/>
    <n v="162"/>
    <n v="90"/>
    <n v="14580"/>
    <n v="10"/>
    <x v="1"/>
    <m/>
  </r>
  <r>
    <n v="1365"/>
    <x v="0"/>
    <x v="33"/>
    <s v="Atta"/>
    <x v="1"/>
    <x v="2"/>
    <n v="184"/>
    <n v="135"/>
    <n v="24840"/>
    <n v="18"/>
    <x v="2"/>
    <n v="1"/>
  </r>
  <r>
    <n v="1366"/>
    <x v="1"/>
    <x v="34"/>
    <s v="Bread"/>
    <x v="0"/>
    <x v="3"/>
    <n v="113"/>
    <n v="180"/>
    <n v="20340"/>
    <n v="11"/>
    <x v="2"/>
    <m/>
  </r>
  <r>
    <n v="1367"/>
    <x v="0"/>
    <x v="35"/>
    <s v="Paneer"/>
    <x v="2"/>
    <x v="2"/>
    <n v="158"/>
    <n v="180"/>
    <n v="28440"/>
    <n v="12"/>
    <x v="1"/>
    <n v="3"/>
  </r>
  <r>
    <n v="1368"/>
    <x v="0"/>
    <x v="36"/>
    <s v="Eggs"/>
    <x v="4"/>
    <x v="1"/>
    <n v="189"/>
    <n v="225"/>
    <n v="42525"/>
    <n v="22"/>
    <x v="1"/>
    <n v="4"/>
  </r>
  <r>
    <n v="1369"/>
    <x v="1"/>
    <x v="37"/>
    <s v="Juice"/>
    <x v="3"/>
    <x v="2"/>
    <n v="98"/>
    <n v="225"/>
    <n v="22050"/>
    <n v="19"/>
    <x v="2"/>
    <m/>
  </r>
  <r>
    <n v="1370"/>
    <x v="0"/>
    <x v="38"/>
    <s v="Paneer"/>
    <x v="2"/>
    <x v="4"/>
    <n v="162"/>
    <n v="90"/>
    <n v="14580"/>
    <n v="13"/>
    <x v="0"/>
    <n v="4"/>
  </r>
  <r>
    <n v="1371"/>
    <x v="1"/>
    <x v="39"/>
    <s v="Paneer"/>
    <x v="2"/>
    <x v="2"/>
    <n v="56"/>
    <n v="45"/>
    <n v="2520"/>
    <n v="20"/>
    <x v="2"/>
    <n v="4"/>
  </r>
  <r>
    <n v="1372"/>
    <x v="0"/>
    <x v="40"/>
    <s v="Paneer"/>
    <x v="2"/>
    <x v="3"/>
    <n v="197"/>
    <n v="135"/>
    <n v="26595"/>
    <n v="22"/>
    <x v="2"/>
    <n v="2"/>
  </r>
  <r>
    <n v="1373"/>
    <x v="0"/>
    <x v="41"/>
    <s v="Snacks"/>
    <x v="5"/>
    <x v="0"/>
    <n v="38"/>
    <n v="180"/>
    <n v="6840"/>
    <n v="12"/>
    <x v="1"/>
    <m/>
  </r>
  <r>
    <n v="1374"/>
    <x v="1"/>
    <x v="42"/>
    <s v="Bread"/>
    <x v="0"/>
    <x v="1"/>
    <n v="91"/>
    <n v="90"/>
    <n v="8190"/>
    <n v="10"/>
    <x v="2"/>
    <n v="2"/>
  </r>
  <r>
    <n v="1375"/>
    <x v="0"/>
    <x v="43"/>
    <s v="Paneer"/>
    <x v="2"/>
    <x v="2"/>
    <n v="245"/>
    <n v="180"/>
    <n v="44100"/>
    <n v="19"/>
    <x v="2"/>
    <m/>
  </r>
  <r>
    <n v="1376"/>
    <x v="0"/>
    <x v="44"/>
    <s v="Biscuits"/>
    <x v="0"/>
    <x v="4"/>
    <n v="68"/>
    <n v="90"/>
    <n v="6120"/>
    <n v="21"/>
    <x v="2"/>
    <m/>
  </r>
  <r>
    <n v="1377"/>
    <x v="0"/>
    <x v="45"/>
    <s v="Bread"/>
    <x v="0"/>
    <x v="3"/>
    <n v="194"/>
    <n v="45"/>
    <n v="8730"/>
    <n v="16"/>
    <x v="2"/>
    <n v="3"/>
  </r>
  <r>
    <n v="1378"/>
    <x v="1"/>
    <x v="46"/>
    <s v="Eggs"/>
    <x v="4"/>
    <x v="4"/>
    <n v="216"/>
    <n v="45"/>
    <n v="9720"/>
    <n v="9"/>
    <x v="2"/>
    <m/>
  </r>
  <r>
    <n v="1379"/>
    <x v="1"/>
    <x v="47"/>
    <s v="Atta"/>
    <x v="1"/>
    <x v="1"/>
    <n v="42"/>
    <n v="45"/>
    <n v="1890"/>
    <n v="17"/>
    <x v="1"/>
    <n v="4"/>
  </r>
  <r>
    <n v="1380"/>
    <x v="0"/>
    <x v="48"/>
    <s v="Rice"/>
    <x v="1"/>
    <x v="4"/>
    <n v="215"/>
    <n v="135"/>
    <n v="29025"/>
    <n v="21"/>
    <x v="1"/>
    <n v="5"/>
  </r>
  <r>
    <n v="1381"/>
    <x v="0"/>
    <x v="49"/>
    <s v="Butter"/>
    <x v="2"/>
    <x v="1"/>
    <n v="64"/>
    <n v="135"/>
    <n v="8640"/>
    <n v="12"/>
    <x v="1"/>
    <n v="3"/>
  </r>
  <r>
    <n v="1382"/>
    <x v="1"/>
    <x v="50"/>
    <s v="Juice"/>
    <x v="3"/>
    <x v="1"/>
    <n v="42"/>
    <n v="225"/>
    <n v="9450"/>
    <n v="15"/>
    <x v="2"/>
    <n v="5"/>
  </r>
  <r>
    <n v="1383"/>
    <x v="1"/>
    <x v="51"/>
    <s v="Rice"/>
    <x v="1"/>
    <x v="1"/>
    <n v="198"/>
    <n v="135"/>
    <n v="26730"/>
    <n v="9"/>
    <x v="2"/>
    <n v="4"/>
  </r>
  <r>
    <n v="1384"/>
    <x v="1"/>
    <x v="52"/>
    <s v="Juice"/>
    <x v="3"/>
    <x v="0"/>
    <n v="129"/>
    <n v="225"/>
    <n v="29025"/>
    <n v="12"/>
    <x v="0"/>
    <n v="4"/>
  </r>
  <r>
    <n v="1385"/>
    <x v="0"/>
    <x v="53"/>
    <s v="Biscuits"/>
    <x v="0"/>
    <x v="3"/>
    <n v="216"/>
    <n v="180"/>
    <n v="38880"/>
    <n v="12"/>
    <x v="1"/>
    <m/>
  </r>
  <r>
    <n v="1386"/>
    <x v="0"/>
    <x v="54"/>
    <s v="Bread"/>
    <x v="0"/>
    <x v="2"/>
    <n v="146"/>
    <n v="135"/>
    <n v="19710"/>
    <n v="18"/>
    <x v="1"/>
    <n v="1"/>
  </r>
  <r>
    <n v="1387"/>
    <x v="1"/>
    <x v="55"/>
    <s v="Coke"/>
    <x v="3"/>
    <x v="0"/>
    <n v="90"/>
    <n v="45"/>
    <n v="4050"/>
    <n v="19"/>
    <x v="1"/>
    <n v="3"/>
  </r>
  <r>
    <n v="1388"/>
    <x v="0"/>
    <x v="56"/>
    <s v="Milk"/>
    <x v="2"/>
    <x v="2"/>
    <n v="42"/>
    <n v="135"/>
    <n v="5670"/>
    <n v="20"/>
    <x v="2"/>
    <n v="4"/>
  </r>
  <r>
    <n v="1389"/>
    <x v="1"/>
    <x v="57"/>
    <s v="Atta"/>
    <x v="1"/>
    <x v="0"/>
    <n v="58"/>
    <n v="225"/>
    <n v="13050"/>
    <n v="16"/>
    <x v="1"/>
    <m/>
  </r>
  <r>
    <n v="1390"/>
    <x v="1"/>
    <x v="58"/>
    <s v="Juice"/>
    <x v="3"/>
    <x v="3"/>
    <n v="139"/>
    <n v="90"/>
    <n v="12510"/>
    <n v="12"/>
    <x v="0"/>
    <n v="4"/>
  </r>
  <r>
    <n v="1391"/>
    <x v="0"/>
    <x v="59"/>
    <s v="Coke"/>
    <x v="3"/>
    <x v="4"/>
    <n v="250"/>
    <n v="45"/>
    <n v="11250"/>
    <n v="12"/>
    <x v="0"/>
    <m/>
  </r>
  <r>
    <n v="1392"/>
    <x v="0"/>
    <x v="60"/>
    <s v="Snacks"/>
    <x v="5"/>
    <x v="4"/>
    <n v="137"/>
    <n v="180"/>
    <n v="24660"/>
    <n v="18"/>
    <x v="1"/>
    <n v="1"/>
  </r>
  <r>
    <n v="1393"/>
    <x v="1"/>
    <x v="61"/>
    <s v="Milk"/>
    <x v="2"/>
    <x v="1"/>
    <n v="83"/>
    <n v="90"/>
    <n v="7470"/>
    <n v="11"/>
    <x v="2"/>
    <n v="3"/>
  </r>
  <r>
    <n v="1394"/>
    <x v="1"/>
    <x v="62"/>
    <s v="Eggs"/>
    <x v="4"/>
    <x v="2"/>
    <n v="138"/>
    <n v="45"/>
    <n v="6210"/>
    <n v="13"/>
    <x v="1"/>
    <n v="4"/>
  </r>
  <r>
    <n v="1395"/>
    <x v="0"/>
    <x v="63"/>
    <s v="Juice"/>
    <x v="3"/>
    <x v="0"/>
    <n v="56"/>
    <n v="180"/>
    <n v="10080"/>
    <n v="17"/>
    <x v="1"/>
    <n v="4"/>
  </r>
  <r>
    <n v="1396"/>
    <x v="1"/>
    <x v="64"/>
    <s v="Coke"/>
    <x v="3"/>
    <x v="1"/>
    <n v="67"/>
    <n v="225"/>
    <n v="15075"/>
    <n v="20"/>
    <x v="2"/>
    <n v="1"/>
  </r>
  <r>
    <n v="1397"/>
    <x v="0"/>
    <x v="65"/>
    <s v="Biscuits"/>
    <x v="0"/>
    <x v="0"/>
    <n v="228"/>
    <n v="90"/>
    <n v="20520"/>
    <n v="23"/>
    <x v="0"/>
    <n v="3"/>
  </r>
  <r>
    <n v="1398"/>
    <x v="0"/>
    <x v="66"/>
    <s v="Atta"/>
    <x v="1"/>
    <x v="1"/>
    <n v="45"/>
    <n v="225"/>
    <n v="10125"/>
    <n v="12"/>
    <x v="0"/>
    <n v="2"/>
  </r>
  <r>
    <n v="1399"/>
    <x v="0"/>
    <x v="67"/>
    <s v="Rice"/>
    <x v="1"/>
    <x v="0"/>
    <n v="203"/>
    <n v="180"/>
    <n v="36540"/>
    <n v="14"/>
    <x v="2"/>
    <n v="2"/>
  </r>
  <r>
    <n v="1400"/>
    <x v="1"/>
    <x v="68"/>
    <s v="Rice"/>
    <x v="1"/>
    <x v="2"/>
    <n v="69"/>
    <n v="45"/>
    <n v="3105"/>
    <n v="13"/>
    <x v="1"/>
    <n v="2"/>
  </r>
  <r>
    <n v="1401"/>
    <x v="1"/>
    <x v="69"/>
    <s v="Rice"/>
    <x v="1"/>
    <x v="2"/>
    <n v="97"/>
    <n v="90"/>
    <n v="8730"/>
    <n v="10"/>
    <x v="1"/>
    <n v="3"/>
  </r>
  <r>
    <n v="1402"/>
    <x v="1"/>
    <x v="70"/>
    <s v="Eggs"/>
    <x v="4"/>
    <x v="2"/>
    <n v="62"/>
    <n v="90"/>
    <n v="5580"/>
    <n v="9"/>
    <x v="2"/>
    <n v="1"/>
  </r>
  <r>
    <n v="1403"/>
    <x v="0"/>
    <x v="71"/>
    <s v="Atta"/>
    <x v="1"/>
    <x v="0"/>
    <n v="199"/>
    <n v="45"/>
    <n v="8955"/>
    <n v="19"/>
    <x v="1"/>
    <m/>
  </r>
  <r>
    <n v="1404"/>
    <x v="1"/>
    <x v="72"/>
    <s v="Paneer"/>
    <x v="2"/>
    <x v="1"/>
    <n v="81"/>
    <n v="225"/>
    <n v="18225"/>
    <n v="7"/>
    <x v="0"/>
    <n v="1"/>
  </r>
  <r>
    <n v="1405"/>
    <x v="1"/>
    <x v="73"/>
    <s v="Coke"/>
    <x v="3"/>
    <x v="0"/>
    <n v="196"/>
    <n v="225"/>
    <n v="44100"/>
    <n v="13"/>
    <x v="1"/>
    <n v="1"/>
  </r>
  <r>
    <n v="1406"/>
    <x v="0"/>
    <x v="74"/>
    <s v="Paneer"/>
    <x v="2"/>
    <x v="0"/>
    <n v="179"/>
    <n v="180"/>
    <n v="32220"/>
    <n v="11"/>
    <x v="0"/>
    <n v="1"/>
  </r>
  <r>
    <n v="1407"/>
    <x v="0"/>
    <x v="75"/>
    <s v="Paneer"/>
    <x v="2"/>
    <x v="3"/>
    <n v="93"/>
    <n v="135"/>
    <n v="12555"/>
    <n v="21"/>
    <x v="1"/>
    <n v="5"/>
  </r>
  <r>
    <n v="1408"/>
    <x v="0"/>
    <x v="76"/>
    <s v="Paneer"/>
    <x v="2"/>
    <x v="1"/>
    <n v="37"/>
    <n v="225"/>
    <n v="8325"/>
    <n v="25"/>
    <x v="2"/>
    <n v="5"/>
  </r>
  <r>
    <n v="1409"/>
    <x v="0"/>
    <x v="77"/>
    <s v="Butter"/>
    <x v="2"/>
    <x v="4"/>
    <n v="43"/>
    <n v="90"/>
    <n v="3870"/>
    <n v="13"/>
    <x v="2"/>
    <n v="1"/>
  </r>
  <r>
    <n v="1410"/>
    <x v="1"/>
    <x v="78"/>
    <s v="Snacks"/>
    <x v="5"/>
    <x v="3"/>
    <n v="219"/>
    <n v="135"/>
    <n v="29565"/>
    <n v="15"/>
    <x v="0"/>
    <n v="2"/>
  </r>
  <r>
    <n v="1411"/>
    <x v="0"/>
    <x v="79"/>
    <s v="Biscuits"/>
    <x v="0"/>
    <x v="3"/>
    <n v="217"/>
    <n v="90"/>
    <n v="19530"/>
    <n v="12"/>
    <x v="2"/>
    <n v="1"/>
  </r>
  <r>
    <n v="1412"/>
    <x v="0"/>
    <x v="80"/>
    <s v="Juice"/>
    <x v="3"/>
    <x v="4"/>
    <n v="63"/>
    <n v="225"/>
    <n v="14175"/>
    <n v="17"/>
    <x v="2"/>
    <n v="5"/>
  </r>
  <r>
    <n v="1413"/>
    <x v="1"/>
    <x v="81"/>
    <s v="Butter"/>
    <x v="2"/>
    <x v="2"/>
    <n v="46"/>
    <n v="90"/>
    <n v="4140"/>
    <n v="11"/>
    <x v="0"/>
    <n v="5"/>
  </r>
  <r>
    <n v="1414"/>
    <x v="0"/>
    <x v="82"/>
    <s v="Butter"/>
    <x v="2"/>
    <x v="4"/>
    <n v="62"/>
    <n v="180"/>
    <n v="11160"/>
    <n v="14"/>
    <x v="0"/>
    <m/>
  </r>
  <r>
    <n v="1415"/>
    <x v="0"/>
    <x v="83"/>
    <s v="Eggs"/>
    <x v="4"/>
    <x v="0"/>
    <n v="123"/>
    <n v="45"/>
    <n v="5535"/>
    <n v="10"/>
    <x v="2"/>
    <n v="5"/>
  </r>
  <r>
    <n v="1416"/>
    <x v="1"/>
    <x v="84"/>
    <s v="Juice"/>
    <x v="3"/>
    <x v="3"/>
    <n v="54"/>
    <n v="45"/>
    <n v="2430"/>
    <n v="13"/>
    <x v="0"/>
    <n v="4"/>
  </r>
  <r>
    <n v="1417"/>
    <x v="0"/>
    <x v="85"/>
    <s v="Bread"/>
    <x v="0"/>
    <x v="1"/>
    <n v="85"/>
    <n v="90"/>
    <n v="7650"/>
    <n v="12"/>
    <x v="2"/>
    <n v="5"/>
  </r>
  <r>
    <n v="1418"/>
    <x v="1"/>
    <x v="86"/>
    <s v="Eggs"/>
    <x v="4"/>
    <x v="1"/>
    <n v="125"/>
    <n v="180"/>
    <n v="22500"/>
    <n v="16"/>
    <x v="1"/>
    <n v="2"/>
  </r>
  <r>
    <n v="1419"/>
    <x v="0"/>
    <x v="87"/>
    <s v="Paneer"/>
    <x v="2"/>
    <x v="0"/>
    <n v="229"/>
    <n v="90"/>
    <n v="20610"/>
    <n v="12"/>
    <x v="1"/>
    <m/>
  </r>
  <r>
    <n v="1420"/>
    <x v="0"/>
    <x v="88"/>
    <s v="Milk"/>
    <x v="2"/>
    <x v="2"/>
    <n v="70"/>
    <n v="90"/>
    <n v="6300"/>
    <n v="14"/>
    <x v="0"/>
    <n v="5"/>
  </r>
  <r>
    <n v="1421"/>
    <x v="0"/>
    <x v="89"/>
    <s v="Milk"/>
    <x v="2"/>
    <x v="2"/>
    <n v="141"/>
    <n v="180"/>
    <n v="25380"/>
    <n v="10"/>
    <x v="0"/>
    <n v="5"/>
  </r>
  <r>
    <n v="1422"/>
    <x v="0"/>
    <x v="90"/>
    <s v="Biscuits"/>
    <x v="0"/>
    <x v="4"/>
    <n v="135"/>
    <n v="180"/>
    <n v="24300"/>
    <n v="23"/>
    <x v="2"/>
    <m/>
  </r>
  <r>
    <n v="1423"/>
    <x v="0"/>
    <x v="91"/>
    <s v="Rice"/>
    <x v="1"/>
    <x v="0"/>
    <n v="149"/>
    <n v="135"/>
    <n v="20115"/>
    <n v="14"/>
    <x v="1"/>
    <n v="3"/>
  </r>
  <r>
    <n v="1424"/>
    <x v="1"/>
    <x v="92"/>
    <s v="Milk"/>
    <x v="2"/>
    <x v="1"/>
    <n v="58"/>
    <n v="135"/>
    <n v="7830"/>
    <n v="20"/>
    <x v="2"/>
    <n v="4"/>
  </r>
  <r>
    <n v="1425"/>
    <x v="0"/>
    <x v="93"/>
    <s v="Atta"/>
    <x v="1"/>
    <x v="2"/>
    <n v="227"/>
    <n v="45"/>
    <n v="10215"/>
    <n v="19"/>
    <x v="0"/>
    <n v="3"/>
  </r>
  <r>
    <n v="1426"/>
    <x v="0"/>
    <x v="94"/>
    <s v="Biscuits"/>
    <x v="0"/>
    <x v="2"/>
    <n v="141"/>
    <n v="135"/>
    <n v="19035"/>
    <n v="12"/>
    <x v="2"/>
    <n v="4"/>
  </r>
  <r>
    <n v="1427"/>
    <x v="1"/>
    <x v="95"/>
    <s v="Biscuits"/>
    <x v="0"/>
    <x v="0"/>
    <n v="81"/>
    <n v="45"/>
    <n v="3645"/>
    <n v="19"/>
    <x v="1"/>
    <n v="5"/>
  </r>
  <r>
    <n v="1428"/>
    <x v="0"/>
    <x v="96"/>
    <s v="Milk"/>
    <x v="2"/>
    <x v="0"/>
    <n v="134"/>
    <n v="45"/>
    <n v="6030"/>
    <n v="24"/>
    <x v="0"/>
    <n v="3"/>
  </r>
  <r>
    <n v="1429"/>
    <x v="0"/>
    <x v="97"/>
    <s v="Milk"/>
    <x v="2"/>
    <x v="3"/>
    <n v="69"/>
    <n v="45"/>
    <n v="3105"/>
    <n v="24"/>
    <x v="2"/>
    <n v="5"/>
  </r>
  <r>
    <n v="1430"/>
    <x v="0"/>
    <x v="98"/>
    <s v="Eggs"/>
    <x v="4"/>
    <x v="4"/>
    <n v="183"/>
    <n v="45"/>
    <n v="8235"/>
    <n v="21"/>
    <x v="0"/>
    <n v="4"/>
  </r>
  <r>
    <n v="1431"/>
    <x v="0"/>
    <x v="99"/>
    <s v="Atta"/>
    <x v="1"/>
    <x v="3"/>
    <n v="84"/>
    <n v="180"/>
    <n v="15120"/>
    <n v="25"/>
    <x v="1"/>
    <n v="3"/>
  </r>
  <r>
    <n v="1432"/>
    <x v="0"/>
    <x v="100"/>
    <s v="Butter"/>
    <x v="2"/>
    <x v="1"/>
    <n v="249"/>
    <n v="135"/>
    <n v="33615"/>
    <n v="14"/>
    <x v="0"/>
    <n v="3"/>
  </r>
  <r>
    <n v="1433"/>
    <x v="1"/>
    <x v="101"/>
    <s v="Snacks"/>
    <x v="5"/>
    <x v="2"/>
    <n v="229"/>
    <n v="225"/>
    <n v="51525"/>
    <n v="17"/>
    <x v="0"/>
    <n v="2"/>
  </r>
  <r>
    <n v="1434"/>
    <x v="0"/>
    <x v="102"/>
    <s v="Juice"/>
    <x v="3"/>
    <x v="1"/>
    <n v="44"/>
    <n v="180"/>
    <n v="7920"/>
    <n v="12"/>
    <x v="0"/>
    <n v="4"/>
  </r>
  <r>
    <n v="1435"/>
    <x v="0"/>
    <x v="103"/>
    <s v="Biscuits"/>
    <x v="0"/>
    <x v="4"/>
    <n v="198"/>
    <n v="135"/>
    <n v="26730"/>
    <n v="10"/>
    <x v="0"/>
    <m/>
  </r>
  <r>
    <n v="1436"/>
    <x v="1"/>
    <x v="104"/>
    <s v="Coke"/>
    <x v="3"/>
    <x v="0"/>
    <n v="112"/>
    <n v="90"/>
    <n v="10080"/>
    <n v="18"/>
    <x v="0"/>
    <n v="2"/>
  </r>
  <r>
    <n v="1437"/>
    <x v="1"/>
    <x v="105"/>
    <s v="Milk"/>
    <x v="2"/>
    <x v="0"/>
    <n v="39"/>
    <n v="90"/>
    <n v="3510"/>
    <n v="12"/>
    <x v="2"/>
    <n v="5"/>
  </r>
  <r>
    <n v="1438"/>
    <x v="0"/>
    <x v="106"/>
    <s v="Rice"/>
    <x v="1"/>
    <x v="3"/>
    <n v="187"/>
    <n v="45"/>
    <n v="8415"/>
    <n v="12"/>
    <x v="1"/>
    <n v="2"/>
  </r>
  <r>
    <n v="1439"/>
    <x v="1"/>
    <x v="107"/>
    <s v="Snacks"/>
    <x v="5"/>
    <x v="3"/>
    <n v="182"/>
    <n v="180"/>
    <n v="32760"/>
    <n v="17"/>
    <x v="2"/>
    <n v="3"/>
  </r>
  <r>
    <n v="1440"/>
    <x v="1"/>
    <x v="108"/>
    <s v="Eggs"/>
    <x v="4"/>
    <x v="1"/>
    <n v="31"/>
    <n v="90"/>
    <n v="2790"/>
    <n v="18"/>
    <x v="2"/>
    <n v="5"/>
  </r>
  <r>
    <n v="1441"/>
    <x v="1"/>
    <x v="109"/>
    <s v="Milk"/>
    <x v="2"/>
    <x v="2"/>
    <n v="236"/>
    <n v="135"/>
    <n v="31860"/>
    <n v="19"/>
    <x v="1"/>
    <m/>
  </r>
  <r>
    <n v="1442"/>
    <x v="1"/>
    <x v="110"/>
    <s v="Rice"/>
    <x v="1"/>
    <x v="4"/>
    <n v="129"/>
    <n v="225"/>
    <n v="29025"/>
    <n v="8"/>
    <x v="0"/>
    <m/>
  </r>
  <r>
    <n v="1443"/>
    <x v="1"/>
    <x v="111"/>
    <s v="Snacks"/>
    <x v="5"/>
    <x v="1"/>
    <n v="186"/>
    <n v="225"/>
    <n v="41850"/>
    <n v="7"/>
    <x v="1"/>
    <m/>
  </r>
  <r>
    <n v="1444"/>
    <x v="0"/>
    <x v="112"/>
    <s v="Juice"/>
    <x v="3"/>
    <x v="1"/>
    <n v="226"/>
    <n v="225"/>
    <n v="50850"/>
    <n v="13"/>
    <x v="0"/>
    <n v="3"/>
  </r>
  <r>
    <n v="1445"/>
    <x v="1"/>
    <x v="113"/>
    <s v="Juice"/>
    <x v="3"/>
    <x v="3"/>
    <n v="46"/>
    <n v="135"/>
    <n v="6210"/>
    <n v="19"/>
    <x v="2"/>
    <n v="4"/>
  </r>
  <r>
    <n v="1446"/>
    <x v="0"/>
    <x v="114"/>
    <s v="Juice"/>
    <x v="3"/>
    <x v="0"/>
    <n v="224"/>
    <n v="180"/>
    <n v="40320"/>
    <n v="23"/>
    <x v="2"/>
    <n v="3"/>
  </r>
  <r>
    <n v="1447"/>
    <x v="0"/>
    <x v="115"/>
    <s v="Milk"/>
    <x v="2"/>
    <x v="2"/>
    <n v="200"/>
    <n v="135"/>
    <n v="27000"/>
    <n v="13"/>
    <x v="1"/>
    <n v="2"/>
  </r>
  <r>
    <n v="1448"/>
    <x v="1"/>
    <x v="116"/>
    <s v="Snacks"/>
    <x v="5"/>
    <x v="2"/>
    <n v="155"/>
    <n v="225"/>
    <n v="34875"/>
    <n v="17"/>
    <x v="1"/>
    <n v="2"/>
  </r>
  <r>
    <n v="1449"/>
    <x v="0"/>
    <x v="0"/>
    <s v="Biscuits"/>
    <x v="0"/>
    <x v="0"/>
    <n v="194"/>
    <n v="135"/>
    <n v="26190"/>
    <n v="18"/>
    <x v="2"/>
    <n v="3"/>
  </r>
  <r>
    <n v="1450"/>
    <x v="1"/>
    <x v="1"/>
    <s v="Snacks"/>
    <x v="5"/>
    <x v="4"/>
    <n v="204"/>
    <n v="45"/>
    <n v="9180"/>
    <n v="8"/>
    <x v="2"/>
    <n v="5"/>
  </r>
  <r>
    <n v="1451"/>
    <x v="0"/>
    <x v="2"/>
    <s v="Bread"/>
    <x v="0"/>
    <x v="2"/>
    <n v="150"/>
    <n v="90"/>
    <n v="13500"/>
    <n v="15"/>
    <x v="1"/>
    <n v="3"/>
  </r>
  <r>
    <n v="1452"/>
    <x v="1"/>
    <x v="3"/>
    <s v="Snacks"/>
    <x v="5"/>
    <x v="1"/>
    <n v="97"/>
    <n v="45"/>
    <n v="4365"/>
    <n v="18"/>
    <x v="2"/>
    <n v="1"/>
  </r>
  <r>
    <n v="1453"/>
    <x v="0"/>
    <x v="4"/>
    <s v="Bread"/>
    <x v="0"/>
    <x v="3"/>
    <n v="215"/>
    <n v="45"/>
    <n v="9675"/>
    <n v="19"/>
    <x v="0"/>
    <n v="1"/>
  </r>
  <r>
    <n v="1454"/>
    <x v="0"/>
    <x v="5"/>
    <s v="Rice"/>
    <x v="1"/>
    <x v="2"/>
    <n v="174"/>
    <n v="45"/>
    <n v="7830"/>
    <n v="14"/>
    <x v="1"/>
    <n v="1"/>
  </r>
  <r>
    <n v="1455"/>
    <x v="0"/>
    <x v="6"/>
    <s v="Coke"/>
    <x v="3"/>
    <x v="4"/>
    <n v="143"/>
    <n v="225"/>
    <n v="32175"/>
    <n v="16"/>
    <x v="0"/>
    <n v="2"/>
  </r>
  <r>
    <n v="1456"/>
    <x v="1"/>
    <x v="7"/>
    <s v="Eggs"/>
    <x v="4"/>
    <x v="2"/>
    <n v="124"/>
    <n v="180"/>
    <n v="22320"/>
    <n v="20"/>
    <x v="2"/>
    <n v="1"/>
  </r>
  <r>
    <n v="1457"/>
    <x v="0"/>
    <x v="8"/>
    <s v="Rice"/>
    <x v="1"/>
    <x v="2"/>
    <n v="96"/>
    <n v="225"/>
    <n v="21600"/>
    <n v="15"/>
    <x v="1"/>
    <n v="3"/>
  </r>
  <r>
    <n v="1458"/>
    <x v="0"/>
    <x v="9"/>
    <s v="Paneer"/>
    <x v="2"/>
    <x v="4"/>
    <n v="207"/>
    <n v="135"/>
    <n v="27945"/>
    <n v="17"/>
    <x v="2"/>
    <m/>
  </r>
  <r>
    <n v="1459"/>
    <x v="0"/>
    <x v="10"/>
    <s v="Biscuits"/>
    <x v="0"/>
    <x v="3"/>
    <n v="241"/>
    <n v="45"/>
    <n v="10845"/>
    <n v="18"/>
    <x v="1"/>
    <n v="1"/>
  </r>
  <r>
    <n v="1460"/>
    <x v="0"/>
    <x v="11"/>
    <s v="Butter"/>
    <x v="2"/>
    <x v="0"/>
    <n v="213"/>
    <n v="45"/>
    <n v="9585"/>
    <n v="23"/>
    <x v="0"/>
    <n v="1"/>
  </r>
  <r>
    <n v="1461"/>
    <x v="0"/>
    <x v="12"/>
    <s v="Biscuits"/>
    <x v="0"/>
    <x v="2"/>
    <n v="218"/>
    <n v="135"/>
    <n v="29430"/>
    <n v="11"/>
    <x v="2"/>
    <n v="5"/>
  </r>
  <r>
    <n v="1462"/>
    <x v="0"/>
    <x v="13"/>
    <s v="Juice"/>
    <x v="3"/>
    <x v="4"/>
    <n v="69"/>
    <n v="225"/>
    <n v="15525"/>
    <n v="20"/>
    <x v="0"/>
    <n v="1"/>
  </r>
  <r>
    <n v="1463"/>
    <x v="1"/>
    <x v="14"/>
    <s v="Atta"/>
    <x v="1"/>
    <x v="0"/>
    <n v="206"/>
    <n v="45"/>
    <n v="9270"/>
    <n v="12"/>
    <x v="1"/>
    <m/>
  </r>
  <r>
    <n v="1464"/>
    <x v="0"/>
    <x v="15"/>
    <s v="Paneer"/>
    <x v="2"/>
    <x v="1"/>
    <n v="45"/>
    <n v="45"/>
    <n v="2025"/>
    <n v="18"/>
    <x v="1"/>
    <n v="1"/>
  </r>
  <r>
    <n v="1465"/>
    <x v="1"/>
    <x v="16"/>
    <s v="Milk"/>
    <x v="2"/>
    <x v="2"/>
    <n v="61"/>
    <n v="90"/>
    <n v="5490"/>
    <n v="19"/>
    <x v="2"/>
    <n v="1"/>
  </r>
  <r>
    <n v="1466"/>
    <x v="0"/>
    <x v="17"/>
    <s v="Snacks"/>
    <x v="5"/>
    <x v="0"/>
    <n v="161"/>
    <n v="135"/>
    <n v="21735"/>
    <n v="22"/>
    <x v="1"/>
    <m/>
  </r>
  <r>
    <n v="1467"/>
    <x v="0"/>
    <x v="18"/>
    <s v="Eggs"/>
    <x v="4"/>
    <x v="2"/>
    <n v="93"/>
    <n v="90"/>
    <n v="8370"/>
    <n v="18"/>
    <x v="2"/>
    <n v="2"/>
  </r>
  <r>
    <n v="1468"/>
    <x v="0"/>
    <x v="19"/>
    <s v="Milk"/>
    <x v="2"/>
    <x v="0"/>
    <n v="100"/>
    <n v="180"/>
    <n v="18000"/>
    <n v="25"/>
    <x v="2"/>
    <n v="4"/>
  </r>
  <r>
    <n v="1469"/>
    <x v="0"/>
    <x v="20"/>
    <s v="Eggs"/>
    <x v="4"/>
    <x v="0"/>
    <n v="154"/>
    <n v="45"/>
    <n v="6930"/>
    <n v="16"/>
    <x v="1"/>
    <n v="3"/>
  </r>
  <r>
    <n v="1470"/>
    <x v="1"/>
    <x v="21"/>
    <s v="Coke"/>
    <x v="3"/>
    <x v="4"/>
    <n v="91"/>
    <n v="225"/>
    <n v="20475"/>
    <n v="12"/>
    <x v="2"/>
    <n v="2"/>
  </r>
  <r>
    <n v="1471"/>
    <x v="1"/>
    <x v="22"/>
    <s v="Milk"/>
    <x v="2"/>
    <x v="2"/>
    <n v="44"/>
    <n v="90"/>
    <n v="3960"/>
    <n v="12"/>
    <x v="1"/>
    <n v="1"/>
  </r>
  <r>
    <n v="1472"/>
    <x v="1"/>
    <x v="23"/>
    <s v="Coke"/>
    <x v="3"/>
    <x v="0"/>
    <n v="40"/>
    <n v="135"/>
    <n v="5400"/>
    <n v="11"/>
    <x v="2"/>
    <n v="3"/>
  </r>
  <r>
    <n v="1473"/>
    <x v="0"/>
    <x v="24"/>
    <s v="Butter"/>
    <x v="2"/>
    <x v="3"/>
    <n v="117"/>
    <n v="225"/>
    <n v="26325"/>
    <n v="22"/>
    <x v="0"/>
    <n v="1"/>
  </r>
  <r>
    <n v="1474"/>
    <x v="1"/>
    <x v="25"/>
    <s v="Milk"/>
    <x v="2"/>
    <x v="1"/>
    <n v="151"/>
    <n v="180"/>
    <n v="27180"/>
    <n v="14"/>
    <x v="2"/>
    <n v="5"/>
  </r>
  <r>
    <n v="1475"/>
    <x v="0"/>
    <x v="26"/>
    <s v="Eggs"/>
    <x v="4"/>
    <x v="3"/>
    <n v="158"/>
    <n v="135"/>
    <n v="21330"/>
    <n v="16"/>
    <x v="1"/>
    <n v="3"/>
  </r>
  <r>
    <n v="1476"/>
    <x v="0"/>
    <x v="27"/>
    <s v="Rice"/>
    <x v="1"/>
    <x v="2"/>
    <n v="208"/>
    <n v="135"/>
    <n v="28080"/>
    <n v="18"/>
    <x v="2"/>
    <m/>
  </r>
  <r>
    <n v="1477"/>
    <x v="1"/>
    <x v="28"/>
    <s v="Milk"/>
    <x v="2"/>
    <x v="1"/>
    <n v="56"/>
    <n v="45"/>
    <n v="2520"/>
    <n v="15"/>
    <x v="0"/>
    <m/>
  </r>
  <r>
    <n v="1478"/>
    <x v="1"/>
    <x v="29"/>
    <s v="Snacks"/>
    <x v="5"/>
    <x v="2"/>
    <n v="100"/>
    <n v="135"/>
    <n v="13500"/>
    <n v="8"/>
    <x v="2"/>
    <n v="3"/>
  </r>
  <r>
    <n v="1479"/>
    <x v="0"/>
    <x v="30"/>
    <s v="Snacks"/>
    <x v="5"/>
    <x v="4"/>
    <n v="249"/>
    <n v="45"/>
    <n v="11205"/>
    <n v="18"/>
    <x v="0"/>
    <n v="5"/>
  </r>
  <r>
    <n v="1480"/>
    <x v="1"/>
    <x v="31"/>
    <s v="Bread"/>
    <x v="0"/>
    <x v="3"/>
    <n v="129"/>
    <n v="180"/>
    <n v="23220"/>
    <n v="10"/>
    <x v="1"/>
    <n v="3"/>
  </r>
  <r>
    <n v="1481"/>
    <x v="1"/>
    <x v="32"/>
    <s v="Eggs"/>
    <x v="4"/>
    <x v="2"/>
    <n v="85"/>
    <n v="135"/>
    <n v="11475"/>
    <n v="14"/>
    <x v="1"/>
    <n v="1"/>
  </r>
  <r>
    <n v="1482"/>
    <x v="0"/>
    <x v="33"/>
    <s v="Milk"/>
    <x v="2"/>
    <x v="4"/>
    <n v="35"/>
    <n v="45"/>
    <n v="1575"/>
    <n v="11"/>
    <x v="0"/>
    <n v="4"/>
  </r>
  <r>
    <n v="1483"/>
    <x v="0"/>
    <x v="34"/>
    <s v="Juice"/>
    <x v="3"/>
    <x v="2"/>
    <n v="223"/>
    <n v="180"/>
    <n v="40140"/>
    <n v="21"/>
    <x v="0"/>
    <n v="3"/>
  </r>
  <r>
    <n v="1484"/>
    <x v="0"/>
    <x v="35"/>
    <s v="Paneer"/>
    <x v="2"/>
    <x v="1"/>
    <n v="136"/>
    <n v="90"/>
    <n v="12240"/>
    <n v="11"/>
    <x v="1"/>
    <n v="4"/>
  </r>
  <r>
    <n v="1485"/>
    <x v="1"/>
    <x v="36"/>
    <s v="Coke"/>
    <x v="3"/>
    <x v="3"/>
    <n v="119"/>
    <n v="180"/>
    <n v="21420"/>
    <n v="14"/>
    <x v="1"/>
    <n v="1"/>
  </r>
  <r>
    <n v="1486"/>
    <x v="1"/>
    <x v="37"/>
    <s v="Coke"/>
    <x v="3"/>
    <x v="4"/>
    <n v="44"/>
    <n v="180"/>
    <n v="7920"/>
    <n v="15"/>
    <x v="1"/>
    <m/>
  </r>
  <r>
    <n v="1487"/>
    <x v="1"/>
    <x v="38"/>
    <s v="Coke"/>
    <x v="3"/>
    <x v="0"/>
    <n v="230"/>
    <n v="45"/>
    <n v="10350"/>
    <n v="14"/>
    <x v="2"/>
    <n v="4"/>
  </r>
  <r>
    <n v="1488"/>
    <x v="0"/>
    <x v="39"/>
    <s v="Paneer"/>
    <x v="2"/>
    <x v="4"/>
    <n v="35"/>
    <n v="90"/>
    <n v="3150"/>
    <n v="19"/>
    <x v="2"/>
    <n v="3"/>
  </r>
  <r>
    <n v="1489"/>
    <x v="0"/>
    <x v="40"/>
    <s v="Snacks"/>
    <x v="5"/>
    <x v="2"/>
    <n v="228"/>
    <n v="45"/>
    <n v="10260"/>
    <n v="21"/>
    <x v="2"/>
    <n v="2"/>
  </r>
  <r>
    <n v="1490"/>
    <x v="1"/>
    <x v="41"/>
    <s v="Eggs"/>
    <x v="4"/>
    <x v="1"/>
    <n v="100"/>
    <n v="225"/>
    <n v="22500"/>
    <n v="14"/>
    <x v="2"/>
    <n v="2"/>
  </r>
  <r>
    <n v="1491"/>
    <x v="0"/>
    <x v="42"/>
    <s v="Biscuits"/>
    <x v="0"/>
    <x v="3"/>
    <n v="47"/>
    <n v="135"/>
    <n v="6345"/>
    <n v="21"/>
    <x v="2"/>
    <n v="3"/>
  </r>
  <r>
    <n v="1492"/>
    <x v="0"/>
    <x v="43"/>
    <s v="Biscuits"/>
    <x v="0"/>
    <x v="1"/>
    <n v="194"/>
    <n v="90"/>
    <n v="17460"/>
    <n v="16"/>
    <x v="0"/>
    <m/>
  </r>
  <r>
    <n v="1493"/>
    <x v="1"/>
    <x v="44"/>
    <s v="Atta"/>
    <x v="1"/>
    <x v="3"/>
    <n v="215"/>
    <n v="45"/>
    <n v="9675"/>
    <n v="8"/>
    <x v="0"/>
    <n v="1"/>
  </r>
  <r>
    <n v="1494"/>
    <x v="1"/>
    <x v="45"/>
    <s v="Butter"/>
    <x v="2"/>
    <x v="3"/>
    <n v="156"/>
    <n v="180"/>
    <n v="28080"/>
    <n v="17"/>
    <x v="2"/>
    <n v="3"/>
  </r>
  <r>
    <n v="1495"/>
    <x v="1"/>
    <x v="46"/>
    <s v="Eggs"/>
    <x v="4"/>
    <x v="4"/>
    <n v="42"/>
    <n v="225"/>
    <n v="9450"/>
    <n v="14"/>
    <x v="2"/>
    <n v="5"/>
  </r>
  <r>
    <n v="1496"/>
    <x v="1"/>
    <x v="47"/>
    <s v="Milk"/>
    <x v="2"/>
    <x v="4"/>
    <n v="132"/>
    <n v="225"/>
    <n v="29700"/>
    <n v="16"/>
    <x v="2"/>
    <n v="3"/>
  </r>
  <r>
    <n v="1497"/>
    <x v="0"/>
    <x v="48"/>
    <s v="Coke"/>
    <x v="3"/>
    <x v="3"/>
    <n v="102"/>
    <n v="180"/>
    <n v="18360"/>
    <n v="16"/>
    <x v="1"/>
    <n v="4"/>
  </r>
  <r>
    <n v="1498"/>
    <x v="1"/>
    <x v="49"/>
    <s v="Paneer"/>
    <x v="2"/>
    <x v="3"/>
    <n v="48"/>
    <n v="135"/>
    <n v="6480"/>
    <n v="14"/>
    <x v="1"/>
    <n v="2"/>
  </r>
  <r>
    <n v="1499"/>
    <x v="0"/>
    <x v="50"/>
    <s v="Bread"/>
    <x v="0"/>
    <x v="2"/>
    <n v="229"/>
    <n v="135"/>
    <n v="30915"/>
    <n v="12"/>
    <x v="1"/>
    <n v="5"/>
  </r>
  <r>
    <n v="1500"/>
    <x v="0"/>
    <x v="51"/>
    <s v="Biscuits"/>
    <x v="0"/>
    <x v="4"/>
    <n v="52"/>
    <n v="90"/>
    <n v="4680"/>
    <n v="25"/>
    <x v="2"/>
    <n v="5"/>
  </r>
  <r>
    <n v="1501"/>
    <x v="1"/>
    <x v="52"/>
    <s v="Atta"/>
    <x v="1"/>
    <x v="3"/>
    <n v="112"/>
    <n v="45"/>
    <n v="5040"/>
    <n v="18"/>
    <x v="1"/>
    <n v="3"/>
  </r>
  <r>
    <n v="1502"/>
    <x v="0"/>
    <x v="53"/>
    <s v="Butter"/>
    <x v="2"/>
    <x v="4"/>
    <n v="59"/>
    <n v="180"/>
    <n v="10620"/>
    <n v="14"/>
    <x v="2"/>
    <n v="2"/>
  </r>
  <r>
    <n v="1503"/>
    <x v="1"/>
    <x v="54"/>
    <s v="Atta"/>
    <x v="1"/>
    <x v="0"/>
    <n v="162"/>
    <n v="90"/>
    <n v="14580"/>
    <n v="10"/>
    <x v="1"/>
    <m/>
  </r>
  <r>
    <n v="1504"/>
    <x v="0"/>
    <x v="55"/>
    <s v="Atta"/>
    <x v="1"/>
    <x v="2"/>
    <n v="184"/>
    <n v="135"/>
    <n v="24840"/>
    <n v="18"/>
    <x v="2"/>
    <n v="1"/>
  </r>
  <r>
    <n v="1505"/>
    <x v="1"/>
    <x v="56"/>
    <s v="Bread"/>
    <x v="0"/>
    <x v="3"/>
    <n v="113"/>
    <n v="180"/>
    <n v="20340"/>
    <n v="11"/>
    <x v="2"/>
    <m/>
  </r>
  <r>
    <n v="1506"/>
    <x v="0"/>
    <x v="57"/>
    <s v="Paneer"/>
    <x v="2"/>
    <x v="2"/>
    <n v="158"/>
    <n v="180"/>
    <n v="28440"/>
    <n v="12"/>
    <x v="1"/>
    <n v="3"/>
  </r>
  <r>
    <n v="1507"/>
    <x v="0"/>
    <x v="58"/>
    <s v="Eggs"/>
    <x v="4"/>
    <x v="1"/>
    <n v="189"/>
    <n v="225"/>
    <n v="42525"/>
    <n v="22"/>
    <x v="1"/>
    <n v="4"/>
  </r>
  <r>
    <n v="1508"/>
    <x v="1"/>
    <x v="59"/>
    <s v="Juice"/>
    <x v="3"/>
    <x v="2"/>
    <n v="98"/>
    <n v="225"/>
    <n v="22050"/>
    <n v="19"/>
    <x v="2"/>
    <m/>
  </r>
  <r>
    <n v="1509"/>
    <x v="0"/>
    <x v="60"/>
    <s v="Paneer"/>
    <x v="2"/>
    <x v="4"/>
    <n v="162"/>
    <n v="90"/>
    <n v="14580"/>
    <n v="13"/>
    <x v="0"/>
    <n v="4"/>
  </r>
  <r>
    <n v="1510"/>
    <x v="1"/>
    <x v="61"/>
    <s v="Paneer"/>
    <x v="2"/>
    <x v="2"/>
    <n v="56"/>
    <n v="45"/>
    <n v="2520"/>
    <n v="20"/>
    <x v="2"/>
    <n v="4"/>
  </r>
  <r>
    <n v="1511"/>
    <x v="0"/>
    <x v="62"/>
    <s v="Paneer"/>
    <x v="2"/>
    <x v="3"/>
    <n v="197"/>
    <n v="135"/>
    <n v="26595"/>
    <n v="22"/>
    <x v="2"/>
    <n v="2"/>
  </r>
  <r>
    <n v="1512"/>
    <x v="0"/>
    <x v="63"/>
    <s v="Snacks"/>
    <x v="5"/>
    <x v="0"/>
    <n v="38"/>
    <n v="180"/>
    <n v="6840"/>
    <n v="12"/>
    <x v="1"/>
    <m/>
  </r>
  <r>
    <n v="1513"/>
    <x v="1"/>
    <x v="64"/>
    <s v="Bread"/>
    <x v="0"/>
    <x v="1"/>
    <n v="91"/>
    <n v="90"/>
    <n v="8190"/>
    <n v="10"/>
    <x v="2"/>
    <n v="2"/>
  </r>
  <r>
    <n v="1514"/>
    <x v="0"/>
    <x v="65"/>
    <s v="Paneer"/>
    <x v="2"/>
    <x v="2"/>
    <n v="245"/>
    <n v="180"/>
    <n v="44100"/>
    <n v="19"/>
    <x v="2"/>
    <m/>
  </r>
  <r>
    <n v="1515"/>
    <x v="0"/>
    <x v="66"/>
    <s v="Biscuits"/>
    <x v="0"/>
    <x v="4"/>
    <n v="68"/>
    <n v="90"/>
    <n v="6120"/>
    <n v="21"/>
    <x v="2"/>
    <m/>
  </r>
  <r>
    <n v="1516"/>
    <x v="0"/>
    <x v="67"/>
    <s v="Bread"/>
    <x v="0"/>
    <x v="3"/>
    <n v="194"/>
    <n v="45"/>
    <n v="8730"/>
    <n v="16"/>
    <x v="2"/>
    <n v="3"/>
  </r>
  <r>
    <n v="1517"/>
    <x v="1"/>
    <x v="68"/>
    <s v="Eggs"/>
    <x v="4"/>
    <x v="4"/>
    <n v="216"/>
    <n v="45"/>
    <n v="9720"/>
    <n v="9"/>
    <x v="2"/>
    <m/>
  </r>
  <r>
    <n v="1518"/>
    <x v="1"/>
    <x v="69"/>
    <s v="Atta"/>
    <x v="1"/>
    <x v="1"/>
    <n v="42"/>
    <n v="45"/>
    <n v="1890"/>
    <n v="17"/>
    <x v="1"/>
    <n v="4"/>
  </r>
  <r>
    <n v="1519"/>
    <x v="0"/>
    <x v="70"/>
    <s v="Rice"/>
    <x v="1"/>
    <x v="4"/>
    <n v="215"/>
    <n v="135"/>
    <n v="29025"/>
    <n v="21"/>
    <x v="1"/>
    <n v="5"/>
  </r>
  <r>
    <n v="1520"/>
    <x v="0"/>
    <x v="71"/>
    <s v="Butter"/>
    <x v="2"/>
    <x v="1"/>
    <n v="64"/>
    <n v="135"/>
    <n v="8640"/>
    <n v="12"/>
    <x v="1"/>
    <n v="3"/>
  </r>
  <r>
    <n v="1521"/>
    <x v="1"/>
    <x v="72"/>
    <s v="Juice"/>
    <x v="3"/>
    <x v="1"/>
    <n v="42"/>
    <n v="225"/>
    <n v="9450"/>
    <n v="15"/>
    <x v="2"/>
    <n v="5"/>
  </r>
  <r>
    <n v="1522"/>
    <x v="1"/>
    <x v="73"/>
    <s v="Rice"/>
    <x v="1"/>
    <x v="1"/>
    <n v="198"/>
    <n v="135"/>
    <n v="26730"/>
    <n v="9"/>
    <x v="2"/>
    <n v="4"/>
  </r>
  <r>
    <n v="1523"/>
    <x v="1"/>
    <x v="74"/>
    <s v="Juice"/>
    <x v="3"/>
    <x v="0"/>
    <n v="129"/>
    <n v="225"/>
    <n v="29025"/>
    <n v="12"/>
    <x v="0"/>
    <n v="4"/>
  </r>
  <r>
    <n v="1524"/>
    <x v="0"/>
    <x v="75"/>
    <s v="Biscuits"/>
    <x v="0"/>
    <x v="3"/>
    <n v="216"/>
    <n v="180"/>
    <n v="38880"/>
    <n v="12"/>
    <x v="1"/>
    <m/>
  </r>
  <r>
    <n v="1525"/>
    <x v="0"/>
    <x v="76"/>
    <s v="Bread"/>
    <x v="0"/>
    <x v="2"/>
    <n v="146"/>
    <n v="135"/>
    <n v="19710"/>
    <n v="18"/>
    <x v="1"/>
    <n v="1"/>
  </r>
  <r>
    <n v="1526"/>
    <x v="1"/>
    <x v="77"/>
    <s v="Coke"/>
    <x v="3"/>
    <x v="0"/>
    <n v="90"/>
    <n v="45"/>
    <n v="4050"/>
    <n v="19"/>
    <x v="1"/>
    <n v="3"/>
  </r>
  <r>
    <n v="1527"/>
    <x v="0"/>
    <x v="78"/>
    <s v="Milk"/>
    <x v="2"/>
    <x v="2"/>
    <n v="42"/>
    <n v="135"/>
    <n v="5670"/>
    <n v="20"/>
    <x v="2"/>
    <n v="4"/>
  </r>
  <r>
    <n v="1528"/>
    <x v="1"/>
    <x v="79"/>
    <s v="Atta"/>
    <x v="1"/>
    <x v="0"/>
    <n v="58"/>
    <n v="225"/>
    <n v="13050"/>
    <n v="16"/>
    <x v="1"/>
    <m/>
  </r>
  <r>
    <n v="1529"/>
    <x v="1"/>
    <x v="80"/>
    <s v="Juice"/>
    <x v="3"/>
    <x v="3"/>
    <n v="139"/>
    <n v="90"/>
    <n v="12510"/>
    <n v="12"/>
    <x v="0"/>
    <n v="4"/>
  </r>
  <r>
    <n v="1530"/>
    <x v="0"/>
    <x v="81"/>
    <s v="Coke"/>
    <x v="3"/>
    <x v="4"/>
    <n v="250"/>
    <n v="45"/>
    <n v="11250"/>
    <n v="12"/>
    <x v="0"/>
    <m/>
  </r>
  <r>
    <n v="1531"/>
    <x v="0"/>
    <x v="82"/>
    <s v="Snacks"/>
    <x v="5"/>
    <x v="4"/>
    <n v="137"/>
    <n v="180"/>
    <n v="24660"/>
    <n v="18"/>
    <x v="1"/>
    <n v="1"/>
  </r>
  <r>
    <n v="1532"/>
    <x v="1"/>
    <x v="83"/>
    <s v="Milk"/>
    <x v="2"/>
    <x v="1"/>
    <n v="83"/>
    <n v="90"/>
    <n v="7470"/>
    <n v="11"/>
    <x v="2"/>
    <n v="3"/>
  </r>
  <r>
    <n v="1533"/>
    <x v="1"/>
    <x v="84"/>
    <s v="Eggs"/>
    <x v="4"/>
    <x v="2"/>
    <n v="138"/>
    <n v="45"/>
    <n v="6210"/>
    <n v="13"/>
    <x v="1"/>
    <n v="4"/>
  </r>
  <r>
    <n v="1534"/>
    <x v="0"/>
    <x v="85"/>
    <s v="Juice"/>
    <x v="3"/>
    <x v="0"/>
    <n v="56"/>
    <n v="180"/>
    <n v="10080"/>
    <n v="17"/>
    <x v="1"/>
    <n v="4"/>
  </r>
  <r>
    <n v="1535"/>
    <x v="1"/>
    <x v="86"/>
    <s v="Coke"/>
    <x v="3"/>
    <x v="1"/>
    <n v="67"/>
    <n v="225"/>
    <n v="15075"/>
    <n v="20"/>
    <x v="2"/>
    <n v="1"/>
  </r>
  <r>
    <n v="1536"/>
    <x v="0"/>
    <x v="87"/>
    <s v="Biscuits"/>
    <x v="0"/>
    <x v="0"/>
    <n v="228"/>
    <n v="90"/>
    <n v="20520"/>
    <n v="23"/>
    <x v="0"/>
    <n v="3"/>
  </r>
  <r>
    <n v="1537"/>
    <x v="0"/>
    <x v="88"/>
    <s v="Atta"/>
    <x v="1"/>
    <x v="1"/>
    <n v="45"/>
    <n v="225"/>
    <n v="10125"/>
    <n v="12"/>
    <x v="0"/>
    <n v="2"/>
  </r>
  <r>
    <n v="1538"/>
    <x v="0"/>
    <x v="89"/>
    <s v="Rice"/>
    <x v="1"/>
    <x v="0"/>
    <n v="203"/>
    <n v="180"/>
    <n v="36540"/>
    <n v="14"/>
    <x v="2"/>
    <n v="2"/>
  </r>
  <r>
    <n v="1539"/>
    <x v="1"/>
    <x v="90"/>
    <s v="Rice"/>
    <x v="1"/>
    <x v="2"/>
    <n v="69"/>
    <n v="45"/>
    <n v="3105"/>
    <n v="13"/>
    <x v="1"/>
    <n v="2"/>
  </r>
  <r>
    <n v="1540"/>
    <x v="1"/>
    <x v="91"/>
    <s v="Rice"/>
    <x v="1"/>
    <x v="2"/>
    <n v="97"/>
    <n v="90"/>
    <n v="8730"/>
    <n v="10"/>
    <x v="1"/>
    <n v="3"/>
  </r>
  <r>
    <n v="1541"/>
    <x v="1"/>
    <x v="92"/>
    <s v="Eggs"/>
    <x v="4"/>
    <x v="2"/>
    <n v="62"/>
    <n v="90"/>
    <n v="5580"/>
    <n v="9"/>
    <x v="2"/>
    <n v="1"/>
  </r>
  <r>
    <n v="1542"/>
    <x v="0"/>
    <x v="93"/>
    <s v="Atta"/>
    <x v="1"/>
    <x v="0"/>
    <n v="199"/>
    <n v="45"/>
    <n v="8955"/>
    <n v="19"/>
    <x v="1"/>
    <m/>
  </r>
  <r>
    <n v="1543"/>
    <x v="1"/>
    <x v="94"/>
    <s v="Paneer"/>
    <x v="2"/>
    <x v="1"/>
    <n v="81"/>
    <n v="225"/>
    <n v="18225"/>
    <n v="7"/>
    <x v="0"/>
    <n v="1"/>
  </r>
  <r>
    <n v="1544"/>
    <x v="1"/>
    <x v="95"/>
    <s v="Coke"/>
    <x v="3"/>
    <x v="0"/>
    <n v="196"/>
    <n v="225"/>
    <n v="44100"/>
    <n v="13"/>
    <x v="1"/>
    <n v="1"/>
  </r>
  <r>
    <n v="1545"/>
    <x v="0"/>
    <x v="96"/>
    <s v="Paneer"/>
    <x v="2"/>
    <x v="0"/>
    <n v="179"/>
    <n v="180"/>
    <n v="32220"/>
    <n v="11"/>
    <x v="0"/>
    <n v="1"/>
  </r>
  <r>
    <n v="1546"/>
    <x v="0"/>
    <x v="97"/>
    <s v="Paneer"/>
    <x v="2"/>
    <x v="3"/>
    <n v="93"/>
    <n v="135"/>
    <n v="12555"/>
    <n v="21"/>
    <x v="1"/>
    <n v="5"/>
  </r>
  <r>
    <n v="1547"/>
    <x v="0"/>
    <x v="98"/>
    <s v="Paneer"/>
    <x v="2"/>
    <x v="1"/>
    <n v="37"/>
    <n v="225"/>
    <n v="8325"/>
    <n v="25"/>
    <x v="2"/>
    <n v="5"/>
  </r>
  <r>
    <n v="1548"/>
    <x v="0"/>
    <x v="99"/>
    <s v="Butter"/>
    <x v="2"/>
    <x v="4"/>
    <n v="43"/>
    <n v="90"/>
    <n v="3870"/>
    <n v="13"/>
    <x v="2"/>
    <n v="1"/>
  </r>
  <r>
    <n v="1549"/>
    <x v="1"/>
    <x v="100"/>
    <s v="Snacks"/>
    <x v="5"/>
    <x v="3"/>
    <n v="219"/>
    <n v="135"/>
    <n v="29565"/>
    <n v="15"/>
    <x v="0"/>
    <n v="2"/>
  </r>
  <r>
    <n v="1550"/>
    <x v="0"/>
    <x v="101"/>
    <s v="Biscuits"/>
    <x v="0"/>
    <x v="3"/>
    <n v="217"/>
    <n v="90"/>
    <n v="19530"/>
    <n v="12"/>
    <x v="2"/>
    <n v="1"/>
  </r>
  <r>
    <n v="1551"/>
    <x v="0"/>
    <x v="102"/>
    <s v="Juice"/>
    <x v="3"/>
    <x v="4"/>
    <n v="63"/>
    <n v="225"/>
    <n v="14175"/>
    <n v="17"/>
    <x v="2"/>
    <n v="5"/>
  </r>
  <r>
    <n v="1552"/>
    <x v="1"/>
    <x v="103"/>
    <s v="Butter"/>
    <x v="2"/>
    <x v="2"/>
    <n v="46"/>
    <n v="90"/>
    <n v="4140"/>
    <n v="11"/>
    <x v="0"/>
    <n v="5"/>
  </r>
  <r>
    <n v="1553"/>
    <x v="0"/>
    <x v="104"/>
    <s v="Butter"/>
    <x v="2"/>
    <x v="4"/>
    <n v="62"/>
    <n v="180"/>
    <n v="11160"/>
    <n v="14"/>
    <x v="0"/>
    <m/>
  </r>
  <r>
    <n v="1554"/>
    <x v="0"/>
    <x v="105"/>
    <s v="Eggs"/>
    <x v="4"/>
    <x v="0"/>
    <n v="123"/>
    <n v="45"/>
    <n v="5535"/>
    <n v="10"/>
    <x v="2"/>
    <n v="5"/>
  </r>
  <r>
    <n v="1555"/>
    <x v="1"/>
    <x v="106"/>
    <s v="Juice"/>
    <x v="3"/>
    <x v="3"/>
    <n v="54"/>
    <n v="45"/>
    <n v="2430"/>
    <n v="13"/>
    <x v="0"/>
    <n v="4"/>
  </r>
  <r>
    <n v="1556"/>
    <x v="0"/>
    <x v="107"/>
    <s v="Bread"/>
    <x v="0"/>
    <x v="1"/>
    <n v="85"/>
    <n v="90"/>
    <n v="7650"/>
    <n v="12"/>
    <x v="2"/>
    <n v="5"/>
  </r>
  <r>
    <n v="1557"/>
    <x v="1"/>
    <x v="108"/>
    <s v="Eggs"/>
    <x v="4"/>
    <x v="1"/>
    <n v="125"/>
    <n v="180"/>
    <n v="22500"/>
    <n v="16"/>
    <x v="1"/>
    <n v="2"/>
  </r>
  <r>
    <n v="1558"/>
    <x v="0"/>
    <x v="109"/>
    <s v="Paneer"/>
    <x v="2"/>
    <x v="0"/>
    <n v="229"/>
    <n v="90"/>
    <n v="20610"/>
    <n v="12"/>
    <x v="1"/>
    <m/>
  </r>
  <r>
    <n v="1559"/>
    <x v="0"/>
    <x v="110"/>
    <s v="Milk"/>
    <x v="2"/>
    <x v="2"/>
    <n v="70"/>
    <n v="90"/>
    <n v="6300"/>
    <n v="14"/>
    <x v="0"/>
    <n v="5"/>
  </r>
  <r>
    <n v="1560"/>
    <x v="0"/>
    <x v="111"/>
    <s v="Milk"/>
    <x v="2"/>
    <x v="2"/>
    <n v="141"/>
    <n v="180"/>
    <n v="25380"/>
    <n v="10"/>
    <x v="0"/>
    <n v="5"/>
  </r>
  <r>
    <n v="1561"/>
    <x v="0"/>
    <x v="112"/>
    <s v="Biscuits"/>
    <x v="0"/>
    <x v="4"/>
    <n v="135"/>
    <n v="180"/>
    <n v="24300"/>
    <n v="23"/>
    <x v="2"/>
    <m/>
  </r>
  <r>
    <n v="1562"/>
    <x v="0"/>
    <x v="113"/>
    <s v="Rice"/>
    <x v="1"/>
    <x v="0"/>
    <n v="149"/>
    <n v="135"/>
    <n v="20115"/>
    <n v="14"/>
    <x v="1"/>
    <n v="3"/>
  </r>
  <r>
    <n v="1563"/>
    <x v="1"/>
    <x v="114"/>
    <s v="Milk"/>
    <x v="2"/>
    <x v="1"/>
    <n v="58"/>
    <n v="135"/>
    <n v="7830"/>
    <n v="20"/>
    <x v="2"/>
    <n v="4"/>
  </r>
  <r>
    <n v="1564"/>
    <x v="0"/>
    <x v="115"/>
    <s v="Atta"/>
    <x v="1"/>
    <x v="2"/>
    <n v="227"/>
    <n v="45"/>
    <n v="10215"/>
    <n v="19"/>
    <x v="0"/>
    <n v="3"/>
  </r>
  <r>
    <n v="1565"/>
    <x v="0"/>
    <x v="116"/>
    <s v="Biscuits"/>
    <x v="0"/>
    <x v="2"/>
    <n v="141"/>
    <n v="135"/>
    <n v="19035"/>
    <n v="12"/>
    <x v="2"/>
    <n v="4"/>
  </r>
  <r>
    <n v="1566"/>
    <x v="1"/>
    <x v="117"/>
    <s v="Biscuits"/>
    <x v="0"/>
    <x v="0"/>
    <n v="81"/>
    <n v="45"/>
    <n v="3645"/>
    <n v="19"/>
    <x v="1"/>
    <n v="5"/>
  </r>
  <r>
    <n v="1567"/>
    <x v="0"/>
    <x v="118"/>
    <s v="Milk"/>
    <x v="2"/>
    <x v="0"/>
    <n v="134"/>
    <n v="45"/>
    <n v="6030"/>
    <n v="24"/>
    <x v="0"/>
    <n v="3"/>
  </r>
  <r>
    <n v="1568"/>
    <x v="0"/>
    <x v="119"/>
    <s v="Milk"/>
    <x v="2"/>
    <x v="3"/>
    <n v="69"/>
    <n v="45"/>
    <n v="3105"/>
    <n v="24"/>
    <x v="2"/>
    <n v="5"/>
  </r>
  <r>
    <n v="1569"/>
    <x v="0"/>
    <x v="120"/>
    <s v="Eggs"/>
    <x v="4"/>
    <x v="4"/>
    <n v="183"/>
    <n v="45"/>
    <n v="8235"/>
    <n v="21"/>
    <x v="0"/>
    <n v="4"/>
  </r>
  <r>
    <n v="1570"/>
    <x v="0"/>
    <x v="121"/>
    <s v="Atta"/>
    <x v="1"/>
    <x v="3"/>
    <n v="84"/>
    <n v="180"/>
    <n v="15120"/>
    <n v="25"/>
    <x v="1"/>
    <n v="3"/>
  </r>
  <r>
    <n v="1571"/>
    <x v="0"/>
    <x v="122"/>
    <s v="Butter"/>
    <x v="2"/>
    <x v="1"/>
    <n v="249"/>
    <n v="135"/>
    <n v="33615"/>
    <n v="14"/>
    <x v="0"/>
    <n v="3"/>
  </r>
  <r>
    <n v="1572"/>
    <x v="1"/>
    <x v="123"/>
    <s v="Snacks"/>
    <x v="5"/>
    <x v="2"/>
    <n v="229"/>
    <n v="225"/>
    <n v="51525"/>
    <n v="17"/>
    <x v="0"/>
    <n v="2"/>
  </r>
  <r>
    <n v="1573"/>
    <x v="0"/>
    <x v="124"/>
    <s v="Juice"/>
    <x v="3"/>
    <x v="1"/>
    <n v="44"/>
    <n v="180"/>
    <n v="7920"/>
    <n v="12"/>
    <x v="0"/>
    <n v="4"/>
  </r>
  <r>
    <n v="1574"/>
    <x v="0"/>
    <x v="125"/>
    <s v="Biscuits"/>
    <x v="0"/>
    <x v="4"/>
    <n v="198"/>
    <n v="135"/>
    <n v="26730"/>
    <n v="10"/>
    <x v="0"/>
    <m/>
  </r>
  <r>
    <n v="1575"/>
    <x v="1"/>
    <x v="126"/>
    <s v="Coke"/>
    <x v="3"/>
    <x v="0"/>
    <n v="112"/>
    <n v="90"/>
    <n v="10080"/>
    <n v="18"/>
    <x v="0"/>
    <n v="2"/>
  </r>
  <r>
    <n v="1576"/>
    <x v="1"/>
    <x v="127"/>
    <s v="Milk"/>
    <x v="2"/>
    <x v="0"/>
    <n v="39"/>
    <n v="90"/>
    <n v="3510"/>
    <n v="12"/>
    <x v="2"/>
    <n v="5"/>
  </r>
  <r>
    <n v="1577"/>
    <x v="0"/>
    <x v="128"/>
    <s v="Rice"/>
    <x v="1"/>
    <x v="3"/>
    <n v="187"/>
    <n v="45"/>
    <n v="8415"/>
    <n v="12"/>
    <x v="1"/>
    <n v="2"/>
  </r>
  <r>
    <n v="1578"/>
    <x v="1"/>
    <x v="129"/>
    <s v="Snacks"/>
    <x v="5"/>
    <x v="3"/>
    <n v="182"/>
    <n v="180"/>
    <n v="32760"/>
    <n v="17"/>
    <x v="2"/>
    <n v="3"/>
  </r>
  <r>
    <n v="1579"/>
    <x v="1"/>
    <x v="130"/>
    <s v="Eggs"/>
    <x v="4"/>
    <x v="1"/>
    <n v="31"/>
    <n v="90"/>
    <n v="2790"/>
    <n v="18"/>
    <x v="2"/>
    <n v="5"/>
  </r>
  <r>
    <n v="1580"/>
    <x v="1"/>
    <x v="131"/>
    <s v="Milk"/>
    <x v="2"/>
    <x v="2"/>
    <n v="236"/>
    <n v="135"/>
    <n v="31860"/>
    <n v="19"/>
    <x v="1"/>
    <m/>
  </r>
  <r>
    <n v="1581"/>
    <x v="1"/>
    <x v="132"/>
    <s v="Rice"/>
    <x v="1"/>
    <x v="4"/>
    <n v="129"/>
    <n v="225"/>
    <n v="29025"/>
    <n v="8"/>
    <x v="0"/>
    <m/>
  </r>
  <r>
    <n v="1582"/>
    <x v="1"/>
    <x v="133"/>
    <s v="Snacks"/>
    <x v="5"/>
    <x v="1"/>
    <n v="186"/>
    <n v="225"/>
    <n v="41850"/>
    <n v="7"/>
    <x v="1"/>
    <m/>
  </r>
  <r>
    <n v="1583"/>
    <x v="0"/>
    <x v="134"/>
    <s v="Juice"/>
    <x v="3"/>
    <x v="1"/>
    <n v="226"/>
    <n v="225"/>
    <n v="50850"/>
    <n v="13"/>
    <x v="0"/>
    <n v="3"/>
  </r>
  <r>
    <n v="1584"/>
    <x v="1"/>
    <x v="135"/>
    <s v="Juice"/>
    <x v="3"/>
    <x v="3"/>
    <n v="46"/>
    <n v="135"/>
    <n v="6210"/>
    <n v="19"/>
    <x v="2"/>
    <n v="4"/>
  </r>
  <r>
    <n v="1585"/>
    <x v="0"/>
    <x v="136"/>
    <s v="Juice"/>
    <x v="3"/>
    <x v="0"/>
    <n v="224"/>
    <n v="180"/>
    <n v="40320"/>
    <n v="23"/>
    <x v="2"/>
    <n v="3"/>
  </r>
  <r>
    <n v="1586"/>
    <x v="0"/>
    <x v="137"/>
    <s v="Milk"/>
    <x v="2"/>
    <x v="2"/>
    <n v="200"/>
    <n v="135"/>
    <n v="27000"/>
    <n v="13"/>
    <x v="1"/>
    <n v="2"/>
  </r>
  <r>
    <n v="1587"/>
    <x v="1"/>
    <x v="138"/>
    <s v="Snacks"/>
    <x v="5"/>
    <x v="2"/>
    <n v="155"/>
    <n v="225"/>
    <n v="34875"/>
    <n v="17"/>
    <x v="1"/>
    <n v="2"/>
  </r>
  <r>
    <n v="1588"/>
    <x v="0"/>
    <x v="139"/>
    <s v="Biscuits"/>
    <x v="0"/>
    <x v="0"/>
    <n v="194"/>
    <n v="135"/>
    <n v="26190"/>
    <n v="18"/>
    <x v="2"/>
    <n v="3"/>
  </r>
  <r>
    <n v="1589"/>
    <x v="1"/>
    <x v="140"/>
    <s v="Snacks"/>
    <x v="5"/>
    <x v="4"/>
    <n v="204"/>
    <n v="45"/>
    <n v="9180"/>
    <n v="8"/>
    <x v="2"/>
    <n v="5"/>
  </r>
  <r>
    <n v="1590"/>
    <x v="0"/>
    <x v="141"/>
    <s v="Bread"/>
    <x v="0"/>
    <x v="2"/>
    <n v="150"/>
    <n v="90"/>
    <n v="13500"/>
    <n v="15"/>
    <x v="1"/>
    <n v="3"/>
  </r>
  <r>
    <n v="1591"/>
    <x v="1"/>
    <x v="142"/>
    <s v="Snacks"/>
    <x v="5"/>
    <x v="1"/>
    <n v="97"/>
    <n v="45"/>
    <n v="4365"/>
    <n v="18"/>
    <x v="2"/>
    <n v="1"/>
  </r>
  <r>
    <n v="1592"/>
    <x v="0"/>
    <x v="143"/>
    <s v="Bread"/>
    <x v="0"/>
    <x v="3"/>
    <n v="215"/>
    <n v="45"/>
    <n v="9675"/>
    <n v="19"/>
    <x v="0"/>
    <n v="1"/>
  </r>
  <r>
    <n v="1593"/>
    <x v="0"/>
    <x v="144"/>
    <s v="Rice"/>
    <x v="1"/>
    <x v="2"/>
    <n v="174"/>
    <n v="45"/>
    <n v="7830"/>
    <n v="14"/>
    <x v="1"/>
    <n v="1"/>
  </r>
  <r>
    <n v="1594"/>
    <x v="0"/>
    <x v="145"/>
    <s v="Coke"/>
    <x v="3"/>
    <x v="4"/>
    <n v="143"/>
    <n v="225"/>
    <n v="32175"/>
    <n v="16"/>
    <x v="0"/>
    <n v="2"/>
  </r>
  <r>
    <n v="1595"/>
    <x v="1"/>
    <x v="146"/>
    <s v="Eggs"/>
    <x v="4"/>
    <x v="2"/>
    <n v="124"/>
    <n v="180"/>
    <n v="22320"/>
    <n v="20"/>
    <x v="2"/>
    <n v="1"/>
  </r>
  <r>
    <n v="1596"/>
    <x v="0"/>
    <x v="147"/>
    <s v="Rice"/>
    <x v="1"/>
    <x v="2"/>
    <n v="96"/>
    <n v="225"/>
    <n v="21600"/>
    <n v="15"/>
    <x v="1"/>
    <n v="3"/>
  </r>
  <r>
    <n v="1597"/>
    <x v="0"/>
    <x v="148"/>
    <s v="Paneer"/>
    <x v="2"/>
    <x v="4"/>
    <n v="207"/>
    <n v="135"/>
    <n v="27945"/>
    <n v="17"/>
    <x v="2"/>
    <m/>
  </r>
  <r>
    <n v="1598"/>
    <x v="0"/>
    <x v="149"/>
    <s v="Biscuits"/>
    <x v="0"/>
    <x v="3"/>
    <n v="241"/>
    <n v="45"/>
    <n v="10845"/>
    <n v="18"/>
    <x v="1"/>
    <n v="1"/>
  </r>
  <r>
    <n v="1599"/>
    <x v="0"/>
    <x v="150"/>
    <s v="Butter"/>
    <x v="2"/>
    <x v="0"/>
    <n v="213"/>
    <n v="45"/>
    <n v="9585"/>
    <n v="23"/>
    <x v="0"/>
    <n v="1"/>
  </r>
  <r>
    <n v="1600"/>
    <x v="0"/>
    <x v="151"/>
    <s v="Biscuits"/>
    <x v="0"/>
    <x v="2"/>
    <n v="218"/>
    <n v="135"/>
    <n v="29430"/>
    <n v="11"/>
    <x v="2"/>
    <n v="5"/>
  </r>
  <r>
    <n v="1601"/>
    <x v="0"/>
    <x v="152"/>
    <s v="Juice"/>
    <x v="3"/>
    <x v="4"/>
    <n v="69"/>
    <n v="225"/>
    <n v="15525"/>
    <n v="20"/>
    <x v="0"/>
    <n v="1"/>
  </r>
  <r>
    <n v="1602"/>
    <x v="1"/>
    <x v="153"/>
    <s v="Atta"/>
    <x v="1"/>
    <x v="0"/>
    <n v="206"/>
    <n v="45"/>
    <n v="9270"/>
    <n v="12"/>
    <x v="1"/>
    <m/>
  </r>
  <r>
    <n v="1603"/>
    <x v="0"/>
    <x v="154"/>
    <s v="Paneer"/>
    <x v="2"/>
    <x v="1"/>
    <n v="45"/>
    <n v="45"/>
    <n v="2025"/>
    <n v="18"/>
    <x v="1"/>
    <n v="1"/>
  </r>
  <r>
    <n v="1604"/>
    <x v="1"/>
    <x v="155"/>
    <s v="Milk"/>
    <x v="2"/>
    <x v="2"/>
    <n v="61"/>
    <n v="90"/>
    <n v="5490"/>
    <n v="19"/>
    <x v="2"/>
    <n v="1"/>
  </r>
  <r>
    <n v="1605"/>
    <x v="0"/>
    <x v="156"/>
    <s v="Snacks"/>
    <x v="5"/>
    <x v="0"/>
    <n v="161"/>
    <n v="135"/>
    <n v="21735"/>
    <n v="22"/>
    <x v="1"/>
    <m/>
  </r>
  <r>
    <n v="1606"/>
    <x v="0"/>
    <x v="157"/>
    <s v="Eggs"/>
    <x v="4"/>
    <x v="2"/>
    <n v="93"/>
    <n v="90"/>
    <n v="8370"/>
    <n v="18"/>
    <x v="2"/>
    <n v="2"/>
  </r>
  <r>
    <n v="1607"/>
    <x v="0"/>
    <x v="158"/>
    <s v="Milk"/>
    <x v="2"/>
    <x v="0"/>
    <n v="100"/>
    <n v="180"/>
    <n v="18000"/>
    <n v="25"/>
    <x v="2"/>
    <n v="4"/>
  </r>
  <r>
    <n v="1608"/>
    <x v="0"/>
    <x v="159"/>
    <s v="Eggs"/>
    <x v="4"/>
    <x v="0"/>
    <n v="154"/>
    <n v="45"/>
    <n v="6930"/>
    <n v="16"/>
    <x v="1"/>
    <n v="3"/>
  </r>
  <r>
    <n v="1609"/>
    <x v="1"/>
    <x v="160"/>
    <s v="Coke"/>
    <x v="3"/>
    <x v="4"/>
    <n v="91"/>
    <n v="225"/>
    <n v="20475"/>
    <n v="12"/>
    <x v="2"/>
    <n v="2"/>
  </r>
  <r>
    <n v="1610"/>
    <x v="1"/>
    <x v="161"/>
    <s v="Milk"/>
    <x v="2"/>
    <x v="2"/>
    <n v="44"/>
    <n v="90"/>
    <n v="3960"/>
    <n v="12"/>
    <x v="1"/>
    <n v="1"/>
  </r>
  <r>
    <n v="1611"/>
    <x v="1"/>
    <x v="162"/>
    <s v="Coke"/>
    <x v="3"/>
    <x v="0"/>
    <n v="40"/>
    <n v="135"/>
    <n v="5400"/>
    <n v="11"/>
    <x v="2"/>
    <n v="3"/>
  </r>
  <r>
    <n v="1612"/>
    <x v="0"/>
    <x v="163"/>
    <s v="Butter"/>
    <x v="2"/>
    <x v="3"/>
    <n v="117"/>
    <n v="225"/>
    <n v="26325"/>
    <n v="22"/>
    <x v="0"/>
    <n v="1"/>
  </r>
  <r>
    <n v="1613"/>
    <x v="1"/>
    <x v="164"/>
    <s v="Milk"/>
    <x v="2"/>
    <x v="1"/>
    <n v="151"/>
    <n v="180"/>
    <n v="27180"/>
    <n v="14"/>
    <x v="2"/>
    <n v="5"/>
  </r>
  <r>
    <n v="1614"/>
    <x v="0"/>
    <x v="165"/>
    <s v="Eggs"/>
    <x v="4"/>
    <x v="3"/>
    <n v="158"/>
    <n v="135"/>
    <n v="21330"/>
    <n v="16"/>
    <x v="1"/>
    <n v="3"/>
  </r>
  <r>
    <n v="1615"/>
    <x v="0"/>
    <x v="166"/>
    <s v="Rice"/>
    <x v="1"/>
    <x v="2"/>
    <n v="208"/>
    <n v="135"/>
    <n v="28080"/>
    <n v="18"/>
    <x v="2"/>
    <m/>
  </r>
  <r>
    <n v="1616"/>
    <x v="1"/>
    <x v="167"/>
    <s v="Milk"/>
    <x v="2"/>
    <x v="1"/>
    <n v="56"/>
    <n v="45"/>
    <n v="2520"/>
    <n v="15"/>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A629C-8781-4DE6-974D-FEC916E679A2}" name="ratingabg"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R6" firstHeaderRow="1" firstDataRow="1" firstDataCol="1"/>
  <pivotFields count="12">
    <pivotField showAll="0"/>
    <pivotField axis="axisRow"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h="1" x="3"/>
        <item h="1" x="2"/>
        <item h="1" x="1"/>
        <item h="1" x="4"/>
        <item h="1" x="5"/>
        <item t="default"/>
      </items>
    </pivotField>
    <pivotField showAll="0">
      <items count="6">
        <item x="1"/>
        <item x="2"/>
        <item x="4"/>
        <item x="0"/>
        <item x="3"/>
        <item t="default"/>
      </items>
    </pivotField>
    <pivotField showAll="0"/>
    <pivotField showAll="0"/>
    <pivotField showAll="0"/>
    <pivotField showAll="0"/>
    <pivotField showAll="0">
      <items count="4">
        <item x="0"/>
        <item x="2"/>
        <item x="1"/>
        <item t="default"/>
      </items>
    </pivotField>
    <pivotField dataField="1" showAll="0"/>
  </pivotFields>
  <rowFields count="1">
    <field x="1"/>
  </rowFields>
  <rowItems count="3">
    <i>
      <x/>
    </i>
    <i>
      <x v="1"/>
    </i>
    <i t="grand">
      <x/>
    </i>
  </rowItems>
  <colItems count="1">
    <i/>
  </colItems>
  <dataFields count="1">
    <dataField name="Average of Rating" fld="11" subtotal="average" baseField="1" baseItem="0" numFmtId="2"/>
  </dataFields>
  <formats count="4">
    <format dxfId="1300">
      <pivotArea type="all" dataOnly="0" outline="0" fieldPosition="0"/>
    </format>
    <format dxfId="1301">
      <pivotArea field="1" type="button" dataOnly="0" labelOnly="1" outline="0" axis="axisRow" fieldPosition="0"/>
    </format>
    <format dxfId="1302">
      <pivotArea dataOnly="0" labelOnly="1" fieldPosition="0">
        <references count="1">
          <reference field="1" count="0"/>
        </references>
      </pivotArea>
    </format>
    <format dxfId="13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891440-A9D4-4CB1-BF6A-C4707E0339B4}" name="paymentmode"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3:W8" firstHeaderRow="1" firstDataRow="2" firstDataCol="1"/>
  <pivotFields count="12">
    <pivotField showAll="0"/>
    <pivotField axis="axisCol"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h="1" x="3"/>
        <item h="1" x="2"/>
        <item h="1" x="1"/>
        <item h="1" x="4"/>
        <item h="1" x="5"/>
        <item t="default"/>
      </items>
    </pivotField>
    <pivotField showAll="0">
      <items count="6">
        <item x="1"/>
        <item x="2"/>
        <item x="4"/>
        <item x="0"/>
        <item x="3"/>
        <item t="default"/>
      </items>
    </pivotField>
    <pivotField showAll="0"/>
    <pivotField showAll="0"/>
    <pivotField showAll="0"/>
    <pivotField showAll="0"/>
    <pivotField axis="axisRow" dataField="1" showAll="0">
      <items count="4">
        <item x="0"/>
        <item x="2"/>
        <item x="1"/>
        <item t="default"/>
      </items>
    </pivotField>
    <pivotField showAll="0"/>
  </pivotFields>
  <rowFields count="1">
    <field x="10"/>
  </rowFields>
  <rowItems count="4">
    <i>
      <x/>
    </i>
    <i>
      <x v="1"/>
    </i>
    <i>
      <x v="2"/>
    </i>
    <i t="grand">
      <x/>
    </i>
  </rowItems>
  <colFields count="1">
    <field x="1"/>
  </colFields>
  <colItems count="3">
    <i>
      <x/>
    </i>
    <i>
      <x v="1"/>
    </i>
    <i t="grand">
      <x/>
    </i>
  </colItems>
  <dataFields count="1">
    <dataField name="Count of PaymentMode" fld="10" subtotal="count" showDataAs="percentOfTotal" baseField="0" baseItem="0" numFmtId="10"/>
  </dataFields>
  <formats count="6">
    <format dxfId="1312">
      <pivotArea type="all" dataOnly="0" outline="0" fieldPosition="0"/>
    </format>
    <format dxfId="1313">
      <pivotArea field="1" type="button" dataOnly="0" labelOnly="1" outline="0" axis="axisCol" fieldPosition="0"/>
    </format>
    <format dxfId="1314">
      <pivotArea dataOnly="0" labelOnly="1" grandRow="1" outline="0" fieldPosition="0"/>
    </format>
    <format dxfId="1315">
      <pivotArea dataOnly="0" labelOnly="1" outline="0" axis="axisValues" fieldPosition="0"/>
    </format>
    <format dxfId="1305">
      <pivotArea outline="0" collapsedLevelsAreSubtotals="1" fieldPosition="0"/>
    </format>
    <format dxfId="13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3372C-7A55-4AA9-ABAA-7D595ACBAE98}" name="citywisesale"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L3:M9" firstHeaderRow="1" firstDataRow="1" firstDataCol="1"/>
  <pivotFields count="12">
    <pivotField showAll="0"/>
    <pivotField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h="1" x="3"/>
        <item h="1" x="2"/>
        <item h="1" x="1"/>
        <item h="1" x="4"/>
        <item h="1" x="5"/>
        <item t="default"/>
      </items>
    </pivotField>
    <pivotField axis="axisRow" showAll="0">
      <items count="6">
        <item x="1"/>
        <item x="2"/>
        <item x="4"/>
        <item x="0"/>
        <item x="3"/>
        <item t="default"/>
      </items>
    </pivotField>
    <pivotField showAll="0"/>
    <pivotField showAll="0"/>
    <pivotField dataField="1" showAll="0"/>
    <pivotField showAll="0"/>
    <pivotField showAll="0">
      <items count="4">
        <item x="0"/>
        <item x="2"/>
        <item x="1"/>
        <item t="default"/>
      </items>
    </pivotField>
    <pivotField showAll="0"/>
  </pivotFields>
  <rowFields count="1">
    <field x="5"/>
  </rowFields>
  <rowItems count="6">
    <i>
      <x/>
    </i>
    <i>
      <x v="1"/>
    </i>
    <i>
      <x v="2"/>
    </i>
    <i>
      <x v="3"/>
    </i>
    <i>
      <x v="4"/>
    </i>
    <i t="grand">
      <x/>
    </i>
  </rowItems>
  <colItems count="1">
    <i/>
  </colItems>
  <dataFields count="1">
    <dataField name="Sum of Revenue" fld="8" baseField="0" baseItem="0"/>
  </dataFields>
  <formats count="5">
    <format dxfId="1307">
      <pivotArea type="all" dataOnly="0" outline="0" fieldPosition="0"/>
    </format>
    <format dxfId="1308">
      <pivotArea field="1" type="button" dataOnly="0" labelOnly="1" outline="0"/>
    </format>
    <format dxfId="1309">
      <pivotArea dataOnly="0" labelOnly="1" grandRow="1" outline="0" fieldPosition="0"/>
    </format>
    <format dxfId="1310">
      <pivotArea dataOnly="0" labelOnly="1" outline="0" axis="axisValues" fieldPosition="0"/>
    </format>
    <format dxfId="130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99BED-D1A1-4D40-A03D-9DE3D88D1340}" name="categorywisesale"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J6" firstHeaderRow="1" firstDataRow="2" firstDataCol="1"/>
  <pivotFields count="12">
    <pivotField showAll="0"/>
    <pivotField axis="axisCol"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7">
        <item x="0"/>
        <item h="1" x="3"/>
        <item h="1" x="2"/>
        <item h="1" x="1"/>
        <item h="1" x="4"/>
        <item h="1" x="5"/>
        <item t="default"/>
      </items>
    </pivotField>
    <pivotField showAll="0">
      <items count="6">
        <item x="1"/>
        <item x="2"/>
        <item x="4"/>
        <item x="0"/>
        <item x="3"/>
        <item t="default"/>
      </items>
    </pivotField>
    <pivotField showAll="0"/>
    <pivotField showAll="0"/>
    <pivotField dataField="1" showAll="0"/>
    <pivotField showAll="0"/>
    <pivotField showAll="0">
      <items count="4">
        <item x="0"/>
        <item x="2"/>
        <item x="1"/>
        <item t="default"/>
      </items>
    </pivotField>
    <pivotField showAll="0"/>
  </pivotFields>
  <rowFields count="1">
    <field x="4"/>
  </rowFields>
  <rowItems count="2">
    <i>
      <x/>
    </i>
    <i t="grand">
      <x/>
    </i>
  </rowItems>
  <colFields count="1">
    <field x="1"/>
  </colFields>
  <colItems count="3">
    <i>
      <x/>
    </i>
    <i>
      <x v="1"/>
    </i>
    <i t="grand">
      <x/>
    </i>
  </colItems>
  <dataFields count="1">
    <dataField name="Sum of Revenue" fld="8" baseField="0" baseItem="0"/>
  </dataFields>
  <formats count="5">
    <format dxfId="1316">
      <pivotArea type="all" dataOnly="0" outline="0" fieldPosition="0"/>
    </format>
    <format dxfId="1317">
      <pivotArea field="1" type="button" dataOnly="0" labelOnly="1" outline="0" axis="axisCol" fieldPosition="0"/>
    </format>
    <format dxfId="1318">
      <pivotArea dataOnly="0" labelOnly="1" grandRow="1" outline="0" fieldPosition="0"/>
    </format>
    <format dxfId="1319">
      <pivotArea dataOnly="0" labelOnly="1" outline="0" axis="axisValues" fieldPosition="0"/>
    </format>
    <format dxfId="1311">
      <pivotArea outline="0" collapsedLevelsAreSubtotals="1"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ED9A7-7C0E-423E-B6E4-35C56E881B1A}" name="avgdeliverytime"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D3:E6" firstHeaderRow="1" firstDataRow="1" firstDataCol="1"/>
  <pivotFields count="12">
    <pivotField showAll="0"/>
    <pivotField axis="axisRow"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h="1" x="3"/>
        <item h="1" x="2"/>
        <item h="1" x="1"/>
        <item h="1" x="4"/>
        <item h="1" x="5"/>
        <item t="default"/>
      </items>
    </pivotField>
    <pivotField showAll="0">
      <items count="6">
        <item x="1"/>
        <item x="2"/>
        <item x="4"/>
        <item x="0"/>
        <item x="3"/>
        <item t="default"/>
      </items>
    </pivotField>
    <pivotField showAll="0"/>
    <pivotField showAll="0"/>
    <pivotField showAll="0"/>
    <pivotField dataField="1" showAll="0"/>
    <pivotField showAll="0">
      <items count="4">
        <item x="0"/>
        <item x="2"/>
        <item x="1"/>
        <item t="default"/>
      </items>
    </pivotField>
    <pivotField showAll="0"/>
  </pivotFields>
  <rowFields count="1">
    <field x="1"/>
  </rowFields>
  <rowItems count="3">
    <i>
      <x/>
    </i>
    <i>
      <x v="1"/>
    </i>
    <i t="grand">
      <x/>
    </i>
  </rowItems>
  <colItems count="1">
    <i/>
  </colItems>
  <dataFields count="1">
    <dataField name="Average of DeliveryTime(min)" fld="9" subtotal="average" baseField="1" baseItem="0" numFmtId="2"/>
  </dataFields>
  <formats count="6">
    <format dxfId="1325">
      <pivotArea type="all" dataOnly="0" outline="0" fieldPosition="0"/>
    </format>
    <format dxfId="1324">
      <pivotArea outline="0" collapsedLevelsAreSubtotals="1" fieldPosition="0"/>
    </format>
    <format dxfId="1323">
      <pivotArea field="1" type="button" dataOnly="0" labelOnly="1" outline="0" axis="axisRow" fieldPosition="0"/>
    </format>
    <format dxfId="1322">
      <pivotArea dataOnly="0" labelOnly="1" fieldPosition="0">
        <references count="1">
          <reference field="1" count="0"/>
        </references>
      </pivotArea>
    </format>
    <format dxfId="1321">
      <pivotArea dataOnly="0" labelOnly="1" grandRow="1" outline="0" fieldPosition="0"/>
    </format>
    <format dxfId="132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0"/>
          </reference>
        </references>
      </pivotArea>
    </chartFormat>
    <chartFormat chart="27"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8CDF3-54F1-400B-939C-4B07FDEE049D}" name="totalrevenue" cacheId="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6" firstHeaderRow="1" firstDataRow="1" firstDataCol="1"/>
  <pivotFields count="12">
    <pivotField showAll="0"/>
    <pivotField axis="axisRow" showAll="0">
      <items count="3">
        <item x="0"/>
        <item x="1"/>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0"/>
        <item h="1" x="3"/>
        <item h="1" x="2"/>
        <item h="1" x="1"/>
        <item h="1" x="4"/>
        <item h="1" x="5"/>
        <item t="default"/>
      </items>
    </pivotField>
    <pivotField showAll="0">
      <items count="6">
        <item x="1"/>
        <item x="2"/>
        <item x="4"/>
        <item x="0"/>
        <item x="3"/>
        <item t="default"/>
      </items>
    </pivotField>
    <pivotField showAll="0"/>
    <pivotField showAll="0"/>
    <pivotField dataField="1" showAll="0"/>
    <pivotField showAll="0"/>
    <pivotField showAll="0">
      <items count="4">
        <item x="0"/>
        <item x="2"/>
        <item x="1"/>
        <item t="default"/>
      </items>
    </pivotField>
    <pivotField showAll="0"/>
  </pivotFields>
  <rowFields count="1">
    <field x="1"/>
  </rowFields>
  <rowItems count="3">
    <i>
      <x/>
    </i>
    <i>
      <x v="1"/>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E91197D-AB48-4CEC-926C-3E42FF9E6736}" sourceName="Brand">
  <pivotTables>
    <pivotTable tabId="4" name="avgdeliverytime"/>
    <pivotTable tabId="4" name="categorywisesale"/>
    <pivotTable tabId="4" name="citywisesale"/>
    <pivotTable tabId="4" name="paymentmode"/>
    <pivotTable tabId="4" name="ratingabg"/>
    <pivotTable tabId="4" name="totalrevenue"/>
  </pivotTables>
  <data>
    <tabular pivotCacheId="18409258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3EFEDF-0571-40CF-B2CD-67E0A1F97AB3}" sourceName="Category">
  <pivotTables>
    <pivotTable tabId="4" name="avgdeliverytime"/>
    <pivotTable tabId="4" name="categorywisesale"/>
    <pivotTable tabId="4" name="citywisesale"/>
    <pivotTable tabId="4" name="paymentmode"/>
    <pivotTable tabId="4" name="ratingabg"/>
    <pivotTable tabId="4" name="totalrevenue"/>
  </pivotTables>
  <data>
    <tabular pivotCacheId="1840925874">
      <items count="6">
        <i x="0" s="1"/>
        <i x="3"/>
        <i x="2"/>
        <i x="1"/>
        <i x="4"/>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B99E8A0-D5C5-40A6-9E14-D3728195B3BD}" sourceName="City">
  <pivotTables>
    <pivotTable tabId="4" name="avgdeliverytime"/>
    <pivotTable tabId="4" name="categorywisesale"/>
    <pivotTable tabId="4" name="citywisesale"/>
    <pivotTable tabId="4" name="paymentmode"/>
    <pivotTable tabId="4" name="ratingabg"/>
    <pivotTable tabId="4" name="totalrevenue"/>
  </pivotTables>
  <data>
    <tabular pivotCacheId="1840925874">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A3740AD2-14D7-4033-B186-5CB6A1DD20D1}" sourceName="PaymentMode">
  <pivotTables>
    <pivotTable tabId="4" name="avgdeliverytime"/>
    <pivotTable tabId="4" name="categorywisesale"/>
    <pivotTable tabId="4" name="citywisesale"/>
    <pivotTable tabId="4" name="paymentmode"/>
    <pivotTable tabId="4" name="ratingabg"/>
    <pivotTable tabId="4" name="totalrevenue"/>
  </pivotTables>
  <data>
    <tabular pivotCacheId="18409258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4A7FD6B-4BFC-454A-9334-E3A716BD8165}" cache="Slicer_Brand" caption="Brand" style="SlicerStyleLight6" rowHeight="234950"/>
  <slicer name="Category" xr10:uid="{0C956981-9E7E-4BF7-A891-69AADD748D92}" cache="Slicer_Category" caption="Category" style="SlicerStyleLight6" rowHeight="234950"/>
  <slicer name="City" xr10:uid="{A80AC1C0-6988-4A67-85F9-D7A8362BBDA3}" cache="Slicer_City" caption="City" style="SlicerStyleLight6" rowHeight="234950"/>
  <slicer name="PaymentMode" xr10:uid="{49D01640-F6E1-484D-A67F-ACA6C4FB8112}" cache="Slicer_PaymentMode" caption="PaymentMode"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C7023E3-4538-46E7-A3F6-776BF01C77CF}" cache="Slicer_Brand" caption="Brand" style="SlicerStyleLight6" rowHeight="420624"/>
  <slicer name="Category 1" xr10:uid="{A9408AB5-689A-48EE-A59E-F211B6D991F8}" cache="Slicer_Category" caption="Category" columnCount="3" style="SlicerStyleLight6" rowHeight="393192"/>
  <slicer name="City 1" xr10:uid="{2C214AB7-EC75-4D25-A7B2-CE7CFEAD2AF6}" cache="Slicer_City" caption="City" style="SlicerStyleLight6" rowHeight="420624"/>
  <slicer name="PaymentMode 1" xr10:uid="{5E460A60-A1CE-475F-8DCA-DCAA40D89B14}" cache="Slicer_PaymentMode" caption="PaymentMode" style="SlicerStyleDark4" rowHeight="420624"/>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7B7ECE5-48CF-4923-A403-51D8FDAFB22A}" sourceName="Date">
  <pivotTables>
    <pivotTable tabId="4" name="totalrevenue"/>
    <pivotTable tabId="4" name="avgdeliverytime"/>
    <pivotTable tabId="4" name="categorywisesale"/>
    <pivotTable tabId="4" name="citywisesale"/>
    <pivotTable tabId="4" name="paymentmode"/>
    <pivotTable tabId="4" name="ratingabg"/>
  </pivotTables>
  <state minimalRefreshVersion="6" lastRefreshVersion="6" pivotCacheId="184092587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0D4C93-119E-4D3F-B13E-8185E7EB4459}" cache="NativeTimeline_Date" caption="Date" level="2" selectionLevel="2" scrollPosition="2024-10-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7300A48-FF9A-4300-B275-0F62A0A044E6}" cache="NativeTimeline_Date" caption="Date" level="2" selectionLevel="2" scrollPosition="2024-04-01T00:00:00" style="TimeSlicerStyleLight4"/>
</timeline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160" zoomScaleNormal="160" workbookViewId="0">
      <selection activeCell="K8" sqref="K8"/>
    </sheetView>
  </sheetViews>
  <sheetFormatPr defaultRowHeight="14.4" x14ac:dyDescent="0.3"/>
  <cols>
    <col min="1" max="1" width="6.77734375" customWidth="1"/>
    <col min="2" max="2" width="10.21875" bestFit="1" customWidth="1"/>
    <col min="3" max="3" width="8.21875" customWidth="1"/>
    <col min="4" max="4" width="9.21875" bestFit="1" customWidth="1"/>
    <col min="5" max="5" width="10" bestFit="1" customWidth="1"/>
    <col min="6" max="6" width="5.88671875" customWidth="1"/>
    <col min="7" max="7" width="9.109375" customWidth="1"/>
    <col min="8" max="8" width="17.21875" customWidth="1"/>
    <col min="9" max="9" width="14.109375" customWidth="1"/>
    <col min="10" max="10" width="7.109375" customWidth="1"/>
  </cols>
  <sheetData>
    <row r="1" spans="1:14" x14ac:dyDescent="0.3">
      <c r="A1" t="s">
        <v>37</v>
      </c>
      <c r="B1" t="s">
        <v>1</v>
      </c>
      <c r="C1" t="s">
        <v>2</v>
      </c>
      <c r="D1" t="s">
        <v>3</v>
      </c>
      <c r="E1" t="s">
        <v>4</v>
      </c>
      <c r="F1" t="s">
        <v>5</v>
      </c>
      <c r="G1" t="s">
        <v>6</v>
      </c>
      <c r="H1" t="s">
        <v>7</v>
      </c>
      <c r="I1" t="s">
        <v>8</v>
      </c>
      <c r="J1" t="s">
        <v>9</v>
      </c>
    </row>
    <row r="2" spans="1:14" x14ac:dyDescent="0.3">
      <c r="A2" t="s">
        <v>10</v>
      </c>
      <c r="B2">
        <v>45753</v>
      </c>
      <c r="C2" t="s">
        <v>12</v>
      </c>
      <c r="D2" t="s">
        <v>23</v>
      </c>
      <c r="E2" t="s">
        <v>28</v>
      </c>
      <c r="F2">
        <v>127</v>
      </c>
      <c r="G2">
        <v>3</v>
      </c>
      <c r="H2">
        <v>18</v>
      </c>
      <c r="I2" t="s">
        <v>33</v>
      </c>
      <c r="J2">
        <v>3</v>
      </c>
    </row>
    <row r="3" spans="1:14" x14ac:dyDescent="0.3">
      <c r="A3" t="s">
        <v>10</v>
      </c>
      <c r="B3">
        <v>45749</v>
      </c>
      <c r="C3" t="s">
        <v>13</v>
      </c>
      <c r="D3" t="s">
        <v>24</v>
      </c>
      <c r="E3" t="s">
        <v>29</v>
      </c>
      <c r="F3">
        <v>142</v>
      </c>
      <c r="G3">
        <v>3</v>
      </c>
      <c r="H3">
        <v>12</v>
      </c>
      <c r="I3" t="s">
        <v>34</v>
      </c>
      <c r="J3">
        <v>1</v>
      </c>
    </row>
    <row r="4" spans="1:14" x14ac:dyDescent="0.3">
      <c r="A4" t="s">
        <v>11</v>
      </c>
      <c r="B4">
        <v>45742</v>
      </c>
      <c r="C4" t="s">
        <v>14</v>
      </c>
      <c r="D4" t="s">
        <v>25</v>
      </c>
      <c r="E4" t="s">
        <v>30</v>
      </c>
      <c r="F4">
        <v>170</v>
      </c>
      <c r="G4">
        <v>5</v>
      </c>
      <c r="H4">
        <v>9</v>
      </c>
      <c r="I4" t="s">
        <v>34</v>
      </c>
      <c r="J4">
        <v>3</v>
      </c>
    </row>
    <row r="5" spans="1:14" x14ac:dyDescent="0.3">
      <c r="A5" t="s">
        <v>10</v>
      </c>
      <c r="B5">
        <v>45745</v>
      </c>
      <c r="C5" t="s">
        <v>15</v>
      </c>
      <c r="D5" t="s">
        <v>25</v>
      </c>
      <c r="E5" t="s">
        <v>31</v>
      </c>
      <c r="F5">
        <v>249</v>
      </c>
      <c r="G5">
        <v>3</v>
      </c>
      <c r="H5">
        <v>16</v>
      </c>
      <c r="I5" t="s">
        <v>34</v>
      </c>
      <c r="J5">
        <v>2</v>
      </c>
    </row>
    <row r="6" spans="1:14" x14ac:dyDescent="0.3">
      <c r="A6" t="s">
        <v>11</v>
      </c>
      <c r="B6">
        <v>45759</v>
      </c>
      <c r="C6" t="s">
        <v>12</v>
      </c>
      <c r="D6" t="s">
        <v>23</v>
      </c>
      <c r="E6" t="s">
        <v>32</v>
      </c>
      <c r="F6">
        <v>161</v>
      </c>
      <c r="G6">
        <v>4</v>
      </c>
      <c r="H6">
        <v>12</v>
      </c>
      <c r="I6" t="s">
        <v>34</v>
      </c>
      <c r="J6">
        <v>2</v>
      </c>
    </row>
    <row r="7" spans="1:14" x14ac:dyDescent="0.3">
      <c r="A7" t="s">
        <v>11</v>
      </c>
      <c r="B7">
        <v>45747</v>
      </c>
      <c r="C7" t="s">
        <v>16</v>
      </c>
      <c r="D7" t="s">
        <v>26</v>
      </c>
      <c r="E7" t="s">
        <v>28</v>
      </c>
      <c r="F7">
        <v>124</v>
      </c>
      <c r="G7">
        <v>1</v>
      </c>
      <c r="H7">
        <v>18</v>
      </c>
      <c r="I7" t="s">
        <v>34</v>
      </c>
      <c r="J7">
        <v>5</v>
      </c>
    </row>
    <row r="8" spans="1:14" x14ac:dyDescent="0.3">
      <c r="A8" t="s">
        <v>10</v>
      </c>
      <c r="B8">
        <v>45762</v>
      </c>
      <c r="C8" t="s">
        <v>17</v>
      </c>
      <c r="D8" t="s">
        <v>24</v>
      </c>
      <c r="E8" t="s">
        <v>28</v>
      </c>
      <c r="F8">
        <v>64</v>
      </c>
      <c r="G8">
        <v>4</v>
      </c>
      <c r="H8">
        <v>20</v>
      </c>
      <c r="I8" t="s">
        <v>33</v>
      </c>
    </row>
    <row r="9" spans="1:14" x14ac:dyDescent="0.3">
      <c r="A9" t="s">
        <v>11</v>
      </c>
      <c r="B9">
        <v>45742</v>
      </c>
      <c r="C9" t="s">
        <v>13</v>
      </c>
      <c r="D9" t="s">
        <v>24</v>
      </c>
      <c r="E9" t="s">
        <v>30</v>
      </c>
      <c r="F9">
        <v>163</v>
      </c>
      <c r="G9">
        <v>3</v>
      </c>
      <c r="H9">
        <v>10</v>
      </c>
      <c r="I9" t="s">
        <v>33</v>
      </c>
    </row>
    <row r="10" spans="1:14" x14ac:dyDescent="0.3">
      <c r="A10" t="s">
        <v>11</v>
      </c>
      <c r="B10">
        <v>45752</v>
      </c>
      <c r="C10" t="s">
        <v>18</v>
      </c>
      <c r="D10" t="s">
        <v>27</v>
      </c>
      <c r="E10" t="s">
        <v>31</v>
      </c>
      <c r="F10">
        <v>154</v>
      </c>
      <c r="G10">
        <v>2</v>
      </c>
      <c r="H10">
        <v>10</v>
      </c>
      <c r="I10" t="s">
        <v>33</v>
      </c>
      <c r="J10">
        <v>3</v>
      </c>
    </row>
    <row r="11" spans="1:14" x14ac:dyDescent="0.3">
      <c r="A11" t="s">
        <v>10</v>
      </c>
      <c r="B11">
        <v>45757</v>
      </c>
      <c r="C11" t="s">
        <v>19</v>
      </c>
      <c r="D11" t="s">
        <v>23</v>
      </c>
      <c r="E11" t="s">
        <v>31</v>
      </c>
      <c r="F11">
        <v>166</v>
      </c>
      <c r="G11">
        <v>2</v>
      </c>
      <c r="H11">
        <v>10</v>
      </c>
      <c r="I11" t="s">
        <v>35</v>
      </c>
    </row>
    <row r="12" spans="1:14" x14ac:dyDescent="0.3">
      <c r="A12" t="s">
        <v>10</v>
      </c>
      <c r="B12">
        <v>45743</v>
      </c>
      <c r="C12" t="s">
        <v>17</v>
      </c>
      <c r="D12" t="s">
        <v>24</v>
      </c>
      <c r="E12" t="s">
        <v>31</v>
      </c>
      <c r="F12">
        <v>76</v>
      </c>
      <c r="G12">
        <v>3</v>
      </c>
      <c r="H12">
        <v>14</v>
      </c>
      <c r="I12" t="s">
        <v>33</v>
      </c>
    </row>
    <row r="13" spans="1:14" x14ac:dyDescent="0.3">
      <c r="A13" t="s">
        <v>11</v>
      </c>
      <c r="B13">
        <v>45748</v>
      </c>
      <c r="C13" t="s">
        <v>17</v>
      </c>
      <c r="D13" t="s">
        <v>24</v>
      </c>
      <c r="E13" t="s">
        <v>31</v>
      </c>
      <c r="F13">
        <v>240</v>
      </c>
      <c r="G13">
        <v>1</v>
      </c>
      <c r="H13">
        <v>16</v>
      </c>
      <c r="I13" t="s">
        <v>34</v>
      </c>
      <c r="J13">
        <v>2</v>
      </c>
    </row>
    <row r="14" spans="1:14" x14ac:dyDescent="0.3">
      <c r="A14" t="s">
        <v>11</v>
      </c>
      <c r="B14">
        <v>45743</v>
      </c>
      <c r="C14" t="s">
        <v>15</v>
      </c>
      <c r="D14" t="s">
        <v>25</v>
      </c>
      <c r="E14" t="s">
        <v>28</v>
      </c>
      <c r="F14">
        <v>195</v>
      </c>
      <c r="G14">
        <v>5</v>
      </c>
      <c r="H14">
        <v>12</v>
      </c>
      <c r="I14" t="s">
        <v>35</v>
      </c>
      <c r="J14">
        <v>3</v>
      </c>
      <c r="N14" s="1"/>
    </row>
    <row r="15" spans="1:14" x14ac:dyDescent="0.3">
      <c r="A15" t="s">
        <v>10</v>
      </c>
      <c r="B15">
        <v>45761</v>
      </c>
      <c r="C15" t="s">
        <v>15</v>
      </c>
      <c r="D15" t="s">
        <v>25</v>
      </c>
      <c r="E15" t="s">
        <v>29</v>
      </c>
      <c r="F15">
        <v>178</v>
      </c>
      <c r="G15">
        <v>3</v>
      </c>
      <c r="H15">
        <v>10</v>
      </c>
      <c r="I15" t="s">
        <v>35</v>
      </c>
    </row>
    <row r="16" spans="1:14" x14ac:dyDescent="0.3">
      <c r="A16" t="s">
        <v>11</v>
      </c>
      <c r="B16">
        <v>45751</v>
      </c>
      <c r="C16" t="s">
        <v>15</v>
      </c>
      <c r="D16" t="s">
        <v>25</v>
      </c>
      <c r="E16" t="s">
        <v>31</v>
      </c>
      <c r="F16">
        <v>51</v>
      </c>
      <c r="G16">
        <v>2</v>
      </c>
      <c r="H16">
        <v>20</v>
      </c>
      <c r="I16" t="s">
        <v>33</v>
      </c>
    </row>
    <row r="17" spans="1:10" x14ac:dyDescent="0.3">
      <c r="A17" t="s">
        <v>10</v>
      </c>
      <c r="B17">
        <v>45759</v>
      </c>
      <c r="C17" t="s">
        <v>15</v>
      </c>
      <c r="D17" t="s">
        <v>25</v>
      </c>
      <c r="E17" t="s">
        <v>30</v>
      </c>
      <c r="F17">
        <v>153</v>
      </c>
      <c r="G17">
        <v>4</v>
      </c>
      <c r="H17">
        <v>10</v>
      </c>
      <c r="I17" t="s">
        <v>35</v>
      </c>
    </row>
    <row r="18" spans="1:10" x14ac:dyDescent="0.3">
      <c r="A18" t="s">
        <v>11</v>
      </c>
      <c r="B18">
        <v>45766</v>
      </c>
      <c r="C18" t="s">
        <v>20</v>
      </c>
      <c r="D18" t="s">
        <v>20</v>
      </c>
      <c r="E18" t="s">
        <v>29</v>
      </c>
      <c r="F18">
        <v>190</v>
      </c>
      <c r="G18">
        <v>1</v>
      </c>
      <c r="H18">
        <v>16</v>
      </c>
      <c r="I18" t="s">
        <v>34</v>
      </c>
    </row>
    <row r="19" spans="1:10" x14ac:dyDescent="0.3">
      <c r="A19" t="s">
        <v>10</v>
      </c>
      <c r="B19">
        <v>45763</v>
      </c>
      <c r="C19" t="s">
        <v>19</v>
      </c>
      <c r="D19" t="s">
        <v>23</v>
      </c>
      <c r="E19" t="s">
        <v>28</v>
      </c>
      <c r="F19">
        <v>234</v>
      </c>
      <c r="G19">
        <v>4</v>
      </c>
      <c r="H19">
        <v>21</v>
      </c>
      <c r="I19" t="s">
        <v>35</v>
      </c>
    </row>
    <row r="20" spans="1:10" x14ac:dyDescent="0.3">
      <c r="A20" t="s">
        <v>10</v>
      </c>
      <c r="B20">
        <v>45755</v>
      </c>
      <c r="C20" t="s">
        <v>20</v>
      </c>
      <c r="D20" t="s">
        <v>20</v>
      </c>
      <c r="E20" t="s">
        <v>29</v>
      </c>
      <c r="F20">
        <v>54</v>
      </c>
      <c r="G20">
        <v>2</v>
      </c>
      <c r="H20">
        <v>23</v>
      </c>
      <c r="I20" t="s">
        <v>34</v>
      </c>
      <c r="J20">
        <v>5</v>
      </c>
    </row>
    <row r="21" spans="1:10" x14ac:dyDescent="0.3">
      <c r="A21" t="s">
        <v>10</v>
      </c>
      <c r="B21">
        <v>45752</v>
      </c>
      <c r="C21" t="s">
        <v>15</v>
      </c>
      <c r="D21" t="s">
        <v>25</v>
      </c>
      <c r="E21" t="s">
        <v>32</v>
      </c>
      <c r="F21">
        <v>62</v>
      </c>
      <c r="G21">
        <v>4</v>
      </c>
      <c r="H21">
        <v>16</v>
      </c>
      <c r="I21" t="s">
        <v>33</v>
      </c>
    </row>
    <row r="22" spans="1:10" x14ac:dyDescent="0.3">
      <c r="A22" t="s">
        <v>11</v>
      </c>
      <c r="B22">
        <v>45767</v>
      </c>
      <c r="C22" t="s">
        <v>20</v>
      </c>
      <c r="D22" t="s">
        <v>20</v>
      </c>
      <c r="E22" t="s">
        <v>31</v>
      </c>
      <c r="F22">
        <v>61</v>
      </c>
      <c r="G22">
        <v>5</v>
      </c>
      <c r="H22">
        <v>8</v>
      </c>
      <c r="I22" t="s">
        <v>35</v>
      </c>
    </row>
    <row r="23" spans="1:10" x14ac:dyDescent="0.3">
      <c r="A23" t="s">
        <v>10</v>
      </c>
      <c r="B23">
        <v>45746</v>
      </c>
      <c r="C23" t="s">
        <v>18</v>
      </c>
      <c r="D23" t="s">
        <v>27</v>
      </c>
      <c r="E23" t="s">
        <v>31</v>
      </c>
      <c r="F23">
        <v>234</v>
      </c>
      <c r="G23">
        <v>2</v>
      </c>
      <c r="H23">
        <v>19</v>
      </c>
      <c r="I23" t="s">
        <v>35</v>
      </c>
      <c r="J23">
        <v>2</v>
      </c>
    </row>
    <row r="24" spans="1:10" x14ac:dyDescent="0.3">
      <c r="A24" t="s">
        <v>10</v>
      </c>
      <c r="B24">
        <v>45744</v>
      </c>
      <c r="C24" t="s">
        <v>17</v>
      </c>
      <c r="D24" t="s">
        <v>24</v>
      </c>
      <c r="E24" t="s">
        <v>31</v>
      </c>
      <c r="F24">
        <v>61</v>
      </c>
      <c r="G24">
        <v>3</v>
      </c>
      <c r="H24">
        <v>22</v>
      </c>
      <c r="I24" t="s">
        <v>34</v>
      </c>
      <c r="J24">
        <v>3</v>
      </c>
    </row>
    <row r="25" spans="1:10" x14ac:dyDescent="0.3">
      <c r="A25" t="s">
        <v>11</v>
      </c>
      <c r="B25">
        <v>45768</v>
      </c>
      <c r="C25" t="s">
        <v>13</v>
      </c>
      <c r="D25" t="s">
        <v>24</v>
      </c>
      <c r="E25" t="s">
        <v>32</v>
      </c>
      <c r="F25">
        <v>57</v>
      </c>
      <c r="G25">
        <v>2</v>
      </c>
      <c r="H25">
        <v>9</v>
      </c>
      <c r="I25" t="s">
        <v>34</v>
      </c>
      <c r="J25">
        <v>4</v>
      </c>
    </row>
    <row r="26" spans="1:10" x14ac:dyDescent="0.3">
      <c r="A26" t="s">
        <v>11</v>
      </c>
      <c r="B26">
        <v>45762</v>
      </c>
      <c r="C26" t="s">
        <v>21</v>
      </c>
      <c r="D26" t="s">
        <v>26</v>
      </c>
      <c r="E26" t="s">
        <v>31</v>
      </c>
      <c r="F26">
        <v>84</v>
      </c>
      <c r="G26">
        <v>5</v>
      </c>
      <c r="H26">
        <v>13</v>
      </c>
      <c r="I26" t="s">
        <v>33</v>
      </c>
      <c r="J26">
        <v>1</v>
      </c>
    </row>
    <row r="27" spans="1:10" x14ac:dyDescent="0.3">
      <c r="A27" t="s">
        <v>11</v>
      </c>
      <c r="B27">
        <v>45768</v>
      </c>
      <c r="C27" t="s">
        <v>14</v>
      </c>
      <c r="D27" t="s">
        <v>25</v>
      </c>
      <c r="E27" t="s">
        <v>31</v>
      </c>
      <c r="F27">
        <v>78</v>
      </c>
      <c r="G27">
        <v>2</v>
      </c>
      <c r="H27">
        <v>7</v>
      </c>
      <c r="I27" t="s">
        <v>34</v>
      </c>
      <c r="J27">
        <v>4</v>
      </c>
    </row>
    <row r="28" spans="1:10" x14ac:dyDescent="0.3">
      <c r="A28" t="s">
        <v>10</v>
      </c>
      <c r="B28">
        <v>45755</v>
      </c>
      <c r="C28" t="s">
        <v>13</v>
      </c>
      <c r="D28" t="s">
        <v>24</v>
      </c>
      <c r="E28" t="s">
        <v>29</v>
      </c>
      <c r="F28">
        <v>117</v>
      </c>
      <c r="G28">
        <v>4</v>
      </c>
      <c r="H28">
        <v>18</v>
      </c>
      <c r="I28" t="s">
        <v>33</v>
      </c>
      <c r="J28">
        <v>1</v>
      </c>
    </row>
    <row r="29" spans="1:10" x14ac:dyDescent="0.3">
      <c r="A29" t="s">
        <v>11</v>
      </c>
      <c r="B29">
        <v>45744</v>
      </c>
      <c r="C29" t="s">
        <v>14</v>
      </c>
      <c r="D29" t="s">
        <v>25</v>
      </c>
      <c r="E29" t="s">
        <v>31</v>
      </c>
      <c r="F29">
        <v>127</v>
      </c>
      <c r="G29">
        <v>5</v>
      </c>
      <c r="H29">
        <v>12</v>
      </c>
      <c r="I29" t="s">
        <v>33</v>
      </c>
      <c r="J29">
        <v>5</v>
      </c>
    </row>
    <row r="30" spans="1:10" x14ac:dyDescent="0.3">
      <c r="A30" t="s">
        <v>11</v>
      </c>
      <c r="B30">
        <v>45765</v>
      </c>
      <c r="C30" t="s">
        <v>16</v>
      </c>
      <c r="D30" t="s">
        <v>26</v>
      </c>
      <c r="E30" t="s">
        <v>29</v>
      </c>
      <c r="F30">
        <v>67</v>
      </c>
      <c r="G30">
        <v>3</v>
      </c>
      <c r="H30">
        <v>7</v>
      </c>
      <c r="I30" t="s">
        <v>33</v>
      </c>
      <c r="J30">
        <v>2</v>
      </c>
    </row>
    <row r="31" spans="1:10" x14ac:dyDescent="0.3">
      <c r="A31" t="s">
        <v>10</v>
      </c>
      <c r="B31">
        <v>45741</v>
      </c>
      <c r="C31" t="s">
        <v>15</v>
      </c>
      <c r="D31" t="s">
        <v>25</v>
      </c>
      <c r="E31" t="s">
        <v>29</v>
      </c>
      <c r="F31">
        <v>69</v>
      </c>
      <c r="G31">
        <v>3</v>
      </c>
      <c r="H31">
        <v>21</v>
      </c>
      <c r="I31" t="s">
        <v>33</v>
      </c>
      <c r="J31">
        <v>2</v>
      </c>
    </row>
    <row r="32" spans="1:10" x14ac:dyDescent="0.3">
      <c r="A32" t="s">
        <v>11</v>
      </c>
      <c r="B32">
        <v>45762</v>
      </c>
      <c r="C32" t="s">
        <v>20</v>
      </c>
      <c r="D32" t="s">
        <v>20</v>
      </c>
      <c r="E32" t="s">
        <v>28</v>
      </c>
      <c r="F32">
        <v>110</v>
      </c>
      <c r="G32">
        <v>1</v>
      </c>
      <c r="H32">
        <v>18</v>
      </c>
      <c r="I32" t="s">
        <v>33</v>
      </c>
      <c r="J32">
        <v>3</v>
      </c>
    </row>
    <row r="33" spans="1:10" x14ac:dyDescent="0.3">
      <c r="A33" t="s">
        <v>10</v>
      </c>
      <c r="B33">
        <v>45740</v>
      </c>
      <c r="C33" t="s">
        <v>19</v>
      </c>
      <c r="D33" t="s">
        <v>23</v>
      </c>
      <c r="E33" t="s">
        <v>31</v>
      </c>
      <c r="F33">
        <v>213</v>
      </c>
      <c r="G33">
        <v>5</v>
      </c>
      <c r="H33">
        <v>21</v>
      </c>
      <c r="I33" t="s">
        <v>35</v>
      </c>
      <c r="J33">
        <v>4</v>
      </c>
    </row>
    <row r="34" spans="1:10" x14ac:dyDescent="0.3">
      <c r="A34" t="s">
        <v>10</v>
      </c>
      <c r="B34">
        <v>45742</v>
      </c>
      <c r="C34" t="s">
        <v>21</v>
      </c>
      <c r="D34" t="s">
        <v>26</v>
      </c>
      <c r="E34" t="s">
        <v>32</v>
      </c>
      <c r="F34">
        <v>152</v>
      </c>
      <c r="G34">
        <v>1</v>
      </c>
      <c r="H34">
        <v>25</v>
      </c>
      <c r="I34" t="s">
        <v>33</v>
      </c>
      <c r="J34">
        <v>1</v>
      </c>
    </row>
    <row r="35" spans="1:10" x14ac:dyDescent="0.3">
      <c r="A35" t="s">
        <v>11</v>
      </c>
      <c r="B35">
        <v>45754</v>
      </c>
      <c r="C35" t="s">
        <v>15</v>
      </c>
      <c r="D35" t="s">
        <v>25</v>
      </c>
      <c r="E35" t="s">
        <v>30</v>
      </c>
      <c r="F35">
        <v>135</v>
      </c>
      <c r="G35">
        <v>5</v>
      </c>
      <c r="H35">
        <v>12</v>
      </c>
      <c r="I35" t="s">
        <v>34</v>
      </c>
      <c r="J35">
        <v>4</v>
      </c>
    </row>
    <row r="36" spans="1:10" x14ac:dyDescent="0.3">
      <c r="A36" t="s">
        <v>11</v>
      </c>
      <c r="B36">
        <v>45758</v>
      </c>
      <c r="C36" t="s">
        <v>14</v>
      </c>
      <c r="D36" t="s">
        <v>25</v>
      </c>
      <c r="E36" t="s">
        <v>31</v>
      </c>
      <c r="F36">
        <v>192</v>
      </c>
      <c r="G36">
        <v>5</v>
      </c>
      <c r="H36">
        <v>8</v>
      </c>
      <c r="I36" t="s">
        <v>34</v>
      </c>
      <c r="J36">
        <v>1</v>
      </c>
    </row>
    <row r="37" spans="1:10" x14ac:dyDescent="0.3">
      <c r="A37" t="s">
        <v>11</v>
      </c>
      <c r="B37">
        <v>45757</v>
      </c>
      <c r="C37" t="s">
        <v>18</v>
      </c>
      <c r="D37" t="s">
        <v>27</v>
      </c>
      <c r="E37" t="s">
        <v>31</v>
      </c>
      <c r="F37">
        <v>63</v>
      </c>
      <c r="G37">
        <v>1</v>
      </c>
      <c r="H37">
        <v>13</v>
      </c>
      <c r="I37" t="s">
        <v>35</v>
      </c>
      <c r="J37">
        <v>5</v>
      </c>
    </row>
    <row r="38" spans="1:10" x14ac:dyDescent="0.3">
      <c r="A38" t="s">
        <v>10</v>
      </c>
      <c r="B38">
        <v>45751</v>
      </c>
      <c r="C38" t="s">
        <v>18</v>
      </c>
      <c r="D38" t="s">
        <v>27</v>
      </c>
      <c r="E38" t="s">
        <v>32</v>
      </c>
      <c r="F38">
        <v>166</v>
      </c>
      <c r="G38">
        <v>2</v>
      </c>
      <c r="H38">
        <v>14</v>
      </c>
      <c r="I38" t="s">
        <v>35</v>
      </c>
      <c r="J38">
        <v>1</v>
      </c>
    </row>
    <row r="39" spans="1:10" x14ac:dyDescent="0.3">
      <c r="A39" t="s">
        <v>11</v>
      </c>
      <c r="B39">
        <v>45748</v>
      </c>
      <c r="C39" t="s">
        <v>19</v>
      </c>
      <c r="D39" t="s">
        <v>23</v>
      </c>
      <c r="E39" t="s">
        <v>28</v>
      </c>
      <c r="F39">
        <v>181</v>
      </c>
      <c r="G39">
        <v>3</v>
      </c>
      <c r="H39">
        <v>13</v>
      </c>
      <c r="I39" t="s">
        <v>33</v>
      </c>
      <c r="J39">
        <v>5</v>
      </c>
    </row>
    <row r="40" spans="1:10" x14ac:dyDescent="0.3">
      <c r="A40" t="s">
        <v>10</v>
      </c>
      <c r="B40">
        <v>45762</v>
      </c>
      <c r="C40" t="s">
        <v>13</v>
      </c>
      <c r="D40" t="s">
        <v>24</v>
      </c>
      <c r="E40" t="s">
        <v>32</v>
      </c>
      <c r="F40">
        <v>60</v>
      </c>
      <c r="G40">
        <v>3</v>
      </c>
      <c r="H40">
        <v>24</v>
      </c>
      <c r="I40" t="s">
        <v>33</v>
      </c>
      <c r="J40">
        <v>1</v>
      </c>
    </row>
    <row r="41" spans="1:10" x14ac:dyDescent="0.3">
      <c r="A41" t="s">
        <v>10</v>
      </c>
      <c r="B41">
        <v>45744</v>
      </c>
      <c r="C41" t="s">
        <v>21</v>
      </c>
      <c r="D41" t="s">
        <v>26</v>
      </c>
      <c r="E41" t="s">
        <v>28</v>
      </c>
      <c r="F41">
        <v>119</v>
      </c>
      <c r="G41">
        <v>3</v>
      </c>
      <c r="H41">
        <v>17</v>
      </c>
      <c r="I41" t="s">
        <v>35</v>
      </c>
      <c r="J41">
        <v>2</v>
      </c>
    </row>
    <row r="42" spans="1:10" x14ac:dyDescent="0.3">
      <c r="A42" t="s">
        <v>11</v>
      </c>
      <c r="B42">
        <v>45751</v>
      </c>
      <c r="C42" t="s">
        <v>17</v>
      </c>
      <c r="D42" t="s">
        <v>24</v>
      </c>
      <c r="E42" t="s">
        <v>32</v>
      </c>
      <c r="F42">
        <v>224</v>
      </c>
      <c r="G42">
        <v>5</v>
      </c>
      <c r="H42">
        <v>20</v>
      </c>
      <c r="I42" t="s">
        <v>33</v>
      </c>
      <c r="J42">
        <v>3</v>
      </c>
    </row>
    <row r="43" spans="1:10" x14ac:dyDescent="0.3">
      <c r="A43" t="s">
        <v>10</v>
      </c>
      <c r="B43">
        <v>45742</v>
      </c>
      <c r="C43" t="s">
        <v>16</v>
      </c>
      <c r="D43" t="s">
        <v>26</v>
      </c>
      <c r="E43" t="s">
        <v>29</v>
      </c>
      <c r="F43">
        <v>82</v>
      </c>
      <c r="G43">
        <v>3</v>
      </c>
      <c r="H43">
        <v>12</v>
      </c>
      <c r="I43" t="s">
        <v>33</v>
      </c>
      <c r="J43">
        <v>1</v>
      </c>
    </row>
    <row r="44" spans="1:10" x14ac:dyDescent="0.3">
      <c r="A44" t="s">
        <v>11</v>
      </c>
      <c r="B44">
        <v>45756</v>
      </c>
      <c r="C44" t="s">
        <v>13</v>
      </c>
      <c r="D44" t="s">
        <v>24</v>
      </c>
      <c r="E44" t="s">
        <v>28</v>
      </c>
      <c r="F44">
        <v>75</v>
      </c>
      <c r="G44">
        <v>1</v>
      </c>
      <c r="H44">
        <v>17</v>
      </c>
      <c r="I44" t="s">
        <v>35</v>
      </c>
      <c r="J44">
        <v>2</v>
      </c>
    </row>
    <row r="45" spans="1:10" x14ac:dyDescent="0.3">
      <c r="A45" t="s">
        <v>11</v>
      </c>
      <c r="B45">
        <v>45751</v>
      </c>
      <c r="C45" t="s">
        <v>22</v>
      </c>
      <c r="D45" t="s">
        <v>25</v>
      </c>
      <c r="E45" t="s">
        <v>30</v>
      </c>
      <c r="F45">
        <v>87</v>
      </c>
      <c r="G45">
        <v>2</v>
      </c>
      <c r="H45">
        <v>9</v>
      </c>
      <c r="I45" t="s">
        <v>34</v>
      </c>
      <c r="J45">
        <v>2</v>
      </c>
    </row>
    <row r="46" spans="1:10" x14ac:dyDescent="0.3">
      <c r="A46" t="s">
        <v>10</v>
      </c>
      <c r="B46">
        <v>45751</v>
      </c>
      <c r="C46" t="s">
        <v>20</v>
      </c>
      <c r="D46" t="s">
        <v>20</v>
      </c>
      <c r="E46" t="s">
        <v>31</v>
      </c>
      <c r="F46">
        <v>118</v>
      </c>
      <c r="G46">
        <v>1</v>
      </c>
      <c r="H46">
        <v>17</v>
      </c>
      <c r="I46" t="s">
        <v>34</v>
      </c>
      <c r="J46">
        <v>1</v>
      </c>
    </row>
    <row r="47" spans="1:10" x14ac:dyDescent="0.3">
      <c r="A47" t="s">
        <v>10</v>
      </c>
      <c r="B47">
        <v>45755</v>
      </c>
      <c r="C47" t="s">
        <v>16</v>
      </c>
      <c r="D47" t="s">
        <v>26</v>
      </c>
      <c r="E47" t="s">
        <v>28</v>
      </c>
      <c r="F47">
        <v>199</v>
      </c>
      <c r="G47">
        <v>2</v>
      </c>
      <c r="H47">
        <v>11</v>
      </c>
      <c r="I47" t="s">
        <v>34</v>
      </c>
      <c r="J47">
        <v>2</v>
      </c>
    </row>
    <row r="48" spans="1:10" x14ac:dyDescent="0.3">
      <c r="A48" t="s">
        <v>10</v>
      </c>
      <c r="B48">
        <v>45742</v>
      </c>
      <c r="C48" t="s">
        <v>18</v>
      </c>
      <c r="D48" t="s">
        <v>27</v>
      </c>
      <c r="E48" t="s">
        <v>28</v>
      </c>
      <c r="F48">
        <v>131</v>
      </c>
      <c r="G48">
        <v>2</v>
      </c>
      <c r="H48">
        <v>12</v>
      </c>
      <c r="I48" t="s">
        <v>35</v>
      </c>
      <c r="J48">
        <v>3</v>
      </c>
    </row>
    <row r="49" spans="1:10" x14ac:dyDescent="0.3">
      <c r="A49" t="s">
        <v>10</v>
      </c>
      <c r="B49">
        <v>45741</v>
      </c>
      <c r="C49" t="s">
        <v>19</v>
      </c>
      <c r="D49" t="s">
        <v>23</v>
      </c>
      <c r="E49" t="s">
        <v>30</v>
      </c>
      <c r="F49">
        <v>88</v>
      </c>
      <c r="G49">
        <v>1</v>
      </c>
      <c r="H49">
        <v>18</v>
      </c>
      <c r="I49" t="s">
        <v>34</v>
      </c>
      <c r="J49">
        <v>1</v>
      </c>
    </row>
    <row r="50" spans="1:10" x14ac:dyDescent="0.3">
      <c r="A50" t="s">
        <v>10</v>
      </c>
      <c r="B50">
        <v>45764</v>
      </c>
      <c r="C50" t="s">
        <v>21</v>
      </c>
      <c r="D50" t="s">
        <v>26</v>
      </c>
      <c r="E50" t="s">
        <v>30</v>
      </c>
      <c r="F50">
        <v>209</v>
      </c>
      <c r="G50">
        <v>4</v>
      </c>
      <c r="H50">
        <v>15</v>
      </c>
      <c r="I50" t="s">
        <v>35</v>
      </c>
    </row>
    <row r="51" spans="1:10" x14ac:dyDescent="0.3">
      <c r="A51" t="s">
        <v>11</v>
      </c>
      <c r="B51">
        <v>45761</v>
      </c>
      <c r="C51" t="s">
        <v>13</v>
      </c>
      <c r="D51" t="s">
        <v>24</v>
      </c>
      <c r="E51" t="s">
        <v>28</v>
      </c>
      <c r="F51">
        <v>223</v>
      </c>
      <c r="G51">
        <v>1</v>
      </c>
      <c r="H51">
        <v>20</v>
      </c>
      <c r="I51" t="s">
        <v>33</v>
      </c>
      <c r="J51">
        <v>4</v>
      </c>
    </row>
    <row r="52" spans="1:10" x14ac:dyDescent="0.3">
      <c r="A52" t="s">
        <v>11</v>
      </c>
      <c r="B52">
        <v>45739</v>
      </c>
      <c r="C52" t="s">
        <v>19</v>
      </c>
      <c r="D52" t="s">
        <v>23</v>
      </c>
      <c r="E52" t="s">
        <v>31</v>
      </c>
      <c r="F52">
        <v>164</v>
      </c>
      <c r="G52">
        <v>2</v>
      </c>
      <c r="H52">
        <v>17</v>
      </c>
      <c r="I52" t="s">
        <v>34</v>
      </c>
      <c r="J52">
        <v>3</v>
      </c>
    </row>
    <row r="53" spans="1:10" x14ac:dyDescent="0.3">
      <c r="A53" t="s">
        <v>11</v>
      </c>
      <c r="B53">
        <v>45750</v>
      </c>
      <c r="C53" t="s">
        <v>14</v>
      </c>
      <c r="D53" t="s">
        <v>25</v>
      </c>
      <c r="E53" t="s">
        <v>29</v>
      </c>
      <c r="F53">
        <v>109</v>
      </c>
      <c r="G53">
        <v>2</v>
      </c>
      <c r="H53">
        <v>14</v>
      </c>
      <c r="I53" t="s">
        <v>35</v>
      </c>
    </row>
    <row r="54" spans="1:10" x14ac:dyDescent="0.3">
      <c r="A54" t="s">
        <v>11</v>
      </c>
      <c r="B54">
        <v>45742</v>
      </c>
      <c r="C54" t="s">
        <v>12</v>
      </c>
      <c r="D54" t="s">
        <v>23</v>
      </c>
      <c r="E54" t="s">
        <v>31</v>
      </c>
      <c r="F54">
        <v>51</v>
      </c>
      <c r="G54">
        <v>4</v>
      </c>
      <c r="H54">
        <v>9</v>
      </c>
      <c r="I54" t="s">
        <v>33</v>
      </c>
      <c r="J54">
        <v>1</v>
      </c>
    </row>
    <row r="55" spans="1:10" x14ac:dyDescent="0.3">
      <c r="A55" t="s">
        <v>10</v>
      </c>
      <c r="B55">
        <v>45767</v>
      </c>
      <c r="C55" t="s">
        <v>17</v>
      </c>
      <c r="D55" t="s">
        <v>24</v>
      </c>
      <c r="E55" t="s">
        <v>28</v>
      </c>
      <c r="F55">
        <v>208</v>
      </c>
      <c r="G55">
        <v>1</v>
      </c>
      <c r="H55">
        <v>12</v>
      </c>
      <c r="I55" t="s">
        <v>33</v>
      </c>
      <c r="J55">
        <v>2</v>
      </c>
    </row>
    <row r="56" spans="1:10" x14ac:dyDescent="0.3">
      <c r="A56" t="s">
        <v>11</v>
      </c>
      <c r="B56">
        <v>45744</v>
      </c>
      <c r="C56" t="s">
        <v>16</v>
      </c>
      <c r="D56" t="s">
        <v>26</v>
      </c>
      <c r="E56" t="s">
        <v>30</v>
      </c>
      <c r="F56">
        <v>146</v>
      </c>
      <c r="G56">
        <v>3</v>
      </c>
      <c r="H56">
        <v>9</v>
      </c>
      <c r="I56" t="s">
        <v>33</v>
      </c>
      <c r="J56">
        <v>2</v>
      </c>
    </row>
    <row r="57" spans="1:10" x14ac:dyDescent="0.3">
      <c r="A57" t="s">
        <v>10</v>
      </c>
      <c r="B57">
        <v>45757</v>
      </c>
      <c r="C57" t="s">
        <v>21</v>
      </c>
      <c r="D57" t="s">
        <v>26</v>
      </c>
      <c r="E57" t="s">
        <v>29</v>
      </c>
      <c r="F57">
        <v>79</v>
      </c>
      <c r="G57">
        <v>3</v>
      </c>
      <c r="H57">
        <v>17</v>
      </c>
      <c r="I57" t="s">
        <v>33</v>
      </c>
      <c r="J57">
        <v>5</v>
      </c>
    </row>
    <row r="58" spans="1:10" x14ac:dyDescent="0.3">
      <c r="A58" t="s">
        <v>10</v>
      </c>
      <c r="B58">
        <v>45753</v>
      </c>
      <c r="C58" t="s">
        <v>17</v>
      </c>
      <c r="D58" t="s">
        <v>24</v>
      </c>
      <c r="E58" t="s">
        <v>32</v>
      </c>
      <c r="F58">
        <v>61</v>
      </c>
      <c r="G58">
        <v>3</v>
      </c>
      <c r="H58">
        <v>20</v>
      </c>
      <c r="I58" t="s">
        <v>33</v>
      </c>
      <c r="J58">
        <v>5</v>
      </c>
    </row>
    <row r="59" spans="1:10" x14ac:dyDescent="0.3">
      <c r="A59" t="s">
        <v>11</v>
      </c>
      <c r="B59">
        <v>45760</v>
      </c>
      <c r="C59" t="s">
        <v>18</v>
      </c>
      <c r="D59" t="s">
        <v>27</v>
      </c>
      <c r="E59" t="s">
        <v>30</v>
      </c>
      <c r="F59">
        <v>152</v>
      </c>
      <c r="G59">
        <v>3</v>
      </c>
      <c r="H59">
        <v>20</v>
      </c>
      <c r="I59" t="s">
        <v>34</v>
      </c>
    </row>
    <row r="60" spans="1:10" x14ac:dyDescent="0.3">
      <c r="A60" t="s">
        <v>11</v>
      </c>
      <c r="B60">
        <v>45744</v>
      </c>
      <c r="C60" t="s">
        <v>17</v>
      </c>
      <c r="D60" t="s">
        <v>24</v>
      </c>
      <c r="E60" t="s">
        <v>32</v>
      </c>
      <c r="F60">
        <v>185</v>
      </c>
      <c r="G60">
        <v>2</v>
      </c>
      <c r="H60">
        <v>12</v>
      </c>
      <c r="I60" t="s">
        <v>35</v>
      </c>
      <c r="J60">
        <v>2</v>
      </c>
    </row>
    <row r="61" spans="1:10" x14ac:dyDescent="0.3">
      <c r="A61" t="s">
        <v>11</v>
      </c>
      <c r="B61">
        <v>45765</v>
      </c>
      <c r="C61" t="s">
        <v>22</v>
      </c>
      <c r="D61" t="s">
        <v>25</v>
      </c>
      <c r="E61" t="s">
        <v>31</v>
      </c>
      <c r="F61">
        <v>172</v>
      </c>
      <c r="G61">
        <v>2</v>
      </c>
      <c r="H61">
        <v>11</v>
      </c>
      <c r="I61" t="s">
        <v>33</v>
      </c>
      <c r="J61">
        <v>3</v>
      </c>
    </row>
    <row r="62" spans="1:10" x14ac:dyDescent="0.3">
      <c r="A62" t="s">
        <v>10</v>
      </c>
      <c r="B62">
        <v>45756</v>
      </c>
      <c r="C62" t="s">
        <v>13</v>
      </c>
      <c r="D62" t="s">
        <v>24</v>
      </c>
      <c r="E62" t="s">
        <v>28</v>
      </c>
      <c r="F62">
        <v>124</v>
      </c>
      <c r="G62">
        <v>2</v>
      </c>
      <c r="H62">
        <v>14</v>
      </c>
      <c r="I62" t="s">
        <v>35</v>
      </c>
      <c r="J62">
        <v>1</v>
      </c>
    </row>
    <row r="63" spans="1:10" x14ac:dyDescent="0.3">
      <c r="A63" t="s">
        <v>11</v>
      </c>
      <c r="B63">
        <v>45767</v>
      </c>
      <c r="C63" t="s">
        <v>12</v>
      </c>
      <c r="D63" t="s">
        <v>23</v>
      </c>
      <c r="E63" t="s">
        <v>28</v>
      </c>
      <c r="F63">
        <v>104</v>
      </c>
      <c r="G63">
        <v>5</v>
      </c>
      <c r="H63">
        <v>18</v>
      </c>
      <c r="I63" t="s">
        <v>34</v>
      </c>
      <c r="J63">
        <v>3</v>
      </c>
    </row>
    <row r="64" spans="1:10" x14ac:dyDescent="0.3">
      <c r="A64" t="s">
        <v>10</v>
      </c>
      <c r="B64">
        <v>45751</v>
      </c>
      <c r="C64" t="s">
        <v>18</v>
      </c>
      <c r="D64" t="s">
        <v>27</v>
      </c>
      <c r="E64" t="s">
        <v>31</v>
      </c>
      <c r="F64">
        <v>150</v>
      </c>
      <c r="G64">
        <v>1</v>
      </c>
      <c r="H64">
        <v>17</v>
      </c>
      <c r="I64" t="s">
        <v>34</v>
      </c>
      <c r="J64">
        <v>4</v>
      </c>
    </row>
    <row r="65" spans="1:10" x14ac:dyDescent="0.3">
      <c r="A65" t="s">
        <v>10</v>
      </c>
      <c r="B65">
        <v>45762</v>
      </c>
      <c r="C65" t="s">
        <v>13</v>
      </c>
      <c r="D65" t="s">
        <v>24</v>
      </c>
      <c r="E65" t="s">
        <v>32</v>
      </c>
      <c r="F65">
        <v>192</v>
      </c>
      <c r="G65">
        <v>5</v>
      </c>
      <c r="H65">
        <v>22</v>
      </c>
      <c r="I65" t="s">
        <v>35</v>
      </c>
      <c r="J65">
        <v>3</v>
      </c>
    </row>
    <row r="66" spans="1:10" x14ac:dyDescent="0.3">
      <c r="A66" t="s">
        <v>10</v>
      </c>
      <c r="B66">
        <v>45752</v>
      </c>
      <c r="C66" t="s">
        <v>22</v>
      </c>
      <c r="D66" t="s">
        <v>25</v>
      </c>
      <c r="E66" t="s">
        <v>29</v>
      </c>
      <c r="F66">
        <v>115</v>
      </c>
      <c r="G66">
        <v>2</v>
      </c>
      <c r="H66">
        <v>25</v>
      </c>
      <c r="I66" t="s">
        <v>35</v>
      </c>
      <c r="J66">
        <v>3</v>
      </c>
    </row>
    <row r="67" spans="1:10" x14ac:dyDescent="0.3">
      <c r="A67" t="s">
        <v>11</v>
      </c>
      <c r="B67">
        <v>45767</v>
      </c>
      <c r="C67" t="s">
        <v>20</v>
      </c>
      <c r="D67" t="s">
        <v>20</v>
      </c>
      <c r="E67" t="s">
        <v>28</v>
      </c>
      <c r="F67">
        <v>80</v>
      </c>
      <c r="G67">
        <v>4</v>
      </c>
      <c r="H67">
        <v>8</v>
      </c>
      <c r="I67" t="s">
        <v>35</v>
      </c>
      <c r="J67">
        <v>3</v>
      </c>
    </row>
    <row r="68" spans="1:10" x14ac:dyDescent="0.3">
      <c r="A68" t="s">
        <v>11</v>
      </c>
      <c r="B68">
        <v>45748</v>
      </c>
      <c r="C68" t="s">
        <v>15</v>
      </c>
      <c r="D68" t="s">
        <v>25</v>
      </c>
      <c r="E68" t="s">
        <v>29</v>
      </c>
      <c r="F68">
        <v>79</v>
      </c>
      <c r="G68">
        <v>4</v>
      </c>
      <c r="H68">
        <v>8</v>
      </c>
      <c r="I68" t="s">
        <v>35</v>
      </c>
      <c r="J68">
        <v>3</v>
      </c>
    </row>
    <row r="69" spans="1:10" x14ac:dyDescent="0.3">
      <c r="A69" t="s">
        <v>10</v>
      </c>
      <c r="B69">
        <v>45745</v>
      </c>
      <c r="C69" t="s">
        <v>20</v>
      </c>
      <c r="D69" t="s">
        <v>20</v>
      </c>
      <c r="E69" t="s">
        <v>32</v>
      </c>
      <c r="F69">
        <v>59</v>
      </c>
      <c r="G69">
        <v>4</v>
      </c>
      <c r="H69">
        <v>13</v>
      </c>
      <c r="I69" t="s">
        <v>33</v>
      </c>
      <c r="J69">
        <v>3</v>
      </c>
    </row>
    <row r="70" spans="1:10" x14ac:dyDescent="0.3">
      <c r="A70" t="s">
        <v>10</v>
      </c>
      <c r="B70">
        <v>45754</v>
      </c>
      <c r="C70" t="s">
        <v>14</v>
      </c>
      <c r="D70" t="s">
        <v>25</v>
      </c>
      <c r="E70" t="s">
        <v>29</v>
      </c>
      <c r="F70">
        <v>210</v>
      </c>
      <c r="G70">
        <v>5</v>
      </c>
      <c r="H70">
        <v>15</v>
      </c>
      <c r="I70" t="s">
        <v>33</v>
      </c>
      <c r="J70">
        <v>5</v>
      </c>
    </row>
    <row r="71" spans="1:10" x14ac:dyDescent="0.3">
      <c r="A71" t="s">
        <v>10</v>
      </c>
      <c r="B71">
        <v>45757</v>
      </c>
      <c r="C71" t="s">
        <v>12</v>
      </c>
      <c r="D71" t="s">
        <v>23</v>
      </c>
      <c r="E71" t="s">
        <v>30</v>
      </c>
      <c r="F71">
        <v>144</v>
      </c>
      <c r="G71">
        <v>1</v>
      </c>
      <c r="H71">
        <v>15</v>
      </c>
      <c r="I71" t="s">
        <v>33</v>
      </c>
      <c r="J71">
        <v>2</v>
      </c>
    </row>
    <row r="72" spans="1:10" x14ac:dyDescent="0.3">
      <c r="A72" t="s">
        <v>10</v>
      </c>
      <c r="B72">
        <v>45754</v>
      </c>
      <c r="C72" t="s">
        <v>17</v>
      </c>
      <c r="D72" t="s">
        <v>24</v>
      </c>
      <c r="E72" t="s">
        <v>32</v>
      </c>
      <c r="F72">
        <v>73</v>
      </c>
      <c r="G72">
        <v>1</v>
      </c>
      <c r="H72">
        <v>15</v>
      </c>
      <c r="I72" t="s">
        <v>34</v>
      </c>
      <c r="J72">
        <v>3</v>
      </c>
    </row>
    <row r="73" spans="1:10" x14ac:dyDescent="0.3">
      <c r="A73" t="s">
        <v>11</v>
      </c>
      <c r="B73">
        <v>45755</v>
      </c>
      <c r="C73" t="s">
        <v>14</v>
      </c>
      <c r="D73" t="s">
        <v>25</v>
      </c>
      <c r="E73" t="s">
        <v>31</v>
      </c>
      <c r="F73">
        <v>34</v>
      </c>
      <c r="G73">
        <v>4</v>
      </c>
      <c r="H73">
        <v>9</v>
      </c>
      <c r="I73" t="s">
        <v>35</v>
      </c>
      <c r="J73">
        <v>1</v>
      </c>
    </row>
    <row r="74" spans="1:10" x14ac:dyDescent="0.3">
      <c r="A74" t="s">
        <v>11</v>
      </c>
      <c r="B74">
        <v>45754</v>
      </c>
      <c r="C74" t="s">
        <v>21</v>
      </c>
      <c r="D74" t="s">
        <v>26</v>
      </c>
      <c r="E74" t="s">
        <v>32</v>
      </c>
      <c r="F74">
        <v>228</v>
      </c>
      <c r="G74">
        <v>4</v>
      </c>
      <c r="H74">
        <v>8</v>
      </c>
      <c r="I74" t="s">
        <v>34</v>
      </c>
      <c r="J74">
        <v>5</v>
      </c>
    </row>
    <row r="75" spans="1:10" x14ac:dyDescent="0.3">
      <c r="A75" t="s">
        <v>10</v>
      </c>
      <c r="B75">
        <v>45760</v>
      </c>
      <c r="C75" t="s">
        <v>12</v>
      </c>
      <c r="D75" t="s">
        <v>23</v>
      </c>
      <c r="E75" t="s">
        <v>30</v>
      </c>
      <c r="F75">
        <v>170</v>
      </c>
      <c r="G75">
        <v>4</v>
      </c>
      <c r="H75">
        <v>19</v>
      </c>
      <c r="I75" t="s">
        <v>35</v>
      </c>
      <c r="J75">
        <v>1</v>
      </c>
    </row>
    <row r="76" spans="1:10" x14ac:dyDescent="0.3">
      <c r="A76" t="s">
        <v>10</v>
      </c>
      <c r="B76">
        <v>45758</v>
      </c>
      <c r="C76" t="s">
        <v>18</v>
      </c>
      <c r="D76" t="s">
        <v>27</v>
      </c>
      <c r="E76" t="s">
        <v>31</v>
      </c>
      <c r="F76">
        <v>184</v>
      </c>
      <c r="G76">
        <v>1</v>
      </c>
      <c r="H76">
        <v>25</v>
      </c>
      <c r="I76" t="s">
        <v>33</v>
      </c>
    </row>
    <row r="77" spans="1:10" x14ac:dyDescent="0.3">
      <c r="A77" t="s">
        <v>11</v>
      </c>
      <c r="B77">
        <v>45764</v>
      </c>
      <c r="C77" t="s">
        <v>17</v>
      </c>
      <c r="D77" t="s">
        <v>24</v>
      </c>
      <c r="E77" t="s">
        <v>30</v>
      </c>
      <c r="F77">
        <v>153</v>
      </c>
      <c r="G77">
        <v>1</v>
      </c>
      <c r="H77">
        <v>18</v>
      </c>
      <c r="I77" t="s">
        <v>34</v>
      </c>
      <c r="J77">
        <v>5</v>
      </c>
    </row>
    <row r="78" spans="1:10" x14ac:dyDescent="0.3">
      <c r="A78" t="s">
        <v>10</v>
      </c>
      <c r="B78">
        <v>45762</v>
      </c>
      <c r="C78" t="s">
        <v>17</v>
      </c>
      <c r="D78" t="s">
        <v>24</v>
      </c>
      <c r="E78" t="s">
        <v>31</v>
      </c>
      <c r="F78">
        <v>249</v>
      </c>
      <c r="G78">
        <v>3</v>
      </c>
      <c r="H78">
        <v>16</v>
      </c>
      <c r="I78" t="s">
        <v>34</v>
      </c>
      <c r="J78">
        <v>5</v>
      </c>
    </row>
    <row r="79" spans="1:10" x14ac:dyDescent="0.3">
      <c r="A79" t="s">
        <v>10</v>
      </c>
      <c r="B79">
        <v>45753</v>
      </c>
      <c r="C79" t="s">
        <v>12</v>
      </c>
      <c r="D79" t="s">
        <v>23</v>
      </c>
      <c r="E79" t="s">
        <v>31</v>
      </c>
      <c r="F79">
        <v>159</v>
      </c>
      <c r="G79">
        <v>1</v>
      </c>
      <c r="H79">
        <v>11</v>
      </c>
      <c r="I79" t="s">
        <v>33</v>
      </c>
      <c r="J79">
        <v>4</v>
      </c>
    </row>
    <row r="80" spans="1:10" x14ac:dyDescent="0.3">
      <c r="A80" t="s">
        <v>11</v>
      </c>
      <c r="B80">
        <v>45757</v>
      </c>
      <c r="C80" t="s">
        <v>14</v>
      </c>
      <c r="D80" t="s">
        <v>25</v>
      </c>
      <c r="E80" t="s">
        <v>28</v>
      </c>
      <c r="F80">
        <v>234</v>
      </c>
      <c r="G80">
        <v>3</v>
      </c>
      <c r="H80">
        <v>14</v>
      </c>
      <c r="I80" t="s">
        <v>34</v>
      </c>
      <c r="J80">
        <v>5</v>
      </c>
    </row>
    <row r="81" spans="1:10" x14ac:dyDescent="0.3">
      <c r="A81" t="s">
        <v>10</v>
      </c>
      <c r="B81">
        <v>45753</v>
      </c>
      <c r="C81" t="s">
        <v>16</v>
      </c>
      <c r="D81" t="s">
        <v>26</v>
      </c>
      <c r="E81" t="s">
        <v>29</v>
      </c>
      <c r="F81">
        <v>204</v>
      </c>
      <c r="G81">
        <v>1</v>
      </c>
      <c r="H81">
        <v>23</v>
      </c>
      <c r="I81" t="s">
        <v>35</v>
      </c>
      <c r="J81">
        <v>4</v>
      </c>
    </row>
    <row r="82" spans="1:10" x14ac:dyDescent="0.3">
      <c r="A82" t="s">
        <v>10</v>
      </c>
      <c r="B82">
        <v>45750</v>
      </c>
      <c r="C82" t="s">
        <v>16</v>
      </c>
      <c r="D82" t="s">
        <v>26</v>
      </c>
      <c r="E82" t="s">
        <v>32</v>
      </c>
      <c r="F82">
        <v>203</v>
      </c>
      <c r="G82">
        <v>4</v>
      </c>
      <c r="H82">
        <v>10</v>
      </c>
      <c r="I82" t="s">
        <v>35</v>
      </c>
      <c r="J82">
        <v>5</v>
      </c>
    </row>
    <row r="83" spans="1:10" x14ac:dyDescent="0.3">
      <c r="A83" t="s">
        <v>11</v>
      </c>
      <c r="B83">
        <v>45754</v>
      </c>
      <c r="C83" t="s">
        <v>13</v>
      </c>
      <c r="D83" t="s">
        <v>24</v>
      </c>
      <c r="E83" t="s">
        <v>32</v>
      </c>
      <c r="F83">
        <v>160</v>
      </c>
      <c r="G83">
        <v>4</v>
      </c>
      <c r="H83">
        <v>18</v>
      </c>
      <c r="I83" t="s">
        <v>34</v>
      </c>
      <c r="J83">
        <v>5</v>
      </c>
    </row>
    <row r="84" spans="1:10" x14ac:dyDescent="0.3">
      <c r="A84" t="s">
        <v>10</v>
      </c>
      <c r="B84">
        <v>45760</v>
      </c>
      <c r="C84" t="s">
        <v>17</v>
      </c>
      <c r="D84" t="s">
        <v>24</v>
      </c>
      <c r="E84" t="s">
        <v>28</v>
      </c>
      <c r="F84">
        <v>221</v>
      </c>
      <c r="G84">
        <v>5</v>
      </c>
      <c r="H84">
        <v>24</v>
      </c>
      <c r="I84" t="s">
        <v>34</v>
      </c>
      <c r="J84">
        <v>5</v>
      </c>
    </row>
    <row r="85" spans="1:10" x14ac:dyDescent="0.3">
      <c r="A85" t="s">
        <v>11</v>
      </c>
      <c r="B85">
        <v>45768</v>
      </c>
      <c r="C85" t="s">
        <v>16</v>
      </c>
      <c r="D85" t="s">
        <v>26</v>
      </c>
      <c r="E85" t="s">
        <v>29</v>
      </c>
      <c r="F85">
        <v>238</v>
      </c>
      <c r="G85">
        <v>5</v>
      </c>
      <c r="H85">
        <v>8</v>
      </c>
      <c r="I85" t="s">
        <v>34</v>
      </c>
      <c r="J85">
        <v>3</v>
      </c>
    </row>
    <row r="86" spans="1:10" x14ac:dyDescent="0.3">
      <c r="A86" t="s">
        <v>10</v>
      </c>
      <c r="B86">
        <v>45759</v>
      </c>
      <c r="C86" t="s">
        <v>12</v>
      </c>
      <c r="D86" t="s">
        <v>23</v>
      </c>
      <c r="E86" t="s">
        <v>28</v>
      </c>
      <c r="F86">
        <v>225</v>
      </c>
      <c r="G86">
        <v>2</v>
      </c>
      <c r="H86">
        <v>21</v>
      </c>
      <c r="I86" t="s">
        <v>33</v>
      </c>
      <c r="J86">
        <v>1</v>
      </c>
    </row>
    <row r="87" spans="1:10" x14ac:dyDescent="0.3">
      <c r="A87" t="s">
        <v>11</v>
      </c>
      <c r="B87">
        <v>45760</v>
      </c>
      <c r="C87" t="s">
        <v>20</v>
      </c>
      <c r="D87" t="s">
        <v>20</v>
      </c>
      <c r="E87" t="s">
        <v>29</v>
      </c>
      <c r="F87">
        <v>201</v>
      </c>
      <c r="G87">
        <v>5</v>
      </c>
      <c r="H87">
        <v>12</v>
      </c>
      <c r="I87" t="s">
        <v>34</v>
      </c>
      <c r="J87">
        <v>3</v>
      </c>
    </row>
    <row r="88" spans="1:10" x14ac:dyDescent="0.3">
      <c r="A88" t="s">
        <v>10</v>
      </c>
      <c r="B88">
        <v>45767</v>
      </c>
      <c r="C88" t="s">
        <v>12</v>
      </c>
      <c r="D88" t="s">
        <v>23</v>
      </c>
      <c r="E88" t="s">
        <v>29</v>
      </c>
      <c r="F88">
        <v>172</v>
      </c>
      <c r="G88">
        <v>5</v>
      </c>
      <c r="H88">
        <v>23</v>
      </c>
      <c r="I88" t="s">
        <v>34</v>
      </c>
    </row>
    <row r="89" spans="1:10" x14ac:dyDescent="0.3">
      <c r="A89" t="s">
        <v>11</v>
      </c>
      <c r="B89">
        <v>45744</v>
      </c>
      <c r="C89" t="s">
        <v>12</v>
      </c>
      <c r="D89" t="s">
        <v>23</v>
      </c>
      <c r="E89" t="s">
        <v>30</v>
      </c>
      <c r="F89">
        <v>184</v>
      </c>
      <c r="G89">
        <v>1</v>
      </c>
      <c r="H89">
        <v>14</v>
      </c>
      <c r="I89" t="s">
        <v>34</v>
      </c>
      <c r="J89">
        <v>5</v>
      </c>
    </row>
    <row r="90" spans="1:10" x14ac:dyDescent="0.3">
      <c r="A90" t="s">
        <v>10</v>
      </c>
      <c r="B90">
        <v>45746</v>
      </c>
      <c r="C90" t="s">
        <v>16</v>
      </c>
      <c r="D90" t="s">
        <v>26</v>
      </c>
      <c r="E90" t="s">
        <v>30</v>
      </c>
      <c r="F90">
        <v>142</v>
      </c>
      <c r="G90">
        <v>3</v>
      </c>
      <c r="H90">
        <v>18</v>
      </c>
      <c r="I90" t="s">
        <v>33</v>
      </c>
      <c r="J90">
        <v>2</v>
      </c>
    </row>
    <row r="91" spans="1:10" x14ac:dyDescent="0.3">
      <c r="A91" t="s">
        <v>10</v>
      </c>
      <c r="B91">
        <v>45752</v>
      </c>
      <c r="C91" t="s">
        <v>13</v>
      </c>
      <c r="D91" t="s">
        <v>24</v>
      </c>
      <c r="E91" t="s">
        <v>30</v>
      </c>
      <c r="F91">
        <v>31</v>
      </c>
      <c r="G91">
        <v>4</v>
      </c>
      <c r="H91">
        <v>22</v>
      </c>
      <c r="I91" t="s">
        <v>34</v>
      </c>
      <c r="J91">
        <v>2</v>
      </c>
    </row>
    <row r="92" spans="1:10" x14ac:dyDescent="0.3">
      <c r="A92" t="s">
        <v>11</v>
      </c>
      <c r="B92">
        <v>45765</v>
      </c>
      <c r="C92" t="s">
        <v>19</v>
      </c>
      <c r="D92" t="s">
        <v>23</v>
      </c>
      <c r="E92" t="s">
        <v>30</v>
      </c>
      <c r="F92">
        <v>113</v>
      </c>
      <c r="G92">
        <v>3</v>
      </c>
      <c r="H92">
        <v>14</v>
      </c>
      <c r="I92" t="s">
        <v>35</v>
      </c>
      <c r="J92">
        <v>5</v>
      </c>
    </row>
    <row r="93" spans="1:10" x14ac:dyDescent="0.3">
      <c r="A93" t="s">
        <v>11</v>
      </c>
      <c r="B93">
        <v>45760</v>
      </c>
      <c r="C93" t="s">
        <v>15</v>
      </c>
      <c r="D93" t="s">
        <v>25</v>
      </c>
      <c r="E93" t="s">
        <v>32</v>
      </c>
      <c r="F93">
        <v>208</v>
      </c>
      <c r="G93">
        <v>1</v>
      </c>
      <c r="H93">
        <v>12</v>
      </c>
      <c r="I93" t="s">
        <v>35</v>
      </c>
      <c r="J93">
        <v>5</v>
      </c>
    </row>
    <row r="94" spans="1:10" x14ac:dyDescent="0.3">
      <c r="A94" t="s">
        <v>11</v>
      </c>
      <c r="B94">
        <v>45741</v>
      </c>
      <c r="C94" t="s">
        <v>16</v>
      </c>
      <c r="D94" t="s">
        <v>26</v>
      </c>
      <c r="E94" t="s">
        <v>29</v>
      </c>
      <c r="F94">
        <v>197</v>
      </c>
      <c r="G94">
        <v>4</v>
      </c>
      <c r="H94">
        <v>16</v>
      </c>
      <c r="I94" t="s">
        <v>33</v>
      </c>
      <c r="J94">
        <v>2</v>
      </c>
    </row>
    <row r="95" spans="1:10" x14ac:dyDescent="0.3">
      <c r="A95" t="s">
        <v>10</v>
      </c>
      <c r="B95">
        <v>45753</v>
      </c>
      <c r="C95" t="s">
        <v>16</v>
      </c>
      <c r="D95" t="s">
        <v>26</v>
      </c>
      <c r="E95" t="s">
        <v>32</v>
      </c>
      <c r="F95">
        <v>104</v>
      </c>
      <c r="G95">
        <v>5</v>
      </c>
      <c r="H95">
        <v>12</v>
      </c>
      <c r="I95" t="s">
        <v>33</v>
      </c>
      <c r="J95">
        <v>3</v>
      </c>
    </row>
    <row r="96" spans="1:10" x14ac:dyDescent="0.3">
      <c r="A96" t="s">
        <v>10</v>
      </c>
      <c r="B96">
        <v>45761</v>
      </c>
      <c r="C96" t="s">
        <v>20</v>
      </c>
      <c r="D96" t="s">
        <v>20</v>
      </c>
      <c r="E96" t="s">
        <v>30</v>
      </c>
      <c r="F96">
        <v>202</v>
      </c>
      <c r="G96">
        <v>5</v>
      </c>
      <c r="H96">
        <v>11</v>
      </c>
      <c r="I96" t="s">
        <v>33</v>
      </c>
      <c r="J96">
        <v>2</v>
      </c>
    </row>
    <row r="97" spans="1:10" x14ac:dyDescent="0.3">
      <c r="A97" t="s">
        <v>10</v>
      </c>
      <c r="B97">
        <v>45763</v>
      </c>
      <c r="C97" t="s">
        <v>22</v>
      </c>
      <c r="D97" t="s">
        <v>25</v>
      </c>
      <c r="E97" t="s">
        <v>30</v>
      </c>
      <c r="F97">
        <v>216</v>
      </c>
      <c r="G97">
        <v>4</v>
      </c>
      <c r="H97">
        <v>14</v>
      </c>
      <c r="I97" t="s">
        <v>34</v>
      </c>
      <c r="J97">
        <v>4</v>
      </c>
    </row>
    <row r="98" spans="1:10" x14ac:dyDescent="0.3">
      <c r="A98" t="s">
        <v>11</v>
      </c>
      <c r="B98">
        <v>45748</v>
      </c>
      <c r="C98" t="s">
        <v>17</v>
      </c>
      <c r="D98" t="s">
        <v>24</v>
      </c>
      <c r="E98" t="s">
        <v>32</v>
      </c>
      <c r="F98">
        <v>95</v>
      </c>
      <c r="G98">
        <v>5</v>
      </c>
      <c r="H98">
        <v>18</v>
      </c>
      <c r="I98" t="s">
        <v>33</v>
      </c>
      <c r="J98">
        <v>1</v>
      </c>
    </row>
    <row r="99" spans="1:10" x14ac:dyDescent="0.3">
      <c r="A99" t="s">
        <v>10</v>
      </c>
      <c r="B99">
        <v>45748</v>
      </c>
      <c r="C99" t="s">
        <v>22</v>
      </c>
      <c r="D99" t="s">
        <v>25</v>
      </c>
      <c r="E99" t="s">
        <v>29</v>
      </c>
      <c r="F99">
        <v>145</v>
      </c>
      <c r="G99">
        <v>5</v>
      </c>
      <c r="H99">
        <v>25</v>
      </c>
      <c r="I99" t="s">
        <v>33</v>
      </c>
      <c r="J99">
        <v>2</v>
      </c>
    </row>
    <row r="100" spans="1:10" x14ac:dyDescent="0.3">
      <c r="A100" t="s">
        <v>10</v>
      </c>
      <c r="B100">
        <v>45748</v>
      </c>
      <c r="C100" t="s">
        <v>20</v>
      </c>
      <c r="D100" t="s">
        <v>20</v>
      </c>
      <c r="E100" t="s">
        <v>29</v>
      </c>
      <c r="F100">
        <v>240</v>
      </c>
      <c r="G100">
        <v>5</v>
      </c>
      <c r="H100">
        <v>21</v>
      </c>
      <c r="I100" t="s">
        <v>34</v>
      </c>
      <c r="J100">
        <v>3</v>
      </c>
    </row>
    <row r="101" spans="1:10" x14ac:dyDescent="0.3">
      <c r="A101" t="s">
        <v>10</v>
      </c>
      <c r="B101">
        <v>45749</v>
      </c>
      <c r="C101" t="s">
        <v>20</v>
      </c>
      <c r="D101" t="s">
        <v>20</v>
      </c>
      <c r="E101" t="s">
        <v>29</v>
      </c>
      <c r="F101">
        <v>133</v>
      </c>
      <c r="G101">
        <v>1</v>
      </c>
      <c r="H101">
        <v>25</v>
      </c>
      <c r="I101" t="s">
        <v>34</v>
      </c>
      <c r="J101">
        <v>2</v>
      </c>
    </row>
    <row r="102" spans="1:10" x14ac:dyDescent="0.3">
      <c r="A102" t="s">
        <v>11</v>
      </c>
      <c r="B102">
        <v>45761</v>
      </c>
      <c r="C102" t="s">
        <v>13</v>
      </c>
      <c r="D102" t="s">
        <v>24</v>
      </c>
      <c r="E102" t="s">
        <v>28</v>
      </c>
      <c r="F102">
        <v>38</v>
      </c>
      <c r="G102">
        <v>5</v>
      </c>
      <c r="H102">
        <v>12</v>
      </c>
      <c r="I102" t="s">
        <v>34</v>
      </c>
      <c r="J102">
        <v>3</v>
      </c>
    </row>
    <row r="103" spans="1:10" x14ac:dyDescent="0.3">
      <c r="A103" t="s">
        <v>11</v>
      </c>
      <c r="B103">
        <v>45752</v>
      </c>
      <c r="C103" t="s">
        <v>12</v>
      </c>
      <c r="D103" t="s">
        <v>23</v>
      </c>
      <c r="E103" t="s">
        <v>30</v>
      </c>
      <c r="F103">
        <v>116</v>
      </c>
      <c r="G103">
        <v>3</v>
      </c>
      <c r="H103">
        <v>9</v>
      </c>
      <c r="I103" t="s">
        <v>34</v>
      </c>
      <c r="J103">
        <v>1</v>
      </c>
    </row>
    <row r="104" spans="1:10" x14ac:dyDescent="0.3">
      <c r="A104" t="s">
        <v>11</v>
      </c>
      <c r="B104">
        <v>45758</v>
      </c>
      <c r="C104" t="s">
        <v>17</v>
      </c>
      <c r="D104" t="s">
        <v>24</v>
      </c>
      <c r="E104" t="s">
        <v>30</v>
      </c>
      <c r="F104">
        <v>131</v>
      </c>
      <c r="G104">
        <v>5</v>
      </c>
      <c r="H104">
        <v>14</v>
      </c>
      <c r="I104" t="s">
        <v>34</v>
      </c>
      <c r="J104">
        <v>2</v>
      </c>
    </row>
    <row r="105" spans="1:10" x14ac:dyDescent="0.3">
      <c r="A105" t="s">
        <v>11</v>
      </c>
      <c r="B105">
        <v>45744</v>
      </c>
      <c r="C105" t="s">
        <v>16</v>
      </c>
      <c r="D105" t="s">
        <v>26</v>
      </c>
      <c r="E105" t="s">
        <v>32</v>
      </c>
      <c r="F105">
        <v>37</v>
      </c>
      <c r="G105">
        <v>2</v>
      </c>
      <c r="H105">
        <v>20</v>
      </c>
      <c r="I105" t="s">
        <v>34</v>
      </c>
      <c r="J105">
        <v>1</v>
      </c>
    </row>
    <row r="106" spans="1:10" x14ac:dyDescent="0.3">
      <c r="A106" t="s">
        <v>11</v>
      </c>
      <c r="B106">
        <v>45760</v>
      </c>
      <c r="C106" t="s">
        <v>21</v>
      </c>
      <c r="D106" t="s">
        <v>26</v>
      </c>
      <c r="E106" t="s">
        <v>32</v>
      </c>
      <c r="F106">
        <v>49</v>
      </c>
      <c r="G106">
        <v>2</v>
      </c>
      <c r="H106">
        <v>16</v>
      </c>
      <c r="I106" t="s">
        <v>35</v>
      </c>
      <c r="J106">
        <v>3</v>
      </c>
    </row>
    <row r="107" spans="1:10" x14ac:dyDescent="0.3">
      <c r="A107" t="s">
        <v>11</v>
      </c>
      <c r="B107">
        <v>45739</v>
      </c>
      <c r="C107" t="s">
        <v>20</v>
      </c>
      <c r="D107" t="s">
        <v>20</v>
      </c>
      <c r="E107" t="s">
        <v>28</v>
      </c>
      <c r="F107">
        <v>59</v>
      </c>
      <c r="G107">
        <v>3</v>
      </c>
      <c r="H107">
        <v>8</v>
      </c>
      <c r="I107" t="s">
        <v>33</v>
      </c>
    </row>
    <row r="108" spans="1:10" x14ac:dyDescent="0.3">
      <c r="A108" t="s">
        <v>10</v>
      </c>
      <c r="B108">
        <v>45747</v>
      </c>
      <c r="C108" t="s">
        <v>14</v>
      </c>
      <c r="D108" t="s">
        <v>25</v>
      </c>
      <c r="E108" t="s">
        <v>28</v>
      </c>
      <c r="F108">
        <v>168</v>
      </c>
      <c r="G108">
        <v>3</v>
      </c>
      <c r="H108">
        <v>13</v>
      </c>
      <c r="I108" t="s">
        <v>34</v>
      </c>
      <c r="J108">
        <v>1</v>
      </c>
    </row>
    <row r="109" spans="1:10" x14ac:dyDescent="0.3">
      <c r="A109" t="s">
        <v>10</v>
      </c>
      <c r="B109">
        <v>45762</v>
      </c>
      <c r="C109" t="s">
        <v>12</v>
      </c>
      <c r="D109" t="s">
        <v>23</v>
      </c>
      <c r="E109" t="s">
        <v>29</v>
      </c>
      <c r="F109">
        <v>167</v>
      </c>
      <c r="G109">
        <v>1</v>
      </c>
      <c r="H109">
        <v>11</v>
      </c>
      <c r="I109" t="s">
        <v>34</v>
      </c>
      <c r="J109">
        <v>5</v>
      </c>
    </row>
    <row r="110" spans="1:10" x14ac:dyDescent="0.3">
      <c r="A110" t="s">
        <v>10</v>
      </c>
      <c r="B110">
        <v>45768</v>
      </c>
      <c r="C110" t="s">
        <v>15</v>
      </c>
      <c r="D110" t="s">
        <v>25</v>
      </c>
      <c r="E110" t="s">
        <v>32</v>
      </c>
      <c r="F110">
        <v>164</v>
      </c>
      <c r="G110">
        <v>1</v>
      </c>
      <c r="H110">
        <v>11</v>
      </c>
      <c r="I110" t="s">
        <v>34</v>
      </c>
      <c r="J110">
        <v>2</v>
      </c>
    </row>
    <row r="111" spans="1:10" x14ac:dyDescent="0.3">
      <c r="A111" t="s">
        <v>10</v>
      </c>
      <c r="B111">
        <v>45753</v>
      </c>
      <c r="C111" t="s">
        <v>19</v>
      </c>
      <c r="D111" t="s">
        <v>23</v>
      </c>
      <c r="E111" t="s">
        <v>29</v>
      </c>
      <c r="F111">
        <v>136</v>
      </c>
      <c r="G111">
        <v>1</v>
      </c>
      <c r="H111">
        <v>19</v>
      </c>
      <c r="I111" t="s">
        <v>33</v>
      </c>
      <c r="J111">
        <v>2</v>
      </c>
    </row>
    <row r="112" spans="1:10" x14ac:dyDescent="0.3">
      <c r="A112" t="s">
        <v>11</v>
      </c>
      <c r="B112">
        <v>45751</v>
      </c>
      <c r="C112" t="s">
        <v>21</v>
      </c>
      <c r="D112" t="s">
        <v>26</v>
      </c>
      <c r="E112" t="s">
        <v>28</v>
      </c>
      <c r="F112">
        <v>97</v>
      </c>
      <c r="G112">
        <v>5</v>
      </c>
      <c r="H112">
        <v>17</v>
      </c>
      <c r="I112" t="s">
        <v>35</v>
      </c>
      <c r="J112">
        <v>2</v>
      </c>
    </row>
    <row r="113" spans="1:10" x14ac:dyDescent="0.3">
      <c r="A113" t="s">
        <v>11</v>
      </c>
      <c r="B113">
        <v>45764</v>
      </c>
      <c r="C113" t="s">
        <v>21</v>
      </c>
      <c r="D113" t="s">
        <v>26</v>
      </c>
      <c r="E113" t="s">
        <v>32</v>
      </c>
      <c r="F113">
        <v>56</v>
      </c>
      <c r="G113">
        <v>2</v>
      </c>
      <c r="H113">
        <v>12</v>
      </c>
      <c r="I113" t="s">
        <v>33</v>
      </c>
      <c r="J113">
        <v>4</v>
      </c>
    </row>
    <row r="114" spans="1:10" x14ac:dyDescent="0.3">
      <c r="A114" t="s">
        <v>10</v>
      </c>
      <c r="B114">
        <v>45757</v>
      </c>
      <c r="C114" t="s">
        <v>22</v>
      </c>
      <c r="D114" t="s">
        <v>25</v>
      </c>
      <c r="E114" t="s">
        <v>31</v>
      </c>
      <c r="F114">
        <v>36</v>
      </c>
      <c r="G114">
        <v>4</v>
      </c>
      <c r="H114">
        <v>14</v>
      </c>
      <c r="I114" t="s">
        <v>33</v>
      </c>
      <c r="J114">
        <v>5</v>
      </c>
    </row>
    <row r="115" spans="1:10" x14ac:dyDescent="0.3">
      <c r="A115" t="s">
        <v>11</v>
      </c>
      <c r="B115">
        <v>45767</v>
      </c>
      <c r="C115" t="s">
        <v>19</v>
      </c>
      <c r="D115" t="s">
        <v>23</v>
      </c>
      <c r="E115" t="s">
        <v>28</v>
      </c>
      <c r="F115">
        <v>214</v>
      </c>
      <c r="G115">
        <v>2</v>
      </c>
      <c r="H115">
        <v>15</v>
      </c>
      <c r="I115" t="s">
        <v>33</v>
      </c>
      <c r="J115">
        <v>4</v>
      </c>
    </row>
    <row r="116" spans="1:10" x14ac:dyDescent="0.3">
      <c r="A116" t="s">
        <v>11</v>
      </c>
      <c r="B116">
        <v>45763</v>
      </c>
      <c r="C116" t="s">
        <v>12</v>
      </c>
      <c r="D116" t="s">
        <v>23</v>
      </c>
      <c r="E116" t="s">
        <v>31</v>
      </c>
      <c r="F116">
        <v>234</v>
      </c>
      <c r="G116">
        <v>2</v>
      </c>
      <c r="H116">
        <v>16</v>
      </c>
      <c r="I116" t="s">
        <v>34</v>
      </c>
      <c r="J116">
        <v>3</v>
      </c>
    </row>
    <row r="117" spans="1:10" x14ac:dyDescent="0.3">
      <c r="A117" t="s">
        <v>11</v>
      </c>
      <c r="B117">
        <v>45764</v>
      </c>
      <c r="C117" t="s">
        <v>20</v>
      </c>
      <c r="D117" t="s">
        <v>20</v>
      </c>
      <c r="E117" t="s">
        <v>32</v>
      </c>
      <c r="F117">
        <v>101</v>
      </c>
      <c r="G117">
        <v>1</v>
      </c>
      <c r="H117">
        <v>13</v>
      </c>
      <c r="I117" t="s">
        <v>35</v>
      </c>
      <c r="J117">
        <v>5</v>
      </c>
    </row>
    <row r="118" spans="1:10" x14ac:dyDescent="0.3">
      <c r="A118" t="s">
        <v>11</v>
      </c>
      <c r="B118">
        <v>45754</v>
      </c>
      <c r="C118" t="s">
        <v>12</v>
      </c>
      <c r="D118" t="s">
        <v>23</v>
      </c>
      <c r="E118" t="s">
        <v>32</v>
      </c>
      <c r="F118">
        <v>136</v>
      </c>
      <c r="G118">
        <v>1</v>
      </c>
      <c r="H118">
        <v>11</v>
      </c>
      <c r="I118" t="s">
        <v>35</v>
      </c>
      <c r="J118">
        <v>2</v>
      </c>
    </row>
    <row r="119" spans="1:10" x14ac:dyDescent="0.3">
      <c r="A119" t="s">
        <v>10</v>
      </c>
      <c r="B119">
        <v>45756</v>
      </c>
      <c r="C119" t="s">
        <v>22</v>
      </c>
      <c r="D119" t="s">
        <v>25</v>
      </c>
      <c r="E119" t="s">
        <v>29</v>
      </c>
      <c r="F119">
        <v>219</v>
      </c>
      <c r="G119">
        <v>3</v>
      </c>
      <c r="H119">
        <v>25</v>
      </c>
      <c r="I119" t="s">
        <v>33</v>
      </c>
      <c r="J119">
        <v>5</v>
      </c>
    </row>
    <row r="120" spans="1:10" x14ac:dyDescent="0.3">
      <c r="A120" t="s">
        <v>10</v>
      </c>
      <c r="B120">
        <v>45765</v>
      </c>
      <c r="C120" t="s">
        <v>13</v>
      </c>
      <c r="D120" t="s">
        <v>24</v>
      </c>
      <c r="E120" t="s">
        <v>32</v>
      </c>
      <c r="F120">
        <v>177</v>
      </c>
      <c r="G120">
        <v>4</v>
      </c>
      <c r="H120">
        <v>23</v>
      </c>
      <c r="I120" t="s">
        <v>33</v>
      </c>
      <c r="J120">
        <v>3</v>
      </c>
    </row>
    <row r="121" spans="1:10" x14ac:dyDescent="0.3">
      <c r="A121" t="s">
        <v>11</v>
      </c>
      <c r="B121">
        <v>45760</v>
      </c>
      <c r="C121" t="s">
        <v>21</v>
      </c>
      <c r="D121" t="s">
        <v>26</v>
      </c>
      <c r="E121" t="s">
        <v>32</v>
      </c>
      <c r="F121">
        <v>239</v>
      </c>
      <c r="G121">
        <v>2</v>
      </c>
      <c r="H121">
        <v>8</v>
      </c>
      <c r="I121" t="s">
        <v>35</v>
      </c>
      <c r="J121">
        <v>4</v>
      </c>
    </row>
    <row r="122" spans="1:10" x14ac:dyDescent="0.3">
      <c r="A122" t="s">
        <v>10</v>
      </c>
      <c r="B122">
        <v>45739</v>
      </c>
      <c r="C122" t="s">
        <v>14</v>
      </c>
      <c r="D122" t="s">
        <v>25</v>
      </c>
      <c r="E122" t="s">
        <v>28</v>
      </c>
      <c r="F122">
        <v>128</v>
      </c>
      <c r="G122">
        <v>2</v>
      </c>
      <c r="H122">
        <v>20</v>
      </c>
      <c r="I122" t="s">
        <v>33</v>
      </c>
      <c r="J122">
        <v>5</v>
      </c>
    </row>
    <row r="123" spans="1:10" x14ac:dyDescent="0.3">
      <c r="A123" t="s">
        <v>10</v>
      </c>
      <c r="B123">
        <v>45743</v>
      </c>
      <c r="C123" t="s">
        <v>16</v>
      </c>
      <c r="D123" t="s">
        <v>26</v>
      </c>
      <c r="E123" t="s">
        <v>30</v>
      </c>
      <c r="F123">
        <v>249</v>
      </c>
      <c r="G123">
        <v>5</v>
      </c>
      <c r="H123">
        <v>13</v>
      </c>
      <c r="I123" t="s">
        <v>34</v>
      </c>
      <c r="J123">
        <v>4</v>
      </c>
    </row>
    <row r="124" spans="1:10" x14ac:dyDescent="0.3">
      <c r="A124" t="s">
        <v>11</v>
      </c>
      <c r="B124">
        <v>45741</v>
      </c>
      <c r="C124" t="s">
        <v>16</v>
      </c>
      <c r="D124" t="s">
        <v>26</v>
      </c>
      <c r="E124" t="s">
        <v>28</v>
      </c>
      <c r="F124">
        <v>124</v>
      </c>
      <c r="G124">
        <v>3</v>
      </c>
      <c r="H124">
        <v>18</v>
      </c>
      <c r="I124" t="s">
        <v>33</v>
      </c>
      <c r="J124">
        <v>2</v>
      </c>
    </row>
    <row r="125" spans="1:10" x14ac:dyDescent="0.3">
      <c r="A125" t="s">
        <v>11</v>
      </c>
      <c r="B125">
        <v>45766</v>
      </c>
      <c r="C125" t="s">
        <v>15</v>
      </c>
      <c r="D125" t="s">
        <v>25</v>
      </c>
      <c r="E125" t="s">
        <v>28</v>
      </c>
      <c r="F125">
        <v>238</v>
      </c>
      <c r="G125">
        <v>4</v>
      </c>
      <c r="H125">
        <v>19</v>
      </c>
      <c r="I125" t="s">
        <v>35</v>
      </c>
      <c r="J125">
        <v>3</v>
      </c>
    </row>
    <row r="126" spans="1:10" x14ac:dyDescent="0.3">
      <c r="A126" t="s">
        <v>11</v>
      </c>
      <c r="B126">
        <v>45745</v>
      </c>
      <c r="C126" t="s">
        <v>19</v>
      </c>
      <c r="D126" t="s">
        <v>23</v>
      </c>
      <c r="E126" t="s">
        <v>29</v>
      </c>
      <c r="F126">
        <v>231</v>
      </c>
      <c r="G126">
        <v>2</v>
      </c>
      <c r="H126">
        <v>18</v>
      </c>
      <c r="I126" t="s">
        <v>35</v>
      </c>
      <c r="J126">
        <v>5</v>
      </c>
    </row>
    <row r="127" spans="1:10" x14ac:dyDescent="0.3">
      <c r="A127" t="s">
        <v>11</v>
      </c>
      <c r="B127">
        <v>45745</v>
      </c>
      <c r="C127" t="s">
        <v>18</v>
      </c>
      <c r="D127" t="s">
        <v>27</v>
      </c>
      <c r="E127" t="s">
        <v>28</v>
      </c>
      <c r="F127">
        <v>153</v>
      </c>
      <c r="G127">
        <v>1</v>
      </c>
      <c r="H127">
        <v>12</v>
      </c>
      <c r="I127" t="s">
        <v>35</v>
      </c>
      <c r="J127">
        <v>4</v>
      </c>
    </row>
    <row r="128" spans="1:10" x14ac:dyDescent="0.3">
      <c r="A128" t="s">
        <v>10</v>
      </c>
      <c r="B128">
        <v>45767</v>
      </c>
      <c r="C128" t="s">
        <v>19</v>
      </c>
      <c r="D128" t="s">
        <v>23</v>
      </c>
      <c r="E128" t="s">
        <v>29</v>
      </c>
      <c r="F128">
        <v>101</v>
      </c>
      <c r="G128">
        <v>1</v>
      </c>
      <c r="H128">
        <v>19</v>
      </c>
      <c r="I128" t="s">
        <v>33</v>
      </c>
    </row>
    <row r="129" spans="1:10" x14ac:dyDescent="0.3">
      <c r="A129" t="s">
        <v>11</v>
      </c>
      <c r="B129">
        <v>45750</v>
      </c>
      <c r="C129" t="s">
        <v>15</v>
      </c>
      <c r="D129" t="s">
        <v>25</v>
      </c>
      <c r="E129" t="s">
        <v>31</v>
      </c>
      <c r="F129">
        <v>161</v>
      </c>
      <c r="G129">
        <v>3</v>
      </c>
      <c r="H129">
        <v>19</v>
      </c>
      <c r="I129" t="s">
        <v>33</v>
      </c>
      <c r="J129">
        <v>3</v>
      </c>
    </row>
    <row r="130" spans="1:10" x14ac:dyDescent="0.3">
      <c r="A130" t="s">
        <v>11</v>
      </c>
      <c r="B130">
        <v>45763</v>
      </c>
      <c r="C130" t="s">
        <v>21</v>
      </c>
      <c r="D130" t="s">
        <v>26</v>
      </c>
      <c r="E130" t="s">
        <v>31</v>
      </c>
      <c r="F130">
        <v>180</v>
      </c>
      <c r="G130">
        <v>3</v>
      </c>
      <c r="H130">
        <v>9</v>
      </c>
      <c r="I130" t="s">
        <v>35</v>
      </c>
      <c r="J130">
        <v>1</v>
      </c>
    </row>
    <row r="131" spans="1:10" x14ac:dyDescent="0.3">
      <c r="A131" t="s">
        <v>10</v>
      </c>
      <c r="B131">
        <v>45753</v>
      </c>
      <c r="C131" t="s">
        <v>20</v>
      </c>
      <c r="D131" t="s">
        <v>20</v>
      </c>
      <c r="E131" t="s">
        <v>31</v>
      </c>
      <c r="F131">
        <v>63</v>
      </c>
      <c r="G131">
        <v>1</v>
      </c>
      <c r="H131">
        <v>24</v>
      </c>
      <c r="I131" t="s">
        <v>33</v>
      </c>
      <c r="J131">
        <v>5</v>
      </c>
    </row>
    <row r="132" spans="1:10" x14ac:dyDescent="0.3">
      <c r="A132" t="s">
        <v>10</v>
      </c>
      <c r="B132">
        <v>45765</v>
      </c>
      <c r="C132" t="s">
        <v>17</v>
      </c>
      <c r="D132" t="s">
        <v>24</v>
      </c>
      <c r="E132" t="s">
        <v>32</v>
      </c>
      <c r="F132">
        <v>64</v>
      </c>
      <c r="G132">
        <v>1</v>
      </c>
      <c r="H132">
        <v>19</v>
      </c>
      <c r="I132" t="s">
        <v>33</v>
      </c>
    </row>
    <row r="133" spans="1:10" x14ac:dyDescent="0.3">
      <c r="A133" t="s">
        <v>11</v>
      </c>
      <c r="B133">
        <v>45754</v>
      </c>
      <c r="C133" t="s">
        <v>20</v>
      </c>
      <c r="D133" t="s">
        <v>20</v>
      </c>
      <c r="E133" t="s">
        <v>29</v>
      </c>
      <c r="F133">
        <v>206</v>
      </c>
      <c r="G133">
        <v>3</v>
      </c>
      <c r="H133">
        <v>8</v>
      </c>
      <c r="I133" t="s">
        <v>33</v>
      </c>
      <c r="J133">
        <v>4</v>
      </c>
    </row>
    <row r="134" spans="1:10" x14ac:dyDescent="0.3">
      <c r="A134" t="s">
        <v>11</v>
      </c>
      <c r="B134">
        <v>45764</v>
      </c>
      <c r="C134" t="s">
        <v>19</v>
      </c>
      <c r="D134" t="s">
        <v>23</v>
      </c>
      <c r="E134" t="s">
        <v>29</v>
      </c>
      <c r="F134">
        <v>89</v>
      </c>
      <c r="G134">
        <v>1</v>
      </c>
      <c r="H134">
        <v>17</v>
      </c>
      <c r="I134" t="s">
        <v>35</v>
      </c>
    </row>
    <row r="135" spans="1:10" x14ac:dyDescent="0.3">
      <c r="A135" t="s">
        <v>10</v>
      </c>
      <c r="B135">
        <v>45746</v>
      </c>
      <c r="C135" t="s">
        <v>16</v>
      </c>
      <c r="D135" t="s">
        <v>26</v>
      </c>
      <c r="E135" t="s">
        <v>28</v>
      </c>
      <c r="F135">
        <v>40</v>
      </c>
      <c r="G135">
        <v>1</v>
      </c>
      <c r="H135">
        <v>24</v>
      </c>
      <c r="I135" t="s">
        <v>35</v>
      </c>
      <c r="J135">
        <v>4</v>
      </c>
    </row>
    <row r="136" spans="1:10" x14ac:dyDescent="0.3">
      <c r="A136" t="s">
        <v>11</v>
      </c>
      <c r="B136">
        <v>45752</v>
      </c>
      <c r="C136" t="s">
        <v>17</v>
      </c>
      <c r="D136" t="s">
        <v>24</v>
      </c>
      <c r="E136" t="s">
        <v>31</v>
      </c>
      <c r="F136">
        <v>110</v>
      </c>
      <c r="G136">
        <v>4</v>
      </c>
      <c r="H136">
        <v>9</v>
      </c>
      <c r="I136" t="s">
        <v>35</v>
      </c>
      <c r="J136">
        <v>1</v>
      </c>
    </row>
    <row r="137" spans="1:10" x14ac:dyDescent="0.3">
      <c r="A137" t="s">
        <v>11</v>
      </c>
      <c r="B137">
        <v>45767</v>
      </c>
      <c r="C137" t="s">
        <v>15</v>
      </c>
      <c r="D137" t="s">
        <v>25</v>
      </c>
      <c r="E137" t="s">
        <v>30</v>
      </c>
      <c r="F137">
        <v>180</v>
      </c>
      <c r="G137">
        <v>5</v>
      </c>
      <c r="H137">
        <v>18</v>
      </c>
      <c r="I137" t="s">
        <v>35</v>
      </c>
      <c r="J137">
        <v>2</v>
      </c>
    </row>
    <row r="138" spans="1:10" x14ac:dyDescent="0.3">
      <c r="A138" t="s">
        <v>10</v>
      </c>
      <c r="B138">
        <v>45744</v>
      </c>
      <c r="C138" t="s">
        <v>18</v>
      </c>
      <c r="D138" t="s">
        <v>27</v>
      </c>
      <c r="E138" t="s">
        <v>31</v>
      </c>
      <c r="F138">
        <v>158</v>
      </c>
      <c r="G138">
        <v>1</v>
      </c>
      <c r="H138">
        <v>11</v>
      </c>
      <c r="I138" t="s">
        <v>35</v>
      </c>
      <c r="J138">
        <v>3</v>
      </c>
    </row>
    <row r="139" spans="1:10" x14ac:dyDescent="0.3">
      <c r="A139" t="s">
        <v>10</v>
      </c>
      <c r="B139">
        <v>45741</v>
      </c>
      <c r="C139" t="s">
        <v>22</v>
      </c>
      <c r="D139" t="s">
        <v>25</v>
      </c>
      <c r="E139" t="s">
        <v>30</v>
      </c>
      <c r="F139">
        <v>73</v>
      </c>
      <c r="G139">
        <v>2</v>
      </c>
      <c r="H139">
        <v>21</v>
      </c>
      <c r="I139" t="s">
        <v>34</v>
      </c>
      <c r="J139">
        <v>5</v>
      </c>
    </row>
    <row r="140" spans="1:10" x14ac:dyDescent="0.3">
      <c r="A140" t="s">
        <v>11</v>
      </c>
      <c r="B140">
        <v>45761</v>
      </c>
      <c r="C140" t="s">
        <v>18</v>
      </c>
      <c r="D140" t="s">
        <v>27</v>
      </c>
      <c r="E140" t="s">
        <v>28</v>
      </c>
      <c r="F140">
        <v>127</v>
      </c>
      <c r="G140">
        <v>1</v>
      </c>
      <c r="H140">
        <v>13</v>
      </c>
      <c r="I140" t="s">
        <v>34</v>
      </c>
      <c r="J140">
        <v>3</v>
      </c>
    </row>
    <row r="141" spans="1:10" x14ac:dyDescent="0.3">
      <c r="A141" t="s">
        <v>10</v>
      </c>
      <c r="B141">
        <v>45766</v>
      </c>
      <c r="C141" t="s">
        <v>21</v>
      </c>
      <c r="D141" t="s">
        <v>26</v>
      </c>
      <c r="E141" t="s">
        <v>30</v>
      </c>
      <c r="F141">
        <v>157</v>
      </c>
      <c r="G141">
        <v>2</v>
      </c>
      <c r="H141">
        <v>10</v>
      </c>
      <c r="I141" t="s">
        <v>33</v>
      </c>
      <c r="J141">
        <v>2</v>
      </c>
    </row>
    <row r="142" spans="1:10" x14ac:dyDescent="0.3">
      <c r="A142" t="s">
        <v>10</v>
      </c>
      <c r="B142">
        <v>45739</v>
      </c>
      <c r="C142" t="s">
        <v>19</v>
      </c>
      <c r="D142" t="s">
        <v>23</v>
      </c>
      <c r="E142" t="s">
        <v>28</v>
      </c>
      <c r="F142">
        <v>150</v>
      </c>
      <c r="G142">
        <v>1</v>
      </c>
      <c r="H142">
        <v>17</v>
      </c>
      <c r="I142" t="s">
        <v>33</v>
      </c>
      <c r="J142">
        <v>1</v>
      </c>
    </row>
    <row r="143" spans="1:10" x14ac:dyDescent="0.3">
      <c r="A143" t="s">
        <v>11</v>
      </c>
      <c r="B143">
        <v>45749</v>
      </c>
      <c r="C143" t="s">
        <v>17</v>
      </c>
      <c r="D143" t="s">
        <v>24</v>
      </c>
      <c r="E143" t="s">
        <v>32</v>
      </c>
      <c r="F143">
        <v>133</v>
      </c>
      <c r="G143">
        <v>3</v>
      </c>
      <c r="H143">
        <v>12</v>
      </c>
      <c r="I143" t="s">
        <v>33</v>
      </c>
      <c r="J143">
        <v>2</v>
      </c>
    </row>
    <row r="144" spans="1:10" x14ac:dyDescent="0.3">
      <c r="A144" t="s">
        <v>10</v>
      </c>
      <c r="B144">
        <v>45763</v>
      </c>
      <c r="C144" t="s">
        <v>21</v>
      </c>
      <c r="D144" t="s">
        <v>26</v>
      </c>
      <c r="E144" t="s">
        <v>30</v>
      </c>
      <c r="F144">
        <v>153</v>
      </c>
      <c r="G144">
        <v>3</v>
      </c>
      <c r="H144">
        <v>15</v>
      </c>
      <c r="I144" t="s">
        <v>34</v>
      </c>
      <c r="J144">
        <v>4</v>
      </c>
    </row>
    <row r="145" spans="1:10" x14ac:dyDescent="0.3">
      <c r="A145" t="s">
        <v>11</v>
      </c>
      <c r="B145">
        <v>45746</v>
      </c>
      <c r="C145" t="s">
        <v>22</v>
      </c>
      <c r="D145" t="s">
        <v>25</v>
      </c>
      <c r="E145" t="s">
        <v>30</v>
      </c>
      <c r="F145">
        <v>96</v>
      </c>
      <c r="G145">
        <v>3</v>
      </c>
      <c r="H145">
        <v>16</v>
      </c>
      <c r="I145" t="s">
        <v>33</v>
      </c>
      <c r="J145">
        <v>4</v>
      </c>
    </row>
    <row r="146" spans="1:10" x14ac:dyDescent="0.3">
      <c r="A146" t="s">
        <v>10</v>
      </c>
      <c r="B146">
        <v>45749</v>
      </c>
      <c r="C146" t="s">
        <v>13</v>
      </c>
      <c r="D146" t="s">
        <v>24</v>
      </c>
      <c r="E146" t="s">
        <v>29</v>
      </c>
      <c r="F146">
        <v>220</v>
      </c>
      <c r="G146">
        <v>1</v>
      </c>
      <c r="H146">
        <v>18</v>
      </c>
      <c r="I146" t="s">
        <v>33</v>
      </c>
      <c r="J146">
        <v>5</v>
      </c>
    </row>
    <row r="147" spans="1:10" x14ac:dyDescent="0.3">
      <c r="A147" t="s">
        <v>10</v>
      </c>
      <c r="B147">
        <v>45752</v>
      </c>
      <c r="C147" t="s">
        <v>22</v>
      </c>
      <c r="D147" t="s">
        <v>25</v>
      </c>
      <c r="E147" t="s">
        <v>31</v>
      </c>
      <c r="F147">
        <v>227</v>
      </c>
      <c r="G147">
        <v>1</v>
      </c>
      <c r="H147">
        <v>24</v>
      </c>
      <c r="I147" t="s">
        <v>35</v>
      </c>
      <c r="J147">
        <v>2</v>
      </c>
    </row>
    <row r="148" spans="1:10" x14ac:dyDescent="0.3">
      <c r="A148" t="s">
        <v>10</v>
      </c>
      <c r="B148">
        <v>45743</v>
      </c>
      <c r="C148" t="s">
        <v>19</v>
      </c>
      <c r="D148" t="s">
        <v>23</v>
      </c>
      <c r="E148" t="s">
        <v>30</v>
      </c>
      <c r="F148">
        <v>160</v>
      </c>
      <c r="G148">
        <v>5</v>
      </c>
      <c r="H148">
        <v>16</v>
      </c>
      <c r="I148" t="s">
        <v>35</v>
      </c>
      <c r="J148">
        <v>4</v>
      </c>
    </row>
    <row r="149" spans="1:10" x14ac:dyDescent="0.3">
      <c r="A149" t="s">
        <v>11</v>
      </c>
      <c r="B149">
        <v>45767</v>
      </c>
      <c r="C149" t="s">
        <v>15</v>
      </c>
      <c r="D149" t="s">
        <v>25</v>
      </c>
      <c r="E149" t="s">
        <v>32</v>
      </c>
      <c r="F149">
        <v>34</v>
      </c>
      <c r="G149">
        <v>1</v>
      </c>
      <c r="H149">
        <v>9</v>
      </c>
      <c r="I149" t="s">
        <v>34</v>
      </c>
    </row>
    <row r="150" spans="1:10" x14ac:dyDescent="0.3">
      <c r="A150" t="s">
        <v>10</v>
      </c>
      <c r="B150">
        <v>45748</v>
      </c>
      <c r="C150" t="s">
        <v>19</v>
      </c>
      <c r="D150" t="s">
        <v>23</v>
      </c>
      <c r="E150" t="s">
        <v>32</v>
      </c>
      <c r="F150">
        <v>36</v>
      </c>
      <c r="G150">
        <v>5</v>
      </c>
      <c r="H150">
        <v>20</v>
      </c>
      <c r="I150" t="s">
        <v>33</v>
      </c>
      <c r="J150">
        <v>1</v>
      </c>
    </row>
    <row r="151" spans="1:10" x14ac:dyDescent="0.3">
      <c r="A151" t="s">
        <v>11</v>
      </c>
      <c r="B151">
        <v>45752</v>
      </c>
      <c r="C151" t="s">
        <v>17</v>
      </c>
      <c r="D151" t="s">
        <v>24</v>
      </c>
      <c r="E151" t="s">
        <v>32</v>
      </c>
      <c r="F151">
        <v>126</v>
      </c>
      <c r="G151">
        <v>1</v>
      </c>
      <c r="H151">
        <v>10</v>
      </c>
      <c r="I151" t="s">
        <v>35</v>
      </c>
      <c r="J151">
        <v>1</v>
      </c>
    </row>
    <row r="152" spans="1:10" x14ac:dyDescent="0.3">
      <c r="A152" t="s">
        <v>10</v>
      </c>
      <c r="B152">
        <v>45739</v>
      </c>
      <c r="C152" t="s">
        <v>15</v>
      </c>
      <c r="D152" t="s">
        <v>25</v>
      </c>
      <c r="E152" t="s">
        <v>31</v>
      </c>
      <c r="F152">
        <v>203</v>
      </c>
      <c r="G152">
        <v>2</v>
      </c>
      <c r="H152">
        <v>18</v>
      </c>
      <c r="I152" t="s">
        <v>35</v>
      </c>
      <c r="J152">
        <v>5</v>
      </c>
    </row>
    <row r="153" spans="1:10" x14ac:dyDescent="0.3">
      <c r="A153" t="s">
        <v>11</v>
      </c>
      <c r="B153">
        <v>45767</v>
      </c>
      <c r="C153" t="s">
        <v>15</v>
      </c>
      <c r="D153" t="s">
        <v>25</v>
      </c>
      <c r="E153" t="s">
        <v>31</v>
      </c>
      <c r="F153">
        <v>147</v>
      </c>
      <c r="G153">
        <v>3</v>
      </c>
      <c r="H153">
        <v>12</v>
      </c>
      <c r="I153" t="s">
        <v>33</v>
      </c>
      <c r="J153">
        <v>1</v>
      </c>
    </row>
    <row r="154" spans="1:10" x14ac:dyDescent="0.3">
      <c r="A154" t="s">
        <v>11</v>
      </c>
      <c r="B154">
        <v>45764</v>
      </c>
      <c r="C154" t="s">
        <v>21</v>
      </c>
      <c r="D154" t="s">
        <v>26</v>
      </c>
      <c r="E154" t="s">
        <v>29</v>
      </c>
      <c r="F154">
        <v>80</v>
      </c>
      <c r="G154">
        <v>3</v>
      </c>
      <c r="H154">
        <v>12</v>
      </c>
      <c r="I154" t="s">
        <v>35</v>
      </c>
      <c r="J154">
        <v>1</v>
      </c>
    </row>
    <row r="155" spans="1:10" x14ac:dyDescent="0.3">
      <c r="A155" t="s">
        <v>11</v>
      </c>
      <c r="B155">
        <v>45763</v>
      </c>
      <c r="C155" t="s">
        <v>22</v>
      </c>
      <c r="D155" t="s">
        <v>25</v>
      </c>
      <c r="E155" t="s">
        <v>30</v>
      </c>
      <c r="F155">
        <v>231</v>
      </c>
      <c r="G155">
        <v>5</v>
      </c>
      <c r="H155">
        <v>7</v>
      </c>
      <c r="I155" t="s">
        <v>34</v>
      </c>
      <c r="J155">
        <v>2</v>
      </c>
    </row>
    <row r="156" spans="1:10" x14ac:dyDescent="0.3">
      <c r="A156" t="s">
        <v>11</v>
      </c>
      <c r="B156">
        <v>45753</v>
      </c>
      <c r="C156" t="s">
        <v>17</v>
      </c>
      <c r="D156" t="s">
        <v>24</v>
      </c>
      <c r="E156" t="s">
        <v>30</v>
      </c>
      <c r="F156">
        <v>168</v>
      </c>
      <c r="G156">
        <v>2</v>
      </c>
      <c r="H156">
        <v>19</v>
      </c>
      <c r="I156" t="s">
        <v>34</v>
      </c>
      <c r="J156">
        <v>4</v>
      </c>
    </row>
    <row r="157" spans="1:10" x14ac:dyDescent="0.3">
      <c r="A157" t="s">
        <v>11</v>
      </c>
      <c r="B157">
        <v>45747</v>
      </c>
      <c r="C157" t="s">
        <v>14</v>
      </c>
      <c r="D157" t="s">
        <v>25</v>
      </c>
      <c r="E157" t="s">
        <v>28</v>
      </c>
      <c r="F157">
        <v>43</v>
      </c>
      <c r="G157">
        <v>1</v>
      </c>
      <c r="H157">
        <v>19</v>
      </c>
      <c r="I157" t="s">
        <v>34</v>
      </c>
      <c r="J157">
        <v>3</v>
      </c>
    </row>
    <row r="158" spans="1:10" x14ac:dyDescent="0.3">
      <c r="A158" t="s">
        <v>11</v>
      </c>
      <c r="B158">
        <v>45745</v>
      </c>
      <c r="C158" t="s">
        <v>19</v>
      </c>
      <c r="D158" t="s">
        <v>23</v>
      </c>
      <c r="E158" t="s">
        <v>32</v>
      </c>
      <c r="F158">
        <v>57</v>
      </c>
      <c r="G158">
        <v>5</v>
      </c>
      <c r="H158">
        <v>10</v>
      </c>
      <c r="I158" t="s">
        <v>35</v>
      </c>
      <c r="J158">
        <v>3</v>
      </c>
    </row>
    <row r="159" spans="1:10" x14ac:dyDescent="0.3">
      <c r="A159" t="s">
        <v>10</v>
      </c>
      <c r="B159">
        <v>45751</v>
      </c>
      <c r="C159" t="s">
        <v>21</v>
      </c>
      <c r="D159" t="s">
        <v>26</v>
      </c>
      <c r="E159" t="s">
        <v>30</v>
      </c>
      <c r="F159">
        <v>191</v>
      </c>
      <c r="G159">
        <v>4</v>
      </c>
      <c r="H159">
        <v>21</v>
      </c>
      <c r="I159" t="s">
        <v>34</v>
      </c>
    </row>
    <row r="160" spans="1:10" x14ac:dyDescent="0.3">
      <c r="A160" t="s">
        <v>10</v>
      </c>
      <c r="B160">
        <v>45762</v>
      </c>
      <c r="C160" t="s">
        <v>17</v>
      </c>
      <c r="D160" t="s">
        <v>24</v>
      </c>
      <c r="E160" t="s">
        <v>28</v>
      </c>
      <c r="F160">
        <v>139</v>
      </c>
      <c r="G160">
        <v>2</v>
      </c>
      <c r="H160">
        <v>16</v>
      </c>
      <c r="I160" t="s">
        <v>33</v>
      </c>
      <c r="J160">
        <v>1</v>
      </c>
    </row>
    <row r="161" spans="1:10" x14ac:dyDescent="0.3">
      <c r="A161" t="s">
        <v>11</v>
      </c>
      <c r="B161">
        <v>45739</v>
      </c>
      <c r="C161" t="s">
        <v>17</v>
      </c>
      <c r="D161" t="s">
        <v>24</v>
      </c>
      <c r="E161" t="s">
        <v>29</v>
      </c>
      <c r="F161">
        <v>122</v>
      </c>
      <c r="G161">
        <v>3</v>
      </c>
      <c r="H161">
        <v>15</v>
      </c>
      <c r="I161" t="s">
        <v>34</v>
      </c>
      <c r="J161">
        <v>3</v>
      </c>
    </row>
    <row r="162" spans="1:10" x14ac:dyDescent="0.3">
      <c r="A162" t="s">
        <v>11</v>
      </c>
      <c r="B162">
        <v>45752</v>
      </c>
      <c r="C162" t="s">
        <v>16</v>
      </c>
      <c r="D162" t="s">
        <v>26</v>
      </c>
      <c r="E162" t="s">
        <v>31</v>
      </c>
      <c r="F162">
        <v>222</v>
      </c>
      <c r="G162">
        <v>3</v>
      </c>
      <c r="H162">
        <v>12</v>
      </c>
      <c r="I162" t="s">
        <v>34</v>
      </c>
      <c r="J162">
        <v>3</v>
      </c>
    </row>
    <row r="163" spans="1:10" x14ac:dyDescent="0.3">
      <c r="A163" t="s">
        <v>11</v>
      </c>
      <c r="B163">
        <v>45763</v>
      </c>
      <c r="C163" t="s">
        <v>14</v>
      </c>
      <c r="D163" t="s">
        <v>25</v>
      </c>
      <c r="E163" t="s">
        <v>31</v>
      </c>
      <c r="F163">
        <v>229</v>
      </c>
      <c r="G163">
        <v>5</v>
      </c>
      <c r="H163">
        <v>17</v>
      </c>
      <c r="I163" t="s">
        <v>34</v>
      </c>
      <c r="J163">
        <v>4</v>
      </c>
    </row>
    <row r="164" spans="1:10" x14ac:dyDescent="0.3">
      <c r="A164" t="s">
        <v>11</v>
      </c>
      <c r="B164">
        <v>45762</v>
      </c>
      <c r="C164" t="s">
        <v>19</v>
      </c>
      <c r="D164" t="s">
        <v>23</v>
      </c>
      <c r="E164" t="s">
        <v>29</v>
      </c>
      <c r="F164">
        <v>39</v>
      </c>
      <c r="G164">
        <v>5</v>
      </c>
      <c r="H164">
        <v>19</v>
      </c>
      <c r="I164" t="s">
        <v>34</v>
      </c>
    </row>
    <row r="165" spans="1:10" x14ac:dyDescent="0.3">
      <c r="A165" t="s">
        <v>10</v>
      </c>
      <c r="B165">
        <v>45755</v>
      </c>
      <c r="C165" t="s">
        <v>18</v>
      </c>
      <c r="D165" t="s">
        <v>27</v>
      </c>
      <c r="E165" t="s">
        <v>30</v>
      </c>
      <c r="F165">
        <v>167</v>
      </c>
      <c r="G165">
        <v>5</v>
      </c>
      <c r="H165">
        <v>11</v>
      </c>
      <c r="I165" t="s">
        <v>33</v>
      </c>
    </row>
    <row r="166" spans="1:10" x14ac:dyDescent="0.3">
      <c r="A166" t="s">
        <v>10</v>
      </c>
      <c r="B166">
        <v>45747</v>
      </c>
      <c r="C166" t="s">
        <v>22</v>
      </c>
      <c r="D166" t="s">
        <v>25</v>
      </c>
      <c r="E166" t="s">
        <v>28</v>
      </c>
      <c r="F166">
        <v>131</v>
      </c>
      <c r="G166">
        <v>5</v>
      </c>
      <c r="H166">
        <v>22</v>
      </c>
      <c r="I166" t="s">
        <v>33</v>
      </c>
    </row>
    <row r="167" spans="1:10" x14ac:dyDescent="0.3">
      <c r="A167" t="s">
        <v>10</v>
      </c>
      <c r="B167">
        <v>45767</v>
      </c>
      <c r="C167" t="s">
        <v>12</v>
      </c>
      <c r="D167" t="s">
        <v>23</v>
      </c>
      <c r="E167" t="s">
        <v>32</v>
      </c>
      <c r="F167">
        <v>97</v>
      </c>
      <c r="G167">
        <v>5</v>
      </c>
      <c r="H167">
        <v>12</v>
      </c>
      <c r="I167" t="s">
        <v>34</v>
      </c>
    </row>
    <row r="168" spans="1:10" x14ac:dyDescent="0.3">
      <c r="A168" t="s">
        <v>11</v>
      </c>
      <c r="B168">
        <v>45767</v>
      </c>
      <c r="C168" t="s">
        <v>18</v>
      </c>
      <c r="D168" t="s">
        <v>27</v>
      </c>
      <c r="E168" t="s">
        <v>31</v>
      </c>
      <c r="F168">
        <v>202</v>
      </c>
      <c r="G168">
        <v>4</v>
      </c>
      <c r="H168">
        <v>13</v>
      </c>
      <c r="I168" t="s">
        <v>34</v>
      </c>
    </row>
    <row r="169" spans="1:10" x14ac:dyDescent="0.3">
      <c r="A169" t="s">
        <v>10</v>
      </c>
      <c r="B169">
        <v>45752</v>
      </c>
      <c r="C169" t="s">
        <v>13</v>
      </c>
      <c r="D169" t="s">
        <v>24</v>
      </c>
      <c r="E169" t="s">
        <v>30</v>
      </c>
      <c r="F169">
        <v>59</v>
      </c>
      <c r="G169">
        <v>2</v>
      </c>
      <c r="H169">
        <v>19</v>
      </c>
      <c r="I169" t="s">
        <v>34</v>
      </c>
      <c r="J169">
        <v>2</v>
      </c>
    </row>
    <row r="170" spans="1:10" x14ac:dyDescent="0.3">
      <c r="A170" t="s">
        <v>10</v>
      </c>
      <c r="B170">
        <v>45742</v>
      </c>
      <c r="C170" t="s">
        <v>15</v>
      </c>
      <c r="D170" t="s">
        <v>25</v>
      </c>
      <c r="E170" t="s">
        <v>32</v>
      </c>
      <c r="F170">
        <v>123</v>
      </c>
      <c r="G170">
        <v>1</v>
      </c>
      <c r="H170">
        <v>25</v>
      </c>
      <c r="I170" t="s">
        <v>33</v>
      </c>
      <c r="J170">
        <v>2</v>
      </c>
    </row>
    <row r="171" spans="1:10" x14ac:dyDescent="0.3">
      <c r="A171" t="s">
        <v>11</v>
      </c>
      <c r="B171">
        <v>45750</v>
      </c>
      <c r="C171" t="s">
        <v>19</v>
      </c>
      <c r="D171" t="s">
        <v>23</v>
      </c>
      <c r="E171" t="s">
        <v>28</v>
      </c>
      <c r="F171">
        <v>74</v>
      </c>
      <c r="G171">
        <v>1</v>
      </c>
      <c r="H171">
        <v>19</v>
      </c>
      <c r="I171" t="s">
        <v>35</v>
      </c>
      <c r="J171">
        <v>5</v>
      </c>
    </row>
    <row r="172" spans="1:10" x14ac:dyDescent="0.3">
      <c r="A172" t="s">
        <v>11</v>
      </c>
      <c r="B172">
        <v>45758</v>
      </c>
      <c r="C172" t="s">
        <v>17</v>
      </c>
      <c r="D172" t="s">
        <v>24</v>
      </c>
      <c r="E172" t="s">
        <v>31</v>
      </c>
      <c r="F172">
        <v>197</v>
      </c>
      <c r="G172">
        <v>4</v>
      </c>
      <c r="H172">
        <v>11</v>
      </c>
      <c r="I172" t="s">
        <v>34</v>
      </c>
    </row>
    <row r="173" spans="1:10" x14ac:dyDescent="0.3">
      <c r="A173" t="s">
        <v>11</v>
      </c>
      <c r="B173">
        <v>45761</v>
      </c>
      <c r="C173" t="s">
        <v>12</v>
      </c>
      <c r="D173" t="s">
        <v>23</v>
      </c>
      <c r="E173" t="s">
        <v>29</v>
      </c>
      <c r="F173">
        <v>71</v>
      </c>
      <c r="G173">
        <v>2</v>
      </c>
      <c r="H173">
        <v>11</v>
      </c>
      <c r="I173" t="s">
        <v>35</v>
      </c>
      <c r="J173">
        <v>1</v>
      </c>
    </row>
    <row r="174" spans="1:10" x14ac:dyDescent="0.3">
      <c r="A174" t="s">
        <v>10</v>
      </c>
      <c r="B174">
        <v>45741</v>
      </c>
      <c r="C174" t="s">
        <v>12</v>
      </c>
      <c r="D174" t="s">
        <v>23</v>
      </c>
      <c r="E174" t="s">
        <v>32</v>
      </c>
      <c r="F174">
        <v>156</v>
      </c>
      <c r="G174">
        <v>2</v>
      </c>
      <c r="H174">
        <v>10</v>
      </c>
      <c r="I174" t="s">
        <v>33</v>
      </c>
      <c r="J174">
        <v>5</v>
      </c>
    </row>
    <row r="175" spans="1:10" x14ac:dyDescent="0.3">
      <c r="A175" t="s">
        <v>10</v>
      </c>
      <c r="B175">
        <v>45766</v>
      </c>
      <c r="C175" t="s">
        <v>20</v>
      </c>
      <c r="D175" t="s">
        <v>20</v>
      </c>
      <c r="E175" t="s">
        <v>32</v>
      </c>
      <c r="F175">
        <v>157</v>
      </c>
      <c r="G175">
        <v>4</v>
      </c>
      <c r="H175">
        <v>21</v>
      </c>
      <c r="I175" t="s">
        <v>33</v>
      </c>
      <c r="J175">
        <v>3</v>
      </c>
    </row>
    <row r="176" spans="1:10" x14ac:dyDescent="0.3">
      <c r="A176" t="s">
        <v>10</v>
      </c>
      <c r="B176">
        <v>45763</v>
      </c>
      <c r="C176" t="s">
        <v>17</v>
      </c>
      <c r="D176" t="s">
        <v>24</v>
      </c>
      <c r="E176" t="s">
        <v>30</v>
      </c>
      <c r="F176">
        <v>242</v>
      </c>
      <c r="G176">
        <v>5</v>
      </c>
      <c r="H176">
        <v>12</v>
      </c>
      <c r="I176" t="s">
        <v>34</v>
      </c>
    </row>
    <row r="177" spans="1:10" x14ac:dyDescent="0.3">
      <c r="A177" t="s">
        <v>11</v>
      </c>
      <c r="B177">
        <v>45744</v>
      </c>
      <c r="C177" t="s">
        <v>13</v>
      </c>
      <c r="D177" t="s">
        <v>24</v>
      </c>
      <c r="E177" t="s">
        <v>29</v>
      </c>
      <c r="F177">
        <v>50</v>
      </c>
      <c r="G177">
        <v>1</v>
      </c>
      <c r="H177">
        <v>17</v>
      </c>
      <c r="I177" t="s">
        <v>34</v>
      </c>
      <c r="J177">
        <v>3</v>
      </c>
    </row>
    <row r="178" spans="1:10" x14ac:dyDescent="0.3">
      <c r="A178" t="s">
        <v>10</v>
      </c>
      <c r="B178">
        <v>45745</v>
      </c>
      <c r="C178" t="s">
        <v>12</v>
      </c>
      <c r="D178" t="s">
        <v>23</v>
      </c>
      <c r="E178" t="s">
        <v>31</v>
      </c>
      <c r="F178">
        <v>39</v>
      </c>
      <c r="G178">
        <v>5</v>
      </c>
      <c r="H178">
        <v>18</v>
      </c>
      <c r="I178" t="s">
        <v>33</v>
      </c>
    </row>
    <row r="179" spans="1:10" x14ac:dyDescent="0.3">
      <c r="A179" t="s">
        <v>10</v>
      </c>
      <c r="B179">
        <v>45754</v>
      </c>
      <c r="C179" t="s">
        <v>17</v>
      </c>
      <c r="D179" t="s">
        <v>24</v>
      </c>
      <c r="E179" t="s">
        <v>30</v>
      </c>
      <c r="F179">
        <v>55</v>
      </c>
      <c r="G179">
        <v>2</v>
      </c>
      <c r="H179">
        <v>22</v>
      </c>
      <c r="I179" t="s">
        <v>33</v>
      </c>
    </row>
    <row r="180" spans="1:10" x14ac:dyDescent="0.3">
      <c r="A180" t="s">
        <v>10</v>
      </c>
      <c r="B180">
        <v>45756</v>
      </c>
      <c r="C180" t="s">
        <v>15</v>
      </c>
      <c r="D180" t="s">
        <v>25</v>
      </c>
      <c r="E180" t="s">
        <v>28</v>
      </c>
      <c r="F180">
        <v>145</v>
      </c>
      <c r="G180">
        <v>4</v>
      </c>
      <c r="H180">
        <v>10</v>
      </c>
      <c r="I180" t="s">
        <v>34</v>
      </c>
      <c r="J180">
        <v>2</v>
      </c>
    </row>
    <row r="181" spans="1:10" x14ac:dyDescent="0.3">
      <c r="A181" t="s">
        <v>11</v>
      </c>
      <c r="B181">
        <v>45746</v>
      </c>
      <c r="C181" t="s">
        <v>16</v>
      </c>
      <c r="D181" t="s">
        <v>26</v>
      </c>
      <c r="E181" t="s">
        <v>29</v>
      </c>
      <c r="F181">
        <v>146</v>
      </c>
      <c r="G181">
        <v>2</v>
      </c>
      <c r="H181">
        <v>16</v>
      </c>
      <c r="I181" t="s">
        <v>35</v>
      </c>
      <c r="J181">
        <v>4</v>
      </c>
    </row>
    <row r="182" spans="1:10" x14ac:dyDescent="0.3">
      <c r="A182" t="s">
        <v>10</v>
      </c>
      <c r="B182">
        <v>45743</v>
      </c>
      <c r="C182" t="s">
        <v>17</v>
      </c>
      <c r="D182" t="s">
        <v>24</v>
      </c>
      <c r="E182" t="s">
        <v>31</v>
      </c>
      <c r="F182">
        <v>193</v>
      </c>
      <c r="G182">
        <v>5</v>
      </c>
      <c r="H182">
        <v>20</v>
      </c>
      <c r="I182" t="s">
        <v>34</v>
      </c>
      <c r="J182">
        <v>4</v>
      </c>
    </row>
    <row r="183" spans="1:10" x14ac:dyDescent="0.3">
      <c r="A183" t="s">
        <v>11</v>
      </c>
      <c r="B183">
        <v>45754</v>
      </c>
      <c r="C183" t="s">
        <v>18</v>
      </c>
      <c r="D183" t="s">
        <v>27</v>
      </c>
      <c r="E183" t="s">
        <v>29</v>
      </c>
      <c r="F183">
        <v>62</v>
      </c>
      <c r="G183">
        <v>2</v>
      </c>
      <c r="H183">
        <v>16</v>
      </c>
      <c r="I183" t="s">
        <v>35</v>
      </c>
      <c r="J183">
        <v>2</v>
      </c>
    </row>
    <row r="184" spans="1:10" x14ac:dyDescent="0.3">
      <c r="A184" t="s">
        <v>11</v>
      </c>
      <c r="B184">
        <v>45745</v>
      </c>
      <c r="C184" t="s">
        <v>20</v>
      </c>
      <c r="D184" t="s">
        <v>20</v>
      </c>
      <c r="E184" t="s">
        <v>30</v>
      </c>
      <c r="F184">
        <v>100</v>
      </c>
      <c r="G184">
        <v>3</v>
      </c>
      <c r="H184">
        <v>8</v>
      </c>
      <c r="I184" t="s">
        <v>35</v>
      </c>
      <c r="J184">
        <v>3</v>
      </c>
    </row>
    <row r="185" spans="1:10" x14ac:dyDescent="0.3">
      <c r="A185" t="s">
        <v>10</v>
      </c>
      <c r="B185">
        <v>45740</v>
      </c>
      <c r="C185" t="s">
        <v>20</v>
      </c>
      <c r="D185" t="s">
        <v>20</v>
      </c>
      <c r="E185" t="s">
        <v>32</v>
      </c>
      <c r="F185">
        <v>249</v>
      </c>
      <c r="G185">
        <v>1</v>
      </c>
      <c r="H185">
        <v>18</v>
      </c>
      <c r="I185" t="s">
        <v>33</v>
      </c>
      <c r="J185">
        <v>5</v>
      </c>
    </row>
    <row r="186" spans="1:10" x14ac:dyDescent="0.3">
      <c r="A186" t="s">
        <v>11</v>
      </c>
      <c r="B186">
        <v>45752</v>
      </c>
      <c r="C186" t="s">
        <v>19</v>
      </c>
      <c r="D186" t="s">
        <v>23</v>
      </c>
      <c r="E186" t="s">
        <v>31</v>
      </c>
      <c r="F186">
        <v>129</v>
      </c>
      <c r="G186">
        <v>4</v>
      </c>
      <c r="H186">
        <v>10</v>
      </c>
      <c r="I186" t="s">
        <v>34</v>
      </c>
      <c r="J186">
        <v>3</v>
      </c>
    </row>
    <row r="187" spans="1:10" x14ac:dyDescent="0.3">
      <c r="A187" t="s">
        <v>11</v>
      </c>
      <c r="B187">
        <v>45743</v>
      </c>
      <c r="C187" t="s">
        <v>18</v>
      </c>
      <c r="D187" t="s">
        <v>27</v>
      </c>
      <c r="E187" t="s">
        <v>30</v>
      </c>
      <c r="F187">
        <v>85</v>
      </c>
      <c r="G187">
        <v>3</v>
      </c>
      <c r="H187">
        <v>14</v>
      </c>
      <c r="I187" t="s">
        <v>34</v>
      </c>
      <c r="J187">
        <v>1</v>
      </c>
    </row>
    <row r="188" spans="1:10" x14ac:dyDescent="0.3">
      <c r="A188" t="s">
        <v>10</v>
      </c>
      <c r="B188">
        <v>45739</v>
      </c>
      <c r="C188" t="s">
        <v>15</v>
      </c>
      <c r="D188" t="s">
        <v>25</v>
      </c>
      <c r="E188" t="s">
        <v>32</v>
      </c>
      <c r="F188">
        <v>35</v>
      </c>
      <c r="G188">
        <v>1</v>
      </c>
      <c r="H188">
        <v>11</v>
      </c>
      <c r="I188" t="s">
        <v>33</v>
      </c>
      <c r="J188">
        <v>4</v>
      </c>
    </row>
    <row r="189" spans="1:10" x14ac:dyDescent="0.3">
      <c r="A189" t="s">
        <v>10</v>
      </c>
      <c r="B189">
        <v>45764</v>
      </c>
      <c r="C189" t="s">
        <v>16</v>
      </c>
      <c r="D189" t="s">
        <v>26</v>
      </c>
      <c r="E189" t="s">
        <v>30</v>
      </c>
      <c r="F189">
        <v>223</v>
      </c>
      <c r="G189">
        <v>4</v>
      </c>
      <c r="H189">
        <v>21</v>
      </c>
      <c r="I189" t="s">
        <v>33</v>
      </c>
      <c r="J189">
        <v>3</v>
      </c>
    </row>
    <row r="190" spans="1:10" x14ac:dyDescent="0.3">
      <c r="A190" t="s">
        <v>10</v>
      </c>
      <c r="B190">
        <v>45739</v>
      </c>
      <c r="C190" t="s">
        <v>14</v>
      </c>
      <c r="D190" t="s">
        <v>25</v>
      </c>
      <c r="E190" t="s">
        <v>29</v>
      </c>
      <c r="F190">
        <v>136</v>
      </c>
      <c r="G190">
        <v>2</v>
      </c>
      <c r="H190">
        <v>11</v>
      </c>
      <c r="I190" t="s">
        <v>34</v>
      </c>
      <c r="J190">
        <v>4</v>
      </c>
    </row>
    <row r="191" spans="1:10" x14ac:dyDescent="0.3">
      <c r="A191" t="s">
        <v>11</v>
      </c>
      <c r="B191">
        <v>45751</v>
      </c>
      <c r="C191" t="s">
        <v>21</v>
      </c>
      <c r="D191" t="s">
        <v>26</v>
      </c>
      <c r="E191" t="s">
        <v>31</v>
      </c>
      <c r="F191">
        <v>119</v>
      </c>
      <c r="G191">
        <v>4</v>
      </c>
      <c r="H191">
        <v>14</v>
      </c>
      <c r="I191" t="s">
        <v>34</v>
      </c>
      <c r="J191">
        <v>1</v>
      </c>
    </row>
    <row r="192" spans="1:10" x14ac:dyDescent="0.3">
      <c r="A192" t="s">
        <v>11</v>
      </c>
      <c r="B192">
        <v>45748</v>
      </c>
      <c r="C192" t="s">
        <v>21</v>
      </c>
      <c r="D192" t="s">
        <v>26</v>
      </c>
      <c r="E192" t="s">
        <v>32</v>
      </c>
      <c r="F192">
        <v>44</v>
      </c>
      <c r="G192">
        <v>4</v>
      </c>
      <c r="H192">
        <v>15</v>
      </c>
      <c r="I192" t="s">
        <v>34</v>
      </c>
    </row>
    <row r="193" spans="1:10" x14ac:dyDescent="0.3">
      <c r="A193" t="s">
        <v>11</v>
      </c>
      <c r="B193">
        <v>45747</v>
      </c>
      <c r="C193" t="s">
        <v>21</v>
      </c>
      <c r="D193" t="s">
        <v>26</v>
      </c>
      <c r="E193" t="s">
        <v>28</v>
      </c>
      <c r="F193">
        <v>230</v>
      </c>
      <c r="G193">
        <v>1</v>
      </c>
      <c r="H193">
        <v>14</v>
      </c>
      <c r="I193" t="s">
        <v>35</v>
      </c>
      <c r="J193">
        <v>4</v>
      </c>
    </row>
    <row r="194" spans="1:10" x14ac:dyDescent="0.3">
      <c r="A194" t="s">
        <v>10</v>
      </c>
      <c r="B194">
        <v>45743</v>
      </c>
      <c r="C194" t="s">
        <v>14</v>
      </c>
      <c r="D194" t="s">
        <v>25</v>
      </c>
      <c r="E194" t="s">
        <v>32</v>
      </c>
      <c r="F194">
        <v>35</v>
      </c>
      <c r="G194">
        <v>2</v>
      </c>
      <c r="H194">
        <v>19</v>
      </c>
      <c r="I194" t="s">
        <v>35</v>
      </c>
      <c r="J194">
        <v>3</v>
      </c>
    </row>
    <row r="195" spans="1:10" x14ac:dyDescent="0.3">
      <c r="A195" t="s">
        <v>10</v>
      </c>
      <c r="B195">
        <v>45755</v>
      </c>
      <c r="C195" t="s">
        <v>20</v>
      </c>
      <c r="D195" t="s">
        <v>20</v>
      </c>
      <c r="E195" t="s">
        <v>30</v>
      </c>
      <c r="F195">
        <v>228</v>
      </c>
      <c r="G195">
        <v>1</v>
      </c>
      <c r="H195">
        <v>21</v>
      </c>
      <c r="I195" t="s">
        <v>35</v>
      </c>
      <c r="J195">
        <v>2</v>
      </c>
    </row>
    <row r="196" spans="1:10" x14ac:dyDescent="0.3">
      <c r="A196" t="s">
        <v>11</v>
      </c>
      <c r="B196">
        <v>45757</v>
      </c>
      <c r="C196" t="s">
        <v>18</v>
      </c>
      <c r="D196" t="s">
        <v>27</v>
      </c>
      <c r="E196" t="s">
        <v>29</v>
      </c>
      <c r="F196">
        <v>100</v>
      </c>
      <c r="G196">
        <v>5</v>
      </c>
      <c r="H196">
        <v>14</v>
      </c>
      <c r="I196" t="s">
        <v>35</v>
      </c>
      <c r="J196">
        <v>2</v>
      </c>
    </row>
    <row r="197" spans="1:10" x14ac:dyDescent="0.3">
      <c r="A197" t="s">
        <v>10</v>
      </c>
      <c r="B197">
        <v>45752</v>
      </c>
      <c r="C197" t="s">
        <v>12</v>
      </c>
      <c r="D197" t="s">
        <v>23</v>
      </c>
      <c r="E197" t="s">
        <v>31</v>
      </c>
      <c r="F197">
        <v>47</v>
      </c>
      <c r="G197">
        <v>3</v>
      </c>
      <c r="H197">
        <v>21</v>
      </c>
      <c r="I197" t="s">
        <v>35</v>
      </c>
      <c r="J197">
        <v>3</v>
      </c>
    </row>
    <row r="198" spans="1:10" x14ac:dyDescent="0.3">
      <c r="A198" t="s">
        <v>10</v>
      </c>
      <c r="B198">
        <v>45752</v>
      </c>
      <c r="C198" t="s">
        <v>12</v>
      </c>
      <c r="D198" t="s">
        <v>23</v>
      </c>
      <c r="E198" t="s">
        <v>29</v>
      </c>
      <c r="F198">
        <v>194</v>
      </c>
      <c r="G198">
        <v>2</v>
      </c>
      <c r="H198">
        <v>16</v>
      </c>
      <c r="I198" t="s">
        <v>33</v>
      </c>
    </row>
    <row r="199" spans="1:10" x14ac:dyDescent="0.3">
      <c r="A199" t="s">
        <v>11</v>
      </c>
      <c r="B199">
        <v>45768</v>
      </c>
      <c r="C199" t="s">
        <v>13</v>
      </c>
      <c r="D199" t="s">
        <v>24</v>
      </c>
      <c r="E199" t="s">
        <v>31</v>
      </c>
      <c r="F199">
        <v>215</v>
      </c>
      <c r="G199">
        <v>1</v>
      </c>
      <c r="H199">
        <v>8</v>
      </c>
      <c r="I199" t="s">
        <v>33</v>
      </c>
      <c r="J199">
        <v>1</v>
      </c>
    </row>
    <row r="200" spans="1:10" x14ac:dyDescent="0.3">
      <c r="A200" t="s">
        <v>11</v>
      </c>
      <c r="B200">
        <v>45743</v>
      </c>
      <c r="C200" t="s">
        <v>22</v>
      </c>
      <c r="D200" t="s">
        <v>25</v>
      </c>
      <c r="E200" t="s">
        <v>31</v>
      </c>
      <c r="F200">
        <v>156</v>
      </c>
      <c r="G200">
        <v>4</v>
      </c>
      <c r="H200">
        <v>17</v>
      </c>
      <c r="I200" t="s">
        <v>35</v>
      </c>
      <c r="J200">
        <v>3</v>
      </c>
    </row>
    <row r="201" spans="1:10" x14ac:dyDescent="0.3">
      <c r="A201" t="s">
        <v>11</v>
      </c>
      <c r="B201">
        <v>45743</v>
      </c>
      <c r="C201" t="s">
        <v>18</v>
      </c>
      <c r="D201" t="s">
        <v>27</v>
      </c>
      <c r="E201" t="s">
        <v>32</v>
      </c>
      <c r="F201">
        <v>42</v>
      </c>
      <c r="G201">
        <v>5</v>
      </c>
      <c r="H201">
        <v>14</v>
      </c>
      <c r="I201" t="s">
        <v>35</v>
      </c>
      <c r="J201">
        <v>5</v>
      </c>
    </row>
    <row r="202" spans="1:10" x14ac:dyDescent="0.3">
      <c r="A202" t="s">
        <v>11</v>
      </c>
      <c r="B202">
        <v>45740</v>
      </c>
      <c r="C202" t="s">
        <v>15</v>
      </c>
      <c r="D202" t="s">
        <v>25</v>
      </c>
      <c r="E202" t="s">
        <v>32</v>
      </c>
      <c r="F202">
        <v>132</v>
      </c>
      <c r="G202">
        <v>5</v>
      </c>
      <c r="H202">
        <v>16</v>
      </c>
      <c r="I202" t="s">
        <v>35</v>
      </c>
      <c r="J202">
        <v>3</v>
      </c>
    </row>
    <row r="203" spans="1:10" x14ac:dyDescent="0.3">
      <c r="A203" t="s">
        <v>10</v>
      </c>
      <c r="B203">
        <v>45765</v>
      </c>
      <c r="C203" t="s">
        <v>21</v>
      </c>
      <c r="D203" t="s">
        <v>26</v>
      </c>
      <c r="E203" t="s">
        <v>31</v>
      </c>
      <c r="F203">
        <v>102</v>
      </c>
      <c r="G203">
        <v>4</v>
      </c>
      <c r="H203">
        <v>16</v>
      </c>
      <c r="I203" t="s">
        <v>34</v>
      </c>
      <c r="J203">
        <v>4</v>
      </c>
    </row>
    <row r="204" spans="1:10" x14ac:dyDescent="0.3">
      <c r="A204" t="s">
        <v>11</v>
      </c>
      <c r="B204">
        <v>45752</v>
      </c>
      <c r="C204" t="s">
        <v>14</v>
      </c>
      <c r="D204" t="s">
        <v>25</v>
      </c>
      <c r="E204" t="s">
        <v>31</v>
      </c>
      <c r="F204">
        <v>48</v>
      </c>
      <c r="G204">
        <v>3</v>
      </c>
      <c r="H204">
        <v>14</v>
      </c>
      <c r="I204" t="s">
        <v>34</v>
      </c>
      <c r="J204">
        <v>2</v>
      </c>
    </row>
    <row r="205" spans="1:10" x14ac:dyDescent="0.3">
      <c r="A205" t="s">
        <v>10</v>
      </c>
      <c r="B205">
        <v>45744</v>
      </c>
      <c r="C205" t="s">
        <v>19</v>
      </c>
      <c r="D205" t="s">
        <v>23</v>
      </c>
      <c r="E205" t="s">
        <v>30</v>
      </c>
      <c r="F205">
        <v>229</v>
      </c>
      <c r="G205">
        <v>3</v>
      </c>
      <c r="H205">
        <v>12</v>
      </c>
      <c r="I205" t="s">
        <v>34</v>
      </c>
      <c r="J205">
        <v>5</v>
      </c>
    </row>
    <row r="206" spans="1:10" x14ac:dyDescent="0.3">
      <c r="A206" t="s">
        <v>10</v>
      </c>
      <c r="B206">
        <v>45748</v>
      </c>
      <c r="C206" t="s">
        <v>12</v>
      </c>
      <c r="D206" t="s">
        <v>23</v>
      </c>
      <c r="E206" t="s">
        <v>32</v>
      </c>
      <c r="F206">
        <v>52</v>
      </c>
      <c r="G206">
        <v>2</v>
      </c>
      <c r="H206">
        <v>25</v>
      </c>
      <c r="I206" t="s">
        <v>35</v>
      </c>
      <c r="J206">
        <v>5</v>
      </c>
    </row>
    <row r="207" spans="1:10" x14ac:dyDescent="0.3">
      <c r="A207" t="s">
        <v>11</v>
      </c>
      <c r="B207">
        <v>45746</v>
      </c>
      <c r="C207" t="s">
        <v>13</v>
      </c>
      <c r="D207" t="s">
        <v>24</v>
      </c>
      <c r="E207" t="s">
        <v>31</v>
      </c>
      <c r="F207">
        <v>112</v>
      </c>
      <c r="G207">
        <v>1</v>
      </c>
      <c r="H207">
        <v>18</v>
      </c>
      <c r="I207" t="s">
        <v>34</v>
      </c>
      <c r="J207">
        <v>3</v>
      </c>
    </row>
    <row r="208" spans="1:10" x14ac:dyDescent="0.3">
      <c r="A208" t="s">
        <v>10</v>
      </c>
      <c r="B208">
        <v>45758</v>
      </c>
      <c r="C208" t="s">
        <v>22</v>
      </c>
      <c r="D208" t="s">
        <v>25</v>
      </c>
      <c r="E208" t="s">
        <v>32</v>
      </c>
      <c r="F208">
        <v>59</v>
      </c>
      <c r="G208">
        <v>4</v>
      </c>
      <c r="H208">
        <v>14</v>
      </c>
      <c r="I208" t="s">
        <v>35</v>
      </c>
      <c r="J208">
        <v>2</v>
      </c>
    </row>
    <row r="209" spans="1:10" x14ac:dyDescent="0.3">
      <c r="A209" t="s">
        <v>11</v>
      </c>
      <c r="B209">
        <v>45754</v>
      </c>
      <c r="C209" t="s">
        <v>13</v>
      </c>
      <c r="D209" t="s">
        <v>24</v>
      </c>
      <c r="E209" t="s">
        <v>28</v>
      </c>
      <c r="F209">
        <v>162</v>
      </c>
      <c r="G209">
        <v>2</v>
      </c>
      <c r="H209">
        <v>10</v>
      </c>
      <c r="I209" t="s">
        <v>34</v>
      </c>
    </row>
    <row r="210" spans="1:10" x14ac:dyDescent="0.3">
      <c r="A210" t="s">
        <v>10</v>
      </c>
      <c r="B210">
        <v>45749</v>
      </c>
      <c r="C210" t="s">
        <v>13</v>
      </c>
      <c r="D210" t="s">
        <v>24</v>
      </c>
      <c r="E210" t="s">
        <v>30</v>
      </c>
      <c r="F210">
        <v>184</v>
      </c>
      <c r="G210">
        <v>3</v>
      </c>
      <c r="H210">
        <v>18</v>
      </c>
      <c r="I210" t="s">
        <v>35</v>
      </c>
      <c r="J210">
        <v>1</v>
      </c>
    </row>
    <row r="211" spans="1:10" x14ac:dyDescent="0.3">
      <c r="A211" t="s">
        <v>11</v>
      </c>
      <c r="B211">
        <v>45764</v>
      </c>
      <c r="C211" t="s">
        <v>19</v>
      </c>
      <c r="D211" t="s">
        <v>23</v>
      </c>
      <c r="E211" t="s">
        <v>31</v>
      </c>
      <c r="F211">
        <v>113</v>
      </c>
      <c r="G211">
        <v>4</v>
      </c>
      <c r="H211">
        <v>11</v>
      </c>
      <c r="I211" t="s">
        <v>35</v>
      </c>
    </row>
    <row r="212" spans="1:10" x14ac:dyDescent="0.3">
      <c r="A212" t="s">
        <v>10</v>
      </c>
      <c r="B212">
        <v>45757</v>
      </c>
      <c r="C212" t="s">
        <v>14</v>
      </c>
      <c r="D212" t="s">
        <v>25</v>
      </c>
      <c r="E212" t="s">
        <v>30</v>
      </c>
      <c r="F212">
        <v>158</v>
      </c>
      <c r="G212">
        <v>4</v>
      </c>
      <c r="H212">
        <v>12</v>
      </c>
      <c r="I212" t="s">
        <v>34</v>
      </c>
      <c r="J212">
        <v>3</v>
      </c>
    </row>
    <row r="213" spans="1:10" x14ac:dyDescent="0.3">
      <c r="A213" t="s">
        <v>10</v>
      </c>
      <c r="B213">
        <v>45753</v>
      </c>
      <c r="C213" t="s">
        <v>18</v>
      </c>
      <c r="D213" t="s">
        <v>27</v>
      </c>
      <c r="E213" t="s">
        <v>29</v>
      </c>
      <c r="F213">
        <v>189</v>
      </c>
      <c r="G213">
        <v>5</v>
      </c>
      <c r="H213">
        <v>22</v>
      </c>
      <c r="I213" t="s">
        <v>34</v>
      </c>
      <c r="J213">
        <v>4</v>
      </c>
    </row>
    <row r="214" spans="1:10" x14ac:dyDescent="0.3">
      <c r="A214" t="s">
        <v>11</v>
      </c>
      <c r="B214">
        <v>45766</v>
      </c>
      <c r="C214" t="s">
        <v>16</v>
      </c>
      <c r="D214" t="s">
        <v>26</v>
      </c>
      <c r="E214" t="s">
        <v>30</v>
      </c>
      <c r="F214">
        <v>98</v>
      </c>
      <c r="G214">
        <v>5</v>
      </c>
      <c r="H214">
        <v>19</v>
      </c>
      <c r="I214" t="s">
        <v>35</v>
      </c>
    </row>
    <row r="215" spans="1:10" x14ac:dyDescent="0.3">
      <c r="A215" t="s">
        <v>10</v>
      </c>
      <c r="B215">
        <v>45743</v>
      </c>
      <c r="C215" t="s">
        <v>14</v>
      </c>
      <c r="D215" t="s">
        <v>25</v>
      </c>
      <c r="E215" t="s">
        <v>32</v>
      </c>
      <c r="F215">
        <v>162</v>
      </c>
      <c r="G215">
        <v>2</v>
      </c>
      <c r="H215">
        <v>13</v>
      </c>
      <c r="I215" t="s">
        <v>33</v>
      </c>
      <c r="J215">
        <v>4</v>
      </c>
    </row>
    <row r="216" spans="1:10" x14ac:dyDescent="0.3">
      <c r="A216" t="s">
        <v>11</v>
      </c>
      <c r="B216">
        <v>45749</v>
      </c>
      <c r="C216" t="s">
        <v>14</v>
      </c>
      <c r="D216" t="s">
        <v>25</v>
      </c>
      <c r="E216" t="s">
        <v>30</v>
      </c>
      <c r="F216">
        <v>56</v>
      </c>
      <c r="G216">
        <v>1</v>
      </c>
      <c r="H216">
        <v>20</v>
      </c>
      <c r="I216" t="s">
        <v>35</v>
      </c>
      <c r="J216">
        <v>4</v>
      </c>
    </row>
    <row r="217" spans="1:10" x14ac:dyDescent="0.3">
      <c r="A217" t="s">
        <v>10</v>
      </c>
      <c r="B217">
        <v>45742</v>
      </c>
      <c r="C217" t="s">
        <v>14</v>
      </c>
      <c r="D217" t="s">
        <v>25</v>
      </c>
      <c r="E217" t="s">
        <v>31</v>
      </c>
      <c r="F217">
        <v>197</v>
      </c>
      <c r="G217">
        <v>3</v>
      </c>
      <c r="H217">
        <v>22</v>
      </c>
      <c r="I217" t="s">
        <v>35</v>
      </c>
      <c r="J217">
        <v>2</v>
      </c>
    </row>
    <row r="218" spans="1:10" x14ac:dyDescent="0.3">
      <c r="A218" t="s">
        <v>10</v>
      </c>
      <c r="B218">
        <v>45743</v>
      </c>
      <c r="C218" t="s">
        <v>20</v>
      </c>
      <c r="D218" t="s">
        <v>20</v>
      </c>
      <c r="E218" t="s">
        <v>28</v>
      </c>
      <c r="F218">
        <v>38</v>
      </c>
      <c r="G218">
        <v>4</v>
      </c>
      <c r="H218">
        <v>12</v>
      </c>
      <c r="I218" t="s">
        <v>34</v>
      </c>
    </row>
    <row r="219" spans="1:10" x14ac:dyDescent="0.3">
      <c r="A219" t="s">
        <v>11</v>
      </c>
      <c r="B219">
        <v>45758</v>
      </c>
      <c r="C219" t="s">
        <v>19</v>
      </c>
      <c r="D219" t="s">
        <v>23</v>
      </c>
      <c r="E219" t="s">
        <v>29</v>
      </c>
      <c r="F219">
        <v>91</v>
      </c>
      <c r="G219">
        <v>2</v>
      </c>
      <c r="H219">
        <v>10</v>
      </c>
      <c r="I219" t="s">
        <v>35</v>
      </c>
      <c r="J219">
        <v>2</v>
      </c>
    </row>
    <row r="220" spans="1:10" x14ac:dyDescent="0.3">
      <c r="A220" t="s">
        <v>10</v>
      </c>
      <c r="B220">
        <v>45760</v>
      </c>
      <c r="C220" t="s">
        <v>14</v>
      </c>
      <c r="D220" t="s">
        <v>25</v>
      </c>
      <c r="E220" t="s">
        <v>30</v>
      </c>
      <c r="F220">
        <v>245</v>
      </c>
      <c r="G220">
        <v>4</v>
      </c>
      <c r="H220">
        <v>19</v>
      </c>
      <c r="I220" t="s">
        <v>35</v>
      </c>
    </row>
    <row r="221" spans="1:10" x14ac:dyDescent="0.3">
      <c r="A221" t="s">
        <v>10</v>
      </c>
      <c r="B221">
        <v>45744</v>
      </c>
      <c r="C221" t="s">
        <v>12</v>
      </c>
      <c r="D221" t="s">
        <v>23</v>
      </c>
      <c r="E221" t="s">
        <v>32</v>
      </c>
      <c r="F221">
        <v>68</v>
      </c>
      <c r="G221">
        <v>2</v>
      </c>
      <c r="H221">
        <v>21</v>
      </c>
      <c r="I221" t="s">
        <v>35</v>
      </c>
    </row>
    <row r="222" spans="1:10" x14ac:dyDescent="0.3">
      <c r="A222" t="s">
        <v>10</v>
      </c>
      <c r="B222">
        <v>45761</v>
      </c>
      <c r="C222" t="s">
        <v>19</v>
      </c>
      <c r="D222" t="s">
        <v>23</v>
      </c>
      <c r="E222" t="s">
        <v>31</v>
      </c>
      <c r="F222">
        <v>194</v>
      </c>
      <c r="G222">
        <v>1</v>
      </c>
      <c r="H222">
        <v>16</v>
      </c>
      <c r="I222" t="s">
        <v>35</v>
      </c>
      <c r="J222">
        <v>3</v>
      </c>
    </row>
    <row r="223" spans="1:10" x14ac:dyDescent="0.3">
      <c r="A223" t="s">
        <v>11</v>
      </c>
      <c r="B223">
        <v>45747</v>
      </c>
      <c r="C223" t="s">
        <v>18</v>
      </c>
      <c r="D223" t="s">
        <v>27</v>
      </c>
      <c r="E223" t="s">
        <v>32</v>
      </c>
      <c r="F223">
        <v>216</v>
      </c>
      <c r="G223">
        <v>1</v>
      </c>
      <c r="H223">
        <v>9</v>
      </c>
      <c r="I223" t="s">
        <v>35</v>
      </c>
    </row>
    <row r="224" spans="1:10" x14ac:dyDescent="0.3">
      <c r="A224" t="s">
        <v>11</v>
      </c>
      <c r="B224">
        <v>45740</v>
      </c>
      <c r="C224" t="s">
        <v>13</v>
      </c>
      <c r="D224" t="s">
        <v>24</v>
      </c>
      <c r="E224" t="s">
        <v>29</v>
      </c>
      <c r="F224">
        <v>42</v>
      </c>
      <c r="G224">
        <v>1</v>
      </c>
      <c r="H224">
        <v>17</v>
      </c>
      <c r="I224" t="s">
        <v>34</v>
      </c>
      <c r="J224">
        <v>4</v>
      </c>
    </row>
    <row r="225" spans="1:10" x14ac:dyDescent="0.3">
      <c r="A225" t="s">
        <v>10</v>
      </c>
      <c r="B225">
        <v>45767</v>
      </c>
      <c r="C225" t="s">
        <v>17</v>
      </c>
      <c r="D225" t="s">
        <v>24</v>
      </c>
      <c r="E225" t="s">
        <v>32</v>
      </c>
      <c r="F225">
        <v>215</v>
      </c>
      <c r="G225">
        <v>3</v>
      </c>
      <c r="H225">
        <v>21</v>
      </c>
      <c r="I225" t="s">
        <v>34</v>
      </c>
      <c r="J225">
        <v>5</v>
      </c>
    </row>
    <row r="226" spans="1:10" x14ac:dyDescent="0.3">
      <c r="A226" t="s">
        <v>10</v>
      </c>
      <c r="B226">
        <v>45750</v>
      </c>
      <c r="C226" t="s">
        <v>22</v>
      </c>
      <c r="D226" t="s">
        <v>25</v>
      </c>
      <c r="E226" t="s">
        <v>29</v>
      </c>
      <c r="F226">
        <v>64</v>
      </c>
      <c r="G226">
        <v>3</v>
      </c>
      <c r="H226">
        <v>12</v>
      </c>
      <c r="I226" t="s">
        <v>34</v>
      </c>
      <c r="J226">
        <v>3</v>
      </c>
    </row>
    <row r="227" spans="1:10" x14ac:dyDescent="0.3">
      <c r="A227" t="s">
        <v>11</v>
      </c>
      <c r="B227">
        <v>45753</v>
      </c>
      <c r="C227" t="s">
        <v>16</v>
      </c>
      <c r="D227" t="s">
        <v>26</v>
      </c>
      <c r="E227" t="s">
        <v>29</v>
      </c>
      <c r="F227">
        <v>42</v>
      </c>
      <c r="G227">
        <v>5</v>
      </c>
      <c r="H227">
        <v>15</v>
      </c>
      <c r="I227" t="s">
        <v>35</v>
      </c>
      <c r="J227">
        <v>5</v>
      </c>
    </row>
    <row r="228" spans="1:10" x14ac:dyDescent="0.3">
      <c r="A228" t="s">
        <v>11</v>
      </c>
      <c r="B228">
        <v>45750</v>
      </c>
      <c r="C228" t="s">
        <v>17</v>
      </c>
      <c r="D228" t="s">
        <v>24</v>
      </c>
      <c r="E228" t="s">
        <v>29</v>
      </c>
      <c r="F228">
        <v>198</v>
      </c>
      <c r="G228">
        <v>3</v>
      </c>
      <c r="H228">
        <v>9</v>
      </c>
      <c r="I228" t="s">
        <v>35</v>
      </c>
      <c r="J228">
        <v>4</v>
      </c>
    </row>
    <row r="229" spans="1:10" x14ac:dyDescent="0.3">
      <c r="A229" t="s">
        <v>11</v>
      </c>
      <c r="B229">
        <v>45753</v>
      </c>
      <c r="C229" t="s">
        <v>16</v>
      </c>
      <c r="D229" t="s">
        <v>26</v>
      </c>
      <c r="E229" t="s">
        <v>28</v>
      </c>
      <c r="F229">
        <v>129</v>
      </c>
      <c r="G229">
        <v>5</v>
      </c>
      <c r="H229">
        <v>12</v>
      </c>
      <c r="I229" t="s">
        <v>33</v>
      </c>
      <c r="J229">
        <v>4</v>
      </c>
    </row>
    <row r="230" spans="1:10" x14ac:dyDescent="0.3">
      <c r="A230" t="s">
        <v>10</v>
      </c>
      <c r="B230">
        <v>45767</v>
      </c>
      <c r="C230" t="s">
        <v>12</v>
      </c>
      <c r="D230" t="s">
        <v>23</v>
      </c>
      <c r="E230" t="s">
        <v>31</v>
      </c>
      <c r="F230">
        <v>216</v>
      </c>
      <c r="G230">
        <v>4</v>
      </c>
      <c r="H230">
        <v>12</v>
      </c>
      <c r="I230" t="s">
        <v>34</v>
      </c>
    </row>
    <row r="231" spans="1:10" x14ac:dyDescent="0.3">
      <c r="A231" t="s">
        <v>10</v>
      </c>
      <c r="B231">
        <v>45759</v>
      </c>
      <c r="C231" t="s">
        <v>19</v>
      </c>
      <c r="D231" t="s">
        <v>23</v>
      </c>
      <c r="E231" t="s">
        <v>30</v>
      </c>
      <c r="F231">
        <v>146</v>
      </c>
      <c r="G231">
        <v>3</v>
      </c>
      <c r="H231">
        <v>18</v>
      </c>
      <c r="I231" t="s">
        <v>34</v>
      </c>
      <c r="J231">
        <v>1</v>
      </c>
    </row>
    <row r="232" spans="1:10" x14ac:dyDescent="0.3">
      <c r="A232" t="s">
        <v>11</v>
      </c>
      <c r="B232">
        <v>45764</v>
      </c>
      <c r="C232" t="s">
        <v>21</v>
      </c>
      <c r="D232" t="s">
        <v>26</v>
      </c>
      <c r="E232" t="s">
        <v>28</v>
      </c>
      <c r="F232">
        <v>90</v>
      </c>
      <c r="G232">
        <v>1</v>
      </c>
      <c r="H232">
        <v>19</v>
      </c>
      <c r="I232" t="s">
        <v>34</v>
      </c>
      <c r="J232">
        <v>3</v>
      </c>
    </row>
    <row r="233" spans="1:10" x14ac:dyDescent="0.3">
      <c r="A233" t="s">
        <v>10</v>
      </c>
      <c r="B233">
        <v>45752</v>
      </c>
      <c r="C233" t="s">
        <v>15</v>
      </c>
      <c r="D233" t="s">
        <v>25</v>
      </c>
      <c r="E233" t="s">
        <v>30</v>
      </c>
      <c r="F233">
        <v>42</v>
      </c>
      <c r="G233">
        <v>3</v>
      </c>
      <c r="H233">
        <v>20</v>
      </c>
      <c r="I233" t="s">
        <v>35</v>
      </c>
      <c r="J233">
        <v>4</v>
      </c>
    </row>
    <row r="234" spans="1:10" x14ac:dyDescent="0.3">
      <c r="A234" t="s">
        <v>11</v>
      </c>
      <c r="B234">
        <v>45741</v>
      </c>
      <c r="C234" t="s">
        <v>13</v>
      </c>
      <c r="D234" t="s">
        <v>24</v>
      </c>
      <c r="E234" t="s">
        <v>28</v>
      </c>
      <c r="F234">
        <v>58</v>
      </c>
      <c r="G234">
        <v>5</v>
      </c>
      <c r="H234">
        <v>16</v>
      </c>
      <c r="I234" t="s">
        <v>34</v>
      </c>
    </row>
    <row r="235" spans="1:10" x14ac:dyDescent="0.3">
      <c r="A235" t="s">
        <v>11</v>
      </c>
      <c r="B235">
        <v>45759</v>
      </c>
      <c r="C235" t="s">
        <v>16</v>
      </c>
      <c r="D235" t="s">
        <v>26</v>
      </c>
      <c r="E235" t="s">
        <v>31</v>
      </c>
      <c r="F235">
        <v>139</v>
      </c>
      <c r="G235">
        <v>2</v>
      </c>
      <c r="H235">
        <v>12</v>
      </c>
      <c r="I235" t="s">
        <v>33</v>
      </c>
      <c r="J235">
        <v>4</v>
      </c>
    </row>
    <row r="236" spans="1:10" x14ac:dyDescent="0.3">
      <c r="A236" t="s">
        <v>10</v>
      </c>
      <c r="B236">
        <v>45746</v>
      </c>
      <c r="C236" t="s">
        <v>21</v>
      </c>
      <c r="D236" t="s">
        <v>26</v>
      </c>
      <c r="E236" t="s">
        <v>32</v>
      </c>
      <c r="F236">
        <v>250</v>
      </c>
      <c r="G236">
        <v>1</v>
      </c>
      <c r="H236">
        <v>12</v>
      </c>
      <c r="I236" t="s">
        <v>33</v>
      </c>
    </row>
    <row r="237" spans="1:10" x14ac:dyDescent="0.3">
      <c r="A237" t="s">
        <v>10</v>
      </c>
      <c r="B237">
        <v>45744</v>
      </c>
      <c r="C237" t="s">
        <v>20</v>
      </c>
      <c r="D237" t="s">
        <v>20</v>
      </c>
      <c r="E237" t="s">
        <v>32</v>
      </c>
      <c r="F237">
        <v>137</v>
      </c>
      <c r="G237">
        <v>4</v>
      </c>
      <c r="H237">
        <v>18</v>
      </c>
      <c r="I237" t="s">
        <v>34</v>
      </c>
      <c r="J237">
        <v>1</v>
      </c>
    </row>
    <row r="238" spans="1:10" x14ac:dyDescent="0.3">
      <c r="A238" t="s">
        <v>11</v>
      </c>
      <c r="B238">
        <v>45760</v>
      </c>
      <c r="C238" t="s">
        <v>15</v>
      </c>
      <c r="D238" t="s">
        <v>25</v>
      </c>
      <c r="E238" t="s">
        <v>29</v>
      </c>
      <c r="F238">
        <v>83</v>
      </c>
      <c r="G238">
        <v>2</v>
      </c>
      <c r="H238">
        <v>11</v>
      </c>
      <c r="I238" t="s">
        <v>35</v>
      </c>
      <c r="J238">
        <v>3</v>
      </c>
    </row>
    <row r="239" spans="1:10" x14ac:dyDescent="0.3">
      <c r="A239" t="s">
        <v>11</v>
      </c>
      <c r="B239">
        <v>45745</v>
      </c>
      <c r="C239" t="s">
        <v>18</v>
      </c>
      <c r="D239" t="s">
        <v>27</v>
      </c>
      <c r="E239" t="s">
        <v>30</v>
      </c>
      <c r="F239">
        <v>138</v>
      </c>
      <c r="G239">
        <v>1</v>
      </c>
      <c r="H239">
        <v>13</v>
      </c>
      <c r="I239" t="s">
        <v>34</v>
      </c>
      <c r="J239">
        <v>4</v>
      </c>
    </row>
    <row r="240" spans="1:10" x14ac:dyDescent="0.3">
      <c r="A240" t="s">
        <v>10</v>
      </c>
      <c r="B240">
        <v>45763</v>
      </c>
      <c r="C240" t="s">
        <v>16</v>
      </c>
      <c r="D240" t="s">
        <v>26</v>
      </c>
      <c r="E240" t="s">
        <v>28</v>
      </c>
      <c r="F240">
        <v>56</v>
      </c>
      <c r="G240">
        <v>4</v>
      </c>
      <c r="H240">
        <v>17</v>
      </c>
      <c r="I240" t="s">
        <v>34</v>
      </c>
      <c r="J240">
        <v>4</v>
      </c>
    </row>
    <row r="241" spans="1:10" x14ac:dyDescent="0.3">
      <c r="A241" t="s">
        <v>11</v>
      </c>
      <c r="B241">
        <v>45739</v>
      </c>
      <c r="C241" t="s">
        <v>21</v>
      </c>
      <c r="D241" t="s">
        <v>26</v>
      </c>
      <c r="E241" t="s">
        <v>29</v>
      </c>
      <c r="F241">
        <v>67</v>
      </c>
      <c r="G241">
        <v>5</v>
      </c>
      <c r="H241">
        <v>20</v>
      </c>
      <c r="I241" t="s">
        <v>35</v>
      </c>
      <c r="J241">
        <v>1</v>
      </c>
    </row>
    <row r="242" spans="1:10" x14ac:dyDescent="0.3">
      <c r="A242" t="s">
        <v>10</v>
      </c>
      <c r="B242">
        <v>45757</v>
      </c>
      <c r="C242" t="s">
        <v>12</v>
      </c>
      <c r="D242" t="s">
        <v>23</v>
      </c>
      <c r="E242" t="s">
        <v>28</v>
      </c>
      <c r="F242">
        <v>228</v>
      </c>
      <c r="G242">
        <v>2</v>
      </c>
      <c r="H242">
        <v>23</v>
      </c>
      <c r="I242" t="s">
        <v>33</v>
      </c>
      <c r="J242">
        <v>3</v>
      </c>
    </row>
    <row r="243" spans="1:10" x14ac:dyDescent="0.3">
      <c r="A243" t="s">
        <v>10</v>
      </c>
      <c r="B243">
        <v>45747</v>
      </c>
      <c r="C243" t="s">
        <v>13</v>
      </c>
      <c r="D243" t="s">
        <v>24</v>
      </c>
      <c r="E243" t="s">
        <v>29</v>
      </c>
      <c r="F243">
        <v>45</v>
      </c>
      <c r="G243">
        <v>5</v>
      </c>
      <c r="H243">
        <v>12</v>
      </c>
      <c r="I243" t="s">
        <v>33</v>
      </c>
      <c r="J243">
        <v>2</v>
      </c>
    </row>
    <row r="244" spans="1:10" x14ac:dyDescent="0.3">
      <c r="A244" t="s">
        <v>10</v>
      </c>
      <c r="B244">
        <v>45760</v>
      </c>
      <c r="C244" t="s">
        <v>17</v>
      </c>
      <c r="D244" t="s">
        <v>24</v>
      </c>
      <c r="E244" t="s">
        <v>28</v>
      </c>
      <c r="F244">
        <v>203</v>
      </c>
      <c r="G244">
        <v>4</v>
      </c>
      <c r="H244">
        <v>14</v>
      </c>
      <c r="I244" t="s">
        <v>35</v>
      </c>
      <c r="J244">
        <v>2</v>
      </c>
    </row>
    <row r="245" spans="1:10" x14ac:dyDescent="0.3">
      <c r="A245" t="s">
        <v>11</v>
      </c>
      <c r="B245">
        <v>45765</v>
      </c>
      <c r="C245" t="s">
        <v>17</v>
      </c>
      <c r="D245" t="s">
        <v>24</v>
      </c>
      <c r="E245" t="s">
        <v>30</v>
      </c>
      <c r="F245">
        <v>69</v>
      </c>
      <c r="G245">
        <v>1</v>
      </c>
      <c r="H245">
        <v>13</v>
      </c>
      <c r="I245" t="s">
        <v>34</v>
      </c>
      <c r="J245">
        <v>2</v>
      </c>
    </row>
    <row r="246" spans="1:10" x14ac:dyDescent="0.3">
      <c r="A246" t="s">
        <v>11</v>
      </c>
      <c r="B246">
        <v>45744</v>
      </c>
      <c r="C246" t="s">
        <v>17</v>
      </c>
      <c r="D246" t="s">
        <v>24</v>
      </c>
      <c r="E246" t="s">
        <v>30</v>
      </c>
      <c r="F246">
        <v>97</v>
      </c>
      <c r="G246">
        <v>2</v>
      </c>
      <c r="H246">
        <v>10</v>
      </c>
      <c r="I246" t="s">
        <v>34</v>
      </c>
      <c r="J246">
        <v>3</v>
      </c>
    </row>
    <row r="247" spans="1:10" x14ac:dyDescent="0.3">
      <c r="A247" t="s">
        <v>11</v>
      </c>
      <c r="B247">
        <v>45744</v>
      </c>
      <c r="C247" t="s">
        <v>18</v>
      </c>
      <c r="D247" t="s">
        <v>27</v>
      </c>
      <c r="E247" t="s">
        <v>30</v>
      </c>
      <c r="F247">
        <v>62</v>
      </c>
      <c r="G247">
        <v>2</v>
      </c>
      <c r="H247">
        <v>9</v>
      </c>
      <c r="I247" t="s">
        <v>35</v>
      </c>
      <c r="J247">
        <v>1</v>
      </c>
    </row>
    <row r="248" spans="1:10" x14ac:dyDescent="0.3">
      <c r="A248" t="s">
        <v>10</v>
      </c>
      <c r="B248">
        <v>45757</v>
      </c>
      <c r="C248" t="s">
        <v>13</v>
      </c>
      <c r="D248" t="s">
        <v>24</v>
      </c>
      <c r="E248" t="s">
        <v>28</v>
      </c>
      <c r="F248">
        <v>199</v>
      </c>
      <c r="G248">
        <v>1</v>
      </c>
      <c r="H248">
        <v>19</v>
      </c>
      <c r="I248" t="s">
        <v>34</v>
      </c>
    </row>
    <row r="249" spans="1:10" x14ac:dyDescent="0.3">
      <c r="A249" t="s">
        <v>11</v>
      </c>
      <c r="B249">
        <v>45760</v>
      </c>
      <c r="C249" t="s">
        <v>14</v>
      </c>
      <c r="D249" t="s">
        <v>25</v>
      </c>
      <c r="E249" t="s">
        <v>29</v>
      </c>
      <c r="F249">
        <v>81</v>
      </c>
      <c r="G249">
        <v>5</v>
      </c>
      <c r="H249">
        <v>7</v>
      </c>
      <c r="I249" t="s">
        <v>33</v>
      </c>
      <c r="J249">
        <v>1</v>
      </c>
    </row>
    <row r="250" spans="1:10" x14ac:dyDescent="0.3">
      <c r="A250" t="s">
        <v>11</v>
      </c>
      <c r="B250">
        <v>45755</v>
      </c>
      <c r="C250" t="s">
        <v>21</v>
      </c>
      <c r="D250" t="s">
        <v>26</v>
      </c>
      <c r="E250" t="s">
        <v>28</v>
      </c>
      <c r="F250">
        <v>196</v>
      </c>
      <c r="G250">
        <v>5</v>
      </c>
      <c r="H250">
        <v>13</v>
      </c>
      <c r="I250" t="s">
        <v>34</v>
      </c>
      <c r="J250">
        <v>1</v>
      </c>
    </row>
    <row r="251" spans="1:10" x14ac:dyDescent="0.3">
      <c r="A251" t="s">
        <v>10</v>
      </c>
      <c r="B251">
        <v>45756</v>
      </c>
      <c r="C251" t="s">
        <v>14</v>
      </c>
      <c r="D251" t="s">
        <v>25</v>
      </c>
      <c r="E251" t="s">
        <v>28</v>
      </c>
      <c r="F251">
        <v>179</v>
      </c>
      <c r="G251">
        <v>4</v>
      </c>
      <c r="H251">
        <v>11</v>
      </c>
      <c r="I251" t="s">
        <v>33</v>
      </c>
      <c r="J251">
        <v>1</v>
      </c>
    </row>
    <row r="252" spans="1:10" x14ac:dyDescent="0.3">
      <c r="A252" t="s">
        <v>10</v>
      </c>
      <c r="B252">
        <v>45765</v>
      </c>
      <c r="C252" t="s">
        <v>14</v>
      </c>
      <c r="D252" t="s">
        <v>25</v>
      </c>
      <c r="E252" t="s">
        <v>31</v>
      </c>
      <c r="F252">
        <v>93</v>
      </c>
      <c r="G252">
        <v>3</v>
      </c>
      <c r="H252">
        <v>21</v>
      </c>
      <c r="I252" t="s">
        <v>34</v>
      </c>
      <c r="J252">
        <v>5</v>
      </c>
    </row>
    <row r="253" spans="1:10" x14ac:dyDescent="0.3">
      <c r="A253" t="s">
        <v>10</v>
      </c>
      <c r="B253">
        <v>45746</v>
      </c>
      <c r="C253" t="s">
        <v>14</v>
      </c>
      <c r="D253" t="s">
        <v>25</v>
      </c>
      <c r="E253" t="s">
        <v>29</v>
      </c>
      <c r="F253">
        <v>37</v>
      </c>
      <c r="G253">
        <v>5</v>
      </c>
      <c r="H253">
        <v>25</v>
      </c>
      <c r="I253" t="s">
        <v>35</v>
      </c>
      <c r="J253">
        <v>5</v>
      </c>
    </row>
    <row r="254" spans="1:10" x14ac:dyDescent="0.3">
      <c r="A254" t="s">
        <v>10</v>
      </c>
      <c r="B254">
        <v>45754</v>
      </c>
      <c r="C254" t="s">
        <v>22</v>
      </c>
      <c r="D254" t="s">
        <v>25</v>
      </c>
      <c r="E254" t="s">
        <v>32</v>
      </c>
      <c r="F254">
        <v>43</v>
      </c>
      <c r="G254">
        <v>2</v>
      </c>
      <c r="H254">
        <v>13</v>
      </c>
      <c r="I254" t="s">
        <v>35</v>
      </c>
      <c r="J254">
        <v>1</v>
      </c>
    </row>
    <row r="255" spans="1:10" x14ac:dyDescent="0.3">
      <c r="A255" t="s">
        <v>11</v>
      </c>
      <c r="B255">
        <v>45757</v>
      </c>
      <c r="C255" t="s">
        <v>20</v>
      </c>
      <c r="D255" t="s">
        <v>20</v>
      </c>
      <c r="E255" t="s">
        <v>31</v>
      </c>
      <c r="F255">
        <v>219</v>
      </c>
      <c r="G255">
        <v>3</v>
      </c>
      <c r="H255">
        <v>15</v>
      </c>
      <c r="I255" t="s">
        <v>33</v>
      </c>
      <c r="J255">
        <v>2</v>
      </c>
    </row>
    <row r="256" spans="1:10" x14ac:dyDescent="0.3">
      <c r="A256" t="s">
        <v>10</v>
      </c>
      <c r="B256">
        <v>45765</v>
      </c>
      <c r="C256" t="s">
        <v>12</v>
      </c>
      <c r="D256" t="s">
        <v>23</v>
      </c>
      <c r="E256" t="s">
        <v>31</v>
      </c>
      <c r="F256">
        <v>217</v>
      </c>
      <c r="G256">
        <v>2</v>
      </c>
      <c r="H256">
        <v>12</v>
      </c>
      <c r="I256" t="s">
        <v>35</v>
      </c>
      <c r="J256">
        <v>1</v>
      </c>
    </row>
    <row r="257" spans="1:10" x14ac:dyDescent="0.3">
      <c r="A257" t="s">
        <v>10</v>
      </c>
      <c r="B257">
        <v>45739</v>
      </c>
      <c r="C257" t="s">
        <v>16</v>
      </c>
      <c r="D257" t="s">
        <v>26</v>
      </c>
      <c r="E257" t="s">
        <v>32</v>
      </c>
      <c r="F257">
        <v>63</v>
      </c>
      <c r="G257">
        <v>5</v>
      </c>
      <c r="H257">
        <v>17</v>
      </c>
      <c r="I257" t="s">
        <v>35</v>
      </c>
      <c r="J257">
        <v>5</v>
      </c>
    </row>
    <row r="258" spans="1:10" x14ac:dyDescent="0.3">
      <c r="A258" t="s">
        <v>11</v>
      </c>
      <c r="B258">
        <v>45742</v>
      </c>
      <c r="C258" t="s">
        <v>22</v>
      </c>
      <c r="D258" t="s">
        <v>25</v>
      </c>
      <c r="E258" t="s">
        <v>30</v>
      </c>
      <c r="F258">
        <v>46</v>
      </c>
      <c r="G258">
        <v>2</v>
      </c>
      <c r="H258">
        <v>11</v>
      </c>
      <c r="I258" t="s">
        <v>33</v>
      </c>
      <c r="J258">
        <v>5</v>
      </c>
    </row>
    <row r="259" spans="1:10" x14ac:dyDescent="0.3">
      <c r="A259" t="s">
        <v>10</v>
      </c>
      <c r="B259">
        <v>45753</v>
      </c>
      <c r="C259" t="s">
        <v>22</v>
      </c>
      <c r="D259" t="s">
        <v>25</v>
      </c>
      <c r="E259" t="s">
        <v>32</v>
      </c>
      <c r="F259">
        <v>62</v>
      </c>
      <c r="G259">
        <v>4</v>
      </c>
      <c r="H259">
        <v>14</v>
      </c>
      <c r="I259" t="s">
        <v>33</v>
      </c>
    </row>
    <row r="260" spans="1:10" x14ac:dyDescent="0.3">
      <c r="A260" t="s">
        <v>10</v>
      </c>
      <c r="B260">
        <v>45768</v>
      </c>
      <c r="C260" t="s">
        <v>18</v>
      </c>
      <c r="D260" t="s">
        <v>27</v>
      </c>
      <c r="E260" t="s">
        <v>28</v>
      </c>
      <c r="F260">
        <v>123</v>
      </c>
      <c r="G260">
        <v>1</v>
      </c>
      <c r="H260">
        <v>10</v>
      </c>
      <c r="I260" t="s">
        <v>35</v>
      </c>
      <c r="J260">
        <v>5</v>
      </c>
    </row>
    <row r="261" spans="1:10" x14ac:dyDescent="0.3">
      <c r="A261" t="s">
        <v>11</v>
      </c>
      <c r="B261">
        <v>45768</v>
      </c>
      <c r="C261" t="s">
        <v>16</v>
      </c>
      <c r="D261" t="s">
        <v>26</v>
      </c>
      <c r="E261" t="s">
        <v>31</v>
      </c>
      <c r="F261">
        <v>54</v>
      </c>
      <c r="G261">
        <v>1</v>
      </c>
      <c r="H261">
        <v>13</v>
      </c>
      <c r="I261" t="s">
        <v>33</v>
      </c>
      <c r="J261">
        <v>4</v>
      </c>
    </row>
    <row r="262" spans="1:10" x14ac:dyDescent="0.3">
      <c r="A262" t="s">
        <v>10</v>
      </c>
      <c r="B262">
        <v>45751</v>
      </c>
      <c r="C262" t="s">
        <v>19</v>
      </c>
      <c r="D262" t="s">
        <v>23</v>
      </c>
      <c r="E262" t="s">
        <v>29</v>
      </c>
      <c r="F262">
        <v>85</v>
      </c>
      <c r="G262">
        <v>2</v>
      </c>
      <c r="H262">
        <v>12</v>
      </c>
      <c r="I262" t="s">
        <v>35</v>
      </c>
      <c r="J262">
        <v>5</v>
      </c>
    </row>
    <row r="263" spans="1:10" x14ac:dyDescent="0.3">
      <c r="A263" t="s">
        <v>11</v>
      </c>
      <c r="B263">
        <v>45745</v>
      </c>
      <c r="C263" t="s">
        <v>18</v>
      </c>
      <c r="D263" t="s">
        <v>27</v>
      </c>
      <c r="E263" t="s">
        <v>29</v>
      </c>
      <c r="F263">
        <v>125</v>
      </c>
      <c r="G263">
        <v>4</v>
      </c>
      <c r="H263">
        <v>16</v>
      </c>
      <c r="I263" t="s">
        <v>34</v>
      </c>
      <c r="J263">
        <v>2</v>
      </c>
    </row>
    <row r="264" spans="1:10" x14ac:dyDescent="0.3">
      <c r="A264" t="s">
        <v>10</v>
      </c>
      <c r="B264">
        <v>45767</v>
      </c>
      <c r="C264" t="s">
        <v>14</v>
      </c>
      <c r="D264" t="s">
        <v>25</v>
      </c>
      <c r="E264" t="s">
        <v>28</v>
      </c>
      <c r="F264">
        <v>229</v>
      </c>
      <c r="G264">
        <v>2</v>
      </c>
      <c r="H264">
        <v>12</v>
      </c>
      <c r="I264" t="s">
        <v>34</v>
      </c>
    </row>
    <row r="265" spans="1:10" x14ac:dyDescent="0.3">
      <c r="A265" t="s">
        <v>10</v>
      </c>
      <c r="B265">
        <v>45753</v>
      </c>
      <c r="C265" t="s">
        <v>15</v>
      </c>
      <c r="D265" t="s">
        <v>25</v>
      </c>
      <c r="E265" t="s">
        <v>30</v>
      </c>
      <c r="F265">
        <v>70</v>
      </c>
      <c r="G265">
        <v>2</v>
      </c>
      <c r="H265">
        <v>14</v>
      </c>
      <c r="I265" t="s">
        <v>33</v>
      </c>
      <c r="J265">
        <v>5</v>
      </c>
    </row>
    <row r="266" spans="1:10" x14ac:dyDescent="0.3">
      <c r="A266" t="s">
        <v>10</v>
      </c>
      <c r="B266">
        <v>45756</v>
      </c>
      <c r="C266" t="s">
        <v>15</v>
      </c>
      <c r="D266" t="s">
        <v>25</v>
      </c>
      <c r="E266" t="s">
        <v>30</v>
      </c>
      <c r="F266">
        <v>141</v>
      </c>
      <c r="G266">
        <v>4</v>
      </c>
      <c r="H266">
        <v>10</v>
      </c>
      <c r="I266" t="s">
        <v>33</v>
      </c>
      <c r="J266">
        <v>5</v>
      </c>
    </row>
    <row r="267" spans="1:10" x14ac:dyDescent="0.3">
      <c r="A267" t="s">
        <v>10</v>
      </c>
      <c r="B267">
        <v>45744</v>
      </c>
      <c r="C267" t="s">
        <v>12</v>
      </c>
      <c r="D267" t="s">
        <v>23</v>
      </c>
      <c r="E267" t="s">
        <v>32</v>
      </c>
      <c r="F267">
        <v>135</v>
      </c>
      <c r="G267">
        <v>4</v>
      </c>
      <c r="H267">
        <v>23</v>
      </c>
      <c r="I267" t="s">
        <v>35</v>
      </c>
    </row>
    <row r="268" spans="1:10" x14ac:dyDescent="0.3">
      <c r="A268" t="s">
        <v>10</v>
      </c>
      <c r="B268">
        <v>45756</v>
      </c>
      <c r="C268" t="s">
        <v>17</v>
      </c>
      <c r="D268" t="s">
        <v>24</v>
      </c>
      <c r="E268" t="s">
        <v>28</v>
      </c>
      <c r="F268">
        <v>149</v>
      </c>
      <c r="G268">
        <v>3</v>
      </c>
      <c r="H268">
        <v>14</v>
      </c>
      <c r="I268" t="s">
        <v>34</v>
      </c>
      <c r="J268">
        <v>3</v>
      </c>
    </row>
    <row r="269" spans="1:10" x14ac:dyDescent="0.3">
      <c r="A269" t="s">
        <v>11</v>
      </c>
      <c r="B269">
        <v>45762</v>
      </c>
      <c r="C269" t="s">
        <v>15</v>
      </c>
      <c r="D269" t="s">
        <v>25</v>
      </c>
      <c r="E269" t="s">
        <v>29</v>
      </c>
      <c r="F269">
        <v>58</v>
      </c>
      <c r="G269">
        <v>3</v>
      </c>
      <c r="H269">
        <v>20</v>
      </c>
      <c r="I269" t="s">
        <v>35</v>
      </c>
      <c r="J269">
        <v>4</v>
      </c>
    </row>
    <row r="270" spans="1:10" x14ac:dyDescent="0.3">
      <c r="A270" t="s">
        <v>10</v>
      </c>
      <c r="B270">
        <v>45759</v>
      </c>
      <c r="C270" t="s">
        <v>13</v>
      </c>
      <c r="D270" t="s">
        <v>24</v>
      </c>
      <c r="E270" t="s">
        <v>30</v>
      </c>
      <c r="F270">
        <v>227</v>
      </c>
      <c r="G270">
        <v>1</v>
      </c>
      <c r="H270">
        <v>19</v>
      </c>
      <c r="I270" t="s">
        <v>33</v>
      </c>
      <c r="J270">
        <v>3</v>
      </c>
    </row>
    <row r="271" spans="1:10" x14ac:dyDescent="0.3">
      <c r="A271" t="s">
        <v>10</v>
      </c>
      <c r="B271">
        <v>45744</v>
      </c>
      <c r="C271" t="s">
        <v>12</v>
      </c>
      <c r="D271" t="s">
        <v>23</v>
      </c>
      <c r="E271" t="s">
        <v>30</v>
      </c>
      <c r="F271">
        <v>141</v>
      </c>
      <c r="G271">
        <v>3</v>
      </c>
      <c r="H271">
        <v>12</v>
      </c>
      <c r="I271" t="s">
        <v>35</v>
      </c>
      <c r="J271">
        <v>4</v>
      </c>
    </row>
    <row r="272" spans="1:10" x14ac:dyDescent="0.3">
      <c r="A272" t="s">
        <v>11</v>
      </c>
      <c r="B272">
        <v>45747</v>
      </c>
      <c r="C272" t="s">
        <v>12</v>
      </c>
      <c r="D272" t="s">
        <v>23</v>
      </c>
      <c r="E272" t="s">
        <v>28</v>
      </c>
      <c r="F272">
        <v>81</v>
      </c>
      <c r="G272">
        <v>1</v>
      </c>
      <c r="H272">
        <v>19</v>
      </c>
      <c r="I272" t="s">
        <v>34</v>
      </c>
      <c r="J272">
        <v>5</v>
      </c>
    </row>
    <row r="273" spans="1:10" x14ac:dyDescent="0.3">
      <c r="A273" t="s">
        <v>10</v>
      </c>
      <c r="B273">
        <v>45766</v>
      </c>
      <c r="C273" t="s">
        <v>15</v>
      </c>
      <c r="D273" t="s">
        <v>25</v>
      </c>
      <c r="E273" t="s">
        <v>28</v>
      </c>
      <c r="F273">
        <v>134</v>
      </c>
      <c r="G273">
        <v>1</v>
      </c>
      <c r="H273">
        <v>24</v>
      </c>
      <c r="I273" t="s">
        <v>33</v>
      </c>
      <c r="J273">
        <v>3</v>
      </c>
    </row>
    <row r="274" spans="1:10" x14ac:dyDescent="0.3">
      <c r="A274" t="s">
        <v>10</v>
      </c>
      <c r="B274">
        <v>45766</v>
      </c>
      <c r="C274" t="s">
        <v>15</v>
      </c>
      <c r="D274" t="s">
        <v>25</v>
      </c>
      <c r="E274" t="s">
        <v>31</v>
      </c>
      <c r="F274">
        <v>69</v>
      </c>
      <c r="G274">
        <v>1</v>
      </c>
      <c r="H274">
        <v>24</v>
      </c>
      <c r="I274" t="s">
        <v>35</v>
      </c>
      <c r="J274">
        <v>5</v>
      </c>
    </row>
    <row r="275" spans="1:10" x14ac:dyDescent="0.3">
      <c r="A275" t="s">
        <v>10</v>
      </c>
      <c r="B275">
        <v>45756</v>
      </c>
      <c r="C275" t="s">
        <v>18</v>
      </c>
      <c r="D275" t="s">
        <v>27</v>
      </c>
      <c r="E275" t="s">
        <v>32</v>
      </c>
      <c r="F275">
        <v>183</v>
      </c>
      <c r="G275">
        <v>1</v>
      </c>
      <c r="H275">
        <v>21</v>
      </c>
      <c r="I275" t="s">
        <v>33</v>
      </c>
      <c r="J275">
        <v>4</v>
      </c>
    </row>
    <row r="276" spans="1:10" x14ac:dyDescent="0.3">
      <c r="A276" t="s">
        <v>10</v>
      </c>
      <c r="B276">
        <v>45757</v>
      </c>
      <c r="C276" t="s">
        <v>13</v>
      </c>
      <c r="D276" t="s">
        <v>24</v>
      </c>
      <c r="E276" t="s">
        <v>31</v>
      </c>
      <c r="F276">
        <v>84</v>
      </c>
      <c r="G276">
        <v>4</v>
      </c>
      <c r="H276">
        <v>25</v>
      </c>
      <c r="I276" t="s">
        <v>34</v>
      </c>
      <c r="J276">
        <v>3</v>
      </c>
    </row>
    <row r="277" spans="1:10" x14ac:dyDescent="0.3">
      <c r="A277" t="s">
        <v>10</v>
      </c>
      <c r="B277">
        <v>45766</v>
      </c>
      <c r="C277" t="s">
        <v>22</v>
      </c>
      <c r="D277" t="s">
        <v>25</v>
      </c>
      <c r="E277" t="s">
        <v>29</v>
      </c>
      <c r="F277">
        <v>249</v>
      </c>
      <c r="G277">
        <v>3</v>
      </c>
      <c r="H277">
        <v>14</v>
      </c>
      <c r="I277" t="s">
        <v>33</v>
      </c>
      <c r="J277">
        <v>3</v>
      </c>
    </row>
    <row r="278" spans="1:10" x14ac:dyDescent="0.3">
      <c r="A278" t="s">
        <v>11</v>
      </c>
      <c r="B278">
        <v>45746</v>
      </c>
      <c r="C278" t="s">
        <v>20</v>
      </c>
      <c r="D278" t="s">
        <v>20</v>
      </c>
      <c r="E278" t="s">
        <v>30</v>
      </c>
      <c r="F278">
        <v>229</v>
      </c>
      <c r="G278">
        <v>5</v>
      </c>
      <c r="H278">
        <v>17</v>
      </c>
      <c r="I278" t="s">
        <v>33</v>
      </c>
      <c r="J278">
        <v>2</v>
      </c>
    </row>
    <row r="279" spans="1:10" x14ac:dyDescent="0.3">
      <c r="A279" t="s">
        <v>10</v>
      </c>
      <c r="B279">
        <v>45764</v>
      </c>
      <c r="C279" t="s">
        <v>16</v>
      </c>
      <c r="D279" t="s">
        <v>26</v>
      </c>
      <c r="E279" t="s">
        <v>29</v>
      </c>
      <c r="F279">
        <v>44</v>
      </c>
      <c r="G279">
        <v>4</v>
      </c>
      <c r="H279">
        <v>12</v>
      </c>
      <c r="I279" t="s">
        <v>33</v>
      </c>
      <c r="J279">
        <v>4</v>
      </c>
    </row>
    <row r="280" spans="1:10" x14ac:dyDescent="0.3">
      <c r="A280" t="s">
        <v>10</v>
      </c>
      <c r="B280">
        <v>45740</v>
      </c>
      <c r="C280" t="s">
        <v>12</v>
      </c>
      <c r="D280" t="s">
        <v>23</v>
      </c>
      <c r="E280" t="s">
        <v>32</v>
      </c>
      <c r="F280">
        <v>198</v>
      </c>
      <c r="G280">
        <v>3</v>
      </c>
      <c r="H280">
        <v>10</v>
      </c>
      <c r="I280" t="s">
        <v>33</v>
      </c>
    </row>
    <row r="281" spans="1:10" x14ac:dyDescent="0.3">
      <c r="A281" t="s">
        <v>11</v>
      </c>
      <c r="B281">
        <v>45746</v>
      </c>
      <c r="C281" t="s">
        <v>21</v>
      </c>
      <c r="D281" t="s">
        <v>26</v>
      </c>
      <c r="E281" t="s">
        <v>28</v>
      </c>
      <c r="F281">
        <v>112</v>
      </c>
      <c r="G281">
        <v>2</v>
      </c>
      <c r="H281">
        <v>18</v>
      </c>
      <c r="I281" t="s">
        <v>33</v>
      </c>
      <c r="J281">
        <v>2</v>
      </c>
    </row>
    <row r="282" spans="1:10" x14ac:dyDescent="0.3">
      <c r="A282" t="s">
        <v>11</v>
      </c>
      <c r="B282">
        <v>45754</v>
      </c>
      <c r="C282" t="s">
        <v>15</v>
      </c>
      <c r="D282" t="s">
        <v>25</v>
      </c>
      <c r="E282" t="s">
        <v>28</v>
      </c>
      <c r="F282">
        <v>39</v>
      </c>
      <c r="G282">
        <v>2</v>
      </c>
      <c r="H282">
        <v>12</v>
      </c>
      <c r="I282" t="s">
        <v>35</v>
      </c>
      <c r="J282">
        <v>5</v>
      </c>
    </row>
    <row r="283" spans="1:10" x14ac:dyDescent="0.3">
      <c r="A283" t="s">
        <v>10</v>
      </c>
      <c r="B283">
        <v>45748</v>
      </c>
      <c r="C283" t="s">
        <v>17</v>
      </c>
      <c r="D283" t="s">
        <v>24</v>
      </c>
      <c r="E283" t="s">
        <v>31</v>
      </c>
      <c r="F283">
        <v>187</v>
      </c>
      <c r="G283">
        <v>1</v>
      </c>
      <c r="H283">
        <v>12</v>
      </c>
      <c r="I283" t="s">
        <v>34</v>
      </c>
      <c r="J283">
        <v>2</v>
      </c>
    </row>
    <row r="284" spans="1:10" x14ac:dyDescent="0.3">
      <c r="A284" t="s">
        <v>11</v>
      </c>
      <c r="B284">
        <v>45766</v>
      </c>
      <c r="C284" t="s">
        <v>20</v>
      </c>
      <c r="D284" t="s">
        <v>20</v>
      </c>
      <c r="E284" t="s">
        <v>31</v>
      </c>
      <c r="F284">
        <v>182</v>
      </c>
      <c r="G284">
        <v>4</v>
      </c>
      <c r="H284">
        <v>17</v>
      </c>
      <c r="I284" t="s">
        <v>35</v>
      </c>
      <c r="J284">
        <v>3</v>
      </c>
    </row>
    <row r="285" spans="1:10" x14ac:dyDescent="0.3">
      <c r="A285" t="s">
        <v>11</v>
      </c>
      <c r="B285">
        <v>45746</v>
      </c>
      <c r="C285" t="s">
        <v>18</v>
      </c>
      <c r="D285" t="s">
        <v>27</v>
      </c>
      <c r="E285" t="s">
        <v>29</v>
      </c>
      <c r="F285">
        <v>31</v>
      </c>
      <c r="G285">
        <v>2</v>
      </c>
      <c r="H285">
        <v>18</v>
      </c>
      <c r="I285" t="s">
        <v>35</v>
      </c>
      <c r="J285">
        <v>5</v>
      </c>
    </row>
    <row r="286" spans="1:10" x14ac:dyDescent="0.3">
      <c r="A286" t="s">
        <v>11</v>
      </c>
      <c r="B286">
        <v>45768</v>
      </c>
      <c r="C286" t="s">
        <v>15</v>
      </c>
      <c r="D286" t="s">
        <v>25</v>
      </c>
      <c r="E286" t="s">
        <v>30</v>
      </c>
      <c r="F286">
        <v>236</v>
      </c>
      <c r="G286">
        <v>3</v>
      </c>
      <c r="H286">
        <v>19</v>
      </c>
      <c r="I286" t="s">
        <v>34</v>
      </c>
    </row>
    <row r="287" spans="1:10" x14ac:dyDescent="0.3">
      <c r="A287" t="s">
        <v>11</v>
      </c>
      <c r="B287">
        <v>45750</v>
      </c>
      <c r="C287" t="s">
        <v>17</v>
      </c>
      <c r="D287" t="s">
        <v>24</v>
      </c>
      <c r="E287" t="s">
        <v>32</v>
      </c>
      <c r="F287">
        <v>129</v>
      </c>
      <c r="G287">
        <v>5</v>
      </c>
      <c r="H287">
        <v>8</v>
      </c>
      <c r="I287" t="s">
        <v>33</v>
      </c>
    </row>
    <row r="288" spans="1:10" x14ac:dyDescent="0.3">
      <c r="A288" t="s">
        <v>11</v>
      </c>
      <c r="B288">
        <v>45755</v>
      </c>
      <c r="C288" t="s">
        <v>20</v>
      </c>
      <c r="D288" t="s">
        <v>20</v>
      </c>
      <c r="E288" t="s">
        <v>29</v>
      </c>
      <c r="F288">
        <v>186</v>
      </c>
      <c r="G288">
        <v>5</v>
      </c>
      <c r="H288">
        <v>7</v>
      </c>
      <c r="I288" t="s">
        <v>34</v>
      </c>
    </row>
    <row r="289" spans="1:10" x14ac:dyDescent="0.3">
      <c r="A289" t="s">
        <v>10</v>
      </c>
      <c r="B289">
        <v>45764</v>
      </c>
      <c r="C289" t="s">
        <v>16</v>
      </c>
      <c r="D289" t="s">
        <v>26</v>
      </c>
      <c r="E289" t="s">
        <v>29</v>
      </c>
      <c r="F289">
        <v>226</v>
      </c>
      <c r="G289">
        <v>5</v>
      </c>
      <c r="H289">
        <v>13</v>
      </c>
      <c r="I289" t="s">
        <v>33</v>
      </c>
      <c r="J289">
        <v>3</v>
      </c>
    </row>
    <row r="290" spans="1:10" x14ac:dyDescent="0.3">
      <c r="A290" t="s">
        <v>11</v>
      </c>
      <c r="B290">
        <v>45748</v>
      </c>
      <c r="C290" t="s">
        <v>16</v>
      </c>
      <c r="D290" t="s">
        <v>26</v>
      </c>
      <c r="E290" t="s">
        <v>31</v>
      </c>
      <c r="F290">
        <v>46</v>
      </c>
      <c r="G290">
        <v>3</v>
      </c>
      <c r="H290">
        <v>19</v>
      </c>
      <c r="I290" t="s">
        <v>35</v>
      </c>
      <c r="J290">
        <v>4</v>
      </c>
    </row>
    <row r="291" spans="1:10" x14ac:dyDescent="0.3">
      <c r="A291" t="s">
        <v>10</v>
      </c>
      <c r="B291">
        <v>45740</v>
      </c>
      <c r="C291" t="s">
        <v>16</v>
      </c>
      <c r="D291" t="s">
        <v>26</v>
      </c>
      <c r="E291" t="s">
        <v>28</v>
      </c>
      <c r="F291">
        <v>224</v>
      </c>
      <c r="G291">
        <v>4</v>
      </c>
      <c r="H291">
        <v>23</v>
      </c>
      <c r="I291" t="s">
        <v>35</v>
      </c>
      <c r="J291">
        <v>3</v>
      </c>
    </row>
    <row r="292" spans="1:10" x14ac:dyDescent="0.3">
      <c r="A292" t="s">
        <v>10</v>
      </c>
      <c r="B292">
        <v>45755</v>
      </c>
      <c r="C292" t="s">
        <v>15</v>
      </c>
      <c r="D292" t="s">
        <v>25</v>
      </c>
      <c r="E292" t="s">
        <v>30</v>
      </c>
      <c r="F292">
        <v>200</v>
      </c>
      <c r="G292">
        <v>3</v>
      </c>
      <c r="H292">
        <v>13</v>
      </c>
      <c r="I292" t="s">
        <v>34</v>
      </c>
      <c r="J292">
        <v>2</v>
      </c>
    </row>
    <row r="293" spans="1:10" x14ac:dyDescent="0.3">
      <c r="A293" t="s">
        <v>11</v>
      </c>
      <c r="B293">
        <v>45752</v>
      </c>
      <c r="C293" t="s">
        <v>20</v>
      </c>
      <c r="D293" t="s">
        <v>20</v>
      </c>
      <c r="E293" t="s">
        <v>30</v>
      </c>
      <c r="F293">
        <v>155</v>
      </c>
      <c r="G293">
        <v>5</v>
      </c>
      <c r="H293">
        <v>17</v>
      </c>
      <c r="I293" t="s">
        <v>34</v>
      </c>
      <c r="J293">
        <v>2</v>
      </c>
    </row>
    <row r="294" spans="1:10" x14ac:dyDescent="0.3">
      <c r="A294" t="s">
        <v>10</v>
      </c>
      <c r="B294">
        <v>45739</v>
      </c>
      <c r="C294" t="s">
        <v>12</v>
      </c>
      <c r="D294" t="s">
        <v>23</v>
      </c>
      <c r="E294" t="s">
        <v>28</v>
      </c>
      <c r="F294">
        <v>194</v>
      </c>
      <c r="G294">
        <v>3</v>
      </c>
      <c r="H294">
        <v>18</v>
      </c>
      <c r="I294" t="s">
        <v>35</v>
      </c>
      <c r="J294">
        <v>3</v>
      </c>
    </row>
    <row r="295" spans="1:10" x14ac:dyDescent="0.3">
      <c r="A295" t="s">
        <v>11</v>
      </c>
      <c r="B295">
        <v>45751</v>
      </c>
      <c r="C295" t="s">
        <v>20</v>
      </c>
      <c r="D295" t="s">
        <v>20</v>
      </c>
      <c r="E295" t="s">
        <v>32</v>
      </c>
      <c r="F295">
        <v>204</v>
      </c>
      <c r="G295">
        <v>1</v>
      </c>
      <c r="H295">
        <v>8</v>
      </c>
      <c r="I295" t="s">
        <v>35</v>
      </c>
      <c r="J295">
        <v>5</v>
      </c>
    </row>
    <row r="296" spans="1:10" x14ac:dyDescent="0.3">
      <c r="A296" t="s">
        <v>10</v>
      </c>
      <c r="B296">
        <v>45748</v>
      </c>
      <c r="C296" t="s">
        <v>19</v>
      </c>
      <c r="D296" t="s">
        <v>23</v>
      </c>
      <c r="E296" t="s">
        <v>30</v>
      </c>
      <c r="F296">
        <v>150</v>
      </c>
      <c r="G296">
        <v>2</v>
      </c>
      <c r="H296">
        <v>15</v>
      </c>
      <c r="I296" t="s">
        <v>34</v>
      </c>
      <c r="J296">
        <v>3</v>
      </c>
    </row>
    <row r="297" spans="1:10" x14ac:dyDescent="0.3">
      <c r="A297" t="s">
        <v>11</v>
      </c>
      <c r="B297">
        <v>45758</v>
      </c>
      <c r="C297" t="s">
        <v>20</v>
      </c>
      <c r="D297" t="s">
        <v>20</v>
      </c>
      <c r="E297" t="s">
        <v>29</v>
      </c>
      <c r="F297">
        <v>97</v>
      </c>
      <c r="G297">
        <v>1</v>
      </c>
      <c r="H297">
        <v>18</v>
      </c>
      <c r="I297" t="s">
        <v>35</v>
      </c>
      <c r="J297">
        <v>1</v>
      </c>
    </row>
    <row r="298" spans="1:10" x14ac:dyDescent="0.3">
      <c r="A298" t="s">
        <v>10</v>
      </c>
      <c r="B298">
        <v>45758</v>
      </c>
      <c r="C298" t="s">
        <v>19</v>
      </c>
      <c r="D298" t="s">
        <v>23</v>
      </c>
      <c r="E298" t="s">
        <v>31</v>
      </c>
      <c r="F298">
        <v>215</v>
      </c>
      <c r="G298">
        <v>1</v>
      </c>
      <c r="H298">
        <v>19</v>
      </c>
      <c r="I298" t="s">
        <v>33</v>
      </c>
      <c r="J298">
        <v>1</v>
      </c>
    </row>
    <row r="299" spans="1:10" x14ac:dyDescent="0.3">
      <c r="A299" t="s">
        <v>10</v>
      </c>
      <c r="B299">
        <v>45739</v>
      </c>
      <c r="C299" t="s">
        <v>17</v>
      </c>
      <c r="D299" t="s">
        <v>24</v>
      </c>
      <c r="E299" t="s">
        <v>30</v>
      </c>
      <c r="F299">
        <v>174</v>
      </c>
      <c r="G299">
        <v>1</v>
      </c>
      <c r="H299">
        <v>14</v>
      </c>
      <c r="I299" t="s">
        <v>34</v>
      </c>
      <c r="J299">
        <v>1</v>
      </c>
    </row>
    <row r="300" spans="1:10" x14ac:dyDescent="0.3">
      <c r="A300" t="s">
        <v>10</v>
      </c>
      <c r="B300">
        <v>45747</v>
      </c>
      <c r="C300" t="s">
        <v>21</v>
      </c>
      <c r="D300" t="s">
        <v>26</v>
      </c>
      <c r="E300" t="s">
        <v>32</v>
      </c>
      <c r="F300">
        <v>143</v>
      </c>
      <c r="G300">
        <v>5</v>
      </c>
      <c r="H300">
        <v>16</v>
      </c>
      <c r="I300" t="s">
        <v>33</v>
      </c>
      <c r="J300">
        <v>2</v>
      </c>
    </row>
    <row r="301" spans="1:10" x14ac:dyDescent="0.3">
      <c r="A301" t="s">
        <v>11</v>
      </c>
      <c r="B301">
        <v>45763</v>
      </c>
      <c r="C301" t="s">
        <v>18</v>
      </c>
      <c r="D301" t="s">
        <v>27</v>
      </c>
      <c r="E301" t="s">
        <v>30</v>
      </c>
      <c r="F301">
        <v>124</v>
      </c>
      <c r="G301">
        <v>4</v>
      </c>
      <c r="H301">
        <v>20</v>
      </c>
      <c r="I301" t="s">
        <v>35</v>
      </c>
      <c r="J301">
        <v>1</v>
      </c>
    </row>
    <row r="302" spans="1:10" x14ac:dyDescent="0.3">
      <c r="A302" t="s">
        <v>10</v>
      </c>
      <c r="B302">
        <v>45766</v>
      </c>
      <c r="C302" t="s">
        <v>17</v>
      </c>
      <c r="D302" t="s">
        <v>24</v>
      </c>
      <c r="E302" t="s">
        <v>30</v>
      </c>
      <c r="F302">
        <v>96</v>
      </c>
      <c r="G302">
        <v>5</v>
      </c>
      <c r="H302">
        <v>15</v>
      </c>
      <c r="I302" t="s">
        <v>34</v>
      </c>
      <c r="J302">
        <v>3</v>
      </c>
    </row>
    <row r="303" spans="1:10" x14ac:dyDescent="0.3">
      <c r="A303" t="s">
        <v>10</v>
      </c>
      <c r="B303">
        <v>45751</v>
      </c>
      <c r="C303" t="s">
        <v>14</v>
      </c>
      <c r="D303" t="s">
        <v>25</v>
      </c>
      <c r="E303" t="s">
        <v>32</v>
      </c>
      <c r="F303">
        <v>207</v>
      </c>
      <c r="G303">
        <v>3</v>
      </c>
      <c r="H303">
        <v>17</v>
      </c>
      <c r="I303" t="s">
        <v>35</v>
      </c>
    </row>
    <row r="304" spans="1:10" x14ac:dyDescent="0.3">
      <c r="A304" t="s">
        <v>10</v>
      </c>
      <c r="B304">
        <v>45756</v>
      </c>
      <c r="C304" t="s">
        <v>12</v>
      </c>
      <c r="D304" t="s">
        <v>23</v>
      </c>
      <c r="E304" t="s">
        <v>31</v>
      </c>
      <c r="F304">
        <v>241</v>
      </c>
      <c r="G304">
        <v>1</v>
      </c>
      <c r="H304">
        <v>18</v>
      </c>
      <c r="I304" t="s">
        <v>34</v>
      </c>
      <c r="J304">
        <v>1</v>
      </c>
    </row>
    <row r="305" spans="1:10" x14ac:dyDescent="0.3">
      <c r="A305" t="s">
        <v>10</v>
      </c>
      <c r="B305">
        <v>45744</v>
      </c>
      <c r="C305" t="s">
        <v>22</v>
      </c>
      <c r="D305" t="s">
        <v>25</v>
      </c>
      <c r="E305" t="s">
        <v>28</v>
      </c>
      <c r="F305">
        <v>213</v>
      </c>
      <c r="G305">
        <v>1</v>
      </c>
      <c r="H305">
        <v>23</v>
      </c>
      <c r="I305" t="s">
        <v>33</v>
      </c>
      <c r="J305">
        <v>1</v>
      </c>
    </row>
    <row r="306" spans="1:10" x14ac:dyDescent="0.3">
      <c r="A306" t="s">
        <v>10</v>
      </c>
      <c r="B306">
        <v>45752</v>
      </c>
      <c r="C306" t="s">
        <v>12</v>
      </c>
      <c r="D306" t="s">
        <v>23</v>
      </c>
      <c r="E306" t="s">
        <v>30</v>
      </c>
      <c r="F306">
        <v>218</v>
      </c>
      <c r="G306">
        <v>3</v>
      </c>
      <c r="H306">
        <v>11</v>
      </c>
      <c r="I306" t="s">
        <v>35</v>
      </c>
      <c r="J306">
        <v>5</v>
      </c>
    </row>
    <row r="307" spans="1:10" x14ac:dyDescent="0.3">
      <c r="A307" t="s">
        <v>10</v>
      </c>
      <c r="B307">
        <v>45751</v>
      </c>
      <c r="C307" t="s">
        <v>16</v>
      </c>
      <c r="D307" t="s">
        <v>26</v>
      </c>
      <c r="E307" t="s">
        <v>32</v>
      </c>
      <c r="F307">
        <v>69</v>
      </c>
      <c r="G307">
        <v>5</v>
      </c>
      <c r="H307">
        <v>20</v>
      </c>
      <c r="I307" t="s">
        <v>33</v>
      </c>
      <c r="J307">
        <v>1</v>
      </c>
    </row>
    <row r="308" spans="1:10" x14ac:dyDescent="0.3">
      <c r="A308" t="s">
        <v>11</v>
      </c>
      <c r="B308">
        <v>45741</v>
      </c>
      <c r="C308" t="s">
        <v>13</v>
      </c>
      <c r="D308" t="s">
        <v>24</v>
      </c>
      <c r="E308" t="s">
        <v>28</v>
      </c>
      <c r="F308">
        <v>206</v>
      </c>
      <c r="G308">
        <v>1</v>
      </c>
      <c r="H308">
        <v>12</v>
      </c>
      <c r="I308" t="s">
        <v>34</v>
      </c>
    </row>
    <row r="309" spans="1:10" x14ac:dyDescent="0.3">
      <c r="A309" t="s">
        <v>10</v>
      </c>
      <c r="B309">
        <v>45744</v>
      </c>
      <c r="C309" t="s">
        <v>14</v>
      </c>
      <c r="D309" t="s">
        <v>25</v>
      </c>
      <c r="E309" t="s">
        <v>29</v>
      </c>
      <c r="F309">
        <v>45</v>
      </c>
      <c r="G309">
        <v>1</v>
      </c>
      <c r="H309">
        <v>18</v>
      </c>
      <c r="I309" t="s">
        <v>34</v>
      </c>
      <c r="J309">
        <v>1</v>
      </c>
    </row>
    <row r="310" spans="1:10" x14ac:dyDescent="0.3">
      <c r="A310" t="s">
        <v>11</v>
      </c>
      <c r="B310">
        <v>45742</v>
      </c>
      <c r="C310" t="s">
        <v>15</v>
      </c>
      <c r="D310" t="s">
        <v>25</v>
      </c>
      <c r="E310" t="s">
        <v>30</v>
      </c>
      <c r="F310">
        <v>61</v>
      </c>
      <c r="G310">
        <v>2</v>
      </c>
      <c r="H310">
        <v>19</v>
      </c>
      <c r="I310" t="s">
        <v>35</v>
      </c>
      <c r="J310">
        <v>1</v>
      </c>
    </row>
    <row r="311" spans="1:10" x14ac:dyDescent="0.3">
      <c r="A311" t="s">
        <v>10</v>
      </c>
      <c r="B311">
        <v>45760</v>
      </c>
      <c r="C311" t="s">
        <v>20</v>
      </c>
      <c r="D311" t="s">
        <v>20</v>
      </c>
      <c r="E311" t="s">
        <v>28</v>
      </c>
      <c r="F311">
        <v>161</v>
      </c>
      <c r="G311">
        <v>3</v>
      </c>
      <c r="H311">
        <v>22</v>
      </c>
      <c r="I311" t="s">
        <v>34</v>
      </c>
    </row>
    <row r="312" spans="1:10" x14ac:dyDescent="0.3">
      <c r="A312" t="s">
        <v>10</v>
      </c>
      <c r="B312">
        <v>45768</v>
      </c>
      <c r="C312" t="s">
        <v>18</v>
      </c>
      <c r="D312" t="s">
        <v>27</v>
      </c>
      <c r="E312" t="s">
        <v>30</v>
      </c>
      <c r="F312">
        <v>93</v>
      </c>
      <c r="G312">
        <v>2</v>
      </c>
      <c r="H312">
        <v>18</v>
      </c>
      <c r="I312" t="s">
        <v>35</v>
      </c>
      <c r="J312">
        <v>2</v>
      </c>
    </row>
    <row r="313" spans="1:10" x14ac:dyDescent="0.3">
      <c r="A313" t="s">
        <v>10</v>
      </c>
      <c r="B313">
        <v>45767</v>
      </c>
      <c r="C313" t="s">
        <v>15</v>
      </c>
      <c r="D313" t="s">
        <v>25</v>
      </c>
      <c r="E313" t="s">
        <v>28</v>
      </c>
      <c r="F313">
        <v>100</v>
      </c>
      <c r="G313">
        <v>4</v>
      </c>
      <c r="H313">
        <v>25</v>
      </c>
      <c r="I313" t="s">
        <v>35</v>
      </c>
      <c r="J313">
        <v>4</v>
      </c>
    </row>
    <row r="314" spans="1:10" x14ac:dyDescent="0.3">
      <c r="A314" t="s">
        <v>10</v>
      </c>
      <c r="B314">
        <v>45768</v>
      </c>
      <c r="C314" t="s">
        <v>18</v>
      </c>
      <c r="D314" t="s">
        <v>27</v>
      </c>
      <c r="E314" t="s">
        <v>28</v>
      </c>
      <c r="F314">
        <v>154</v>
      </c>
      <c r="G314">
        <v>1</v>
      </c>
      <c r="H314">
        <v>16</v>
      </c>
      <c r="I314" t="s">
        <v>34</v>
      </c>
      <c r="J314">
        <v>3</v>
      </c>
    </row>
    <row r="315" spans="1:10" x14ac:dyDescent="0.3">
      <c r="A315" t="s">
        <v>11</v>
      </c>
      <c r="B315">
        <v>45752</v>
      </c>
      <c r="C315" t="s">
        <v>21</v>
      </c>
      <c r="D315" t="s">
        <v>26</v>
      </c>
      <c r="E315" t="s">
        <v>32</v>
      </c>
      <c r="F315">
        <v>91</v>
      </c>
      <c r="G315">
        <v>5</v>
      </c>
      <c r="H315">
        <v>12</v>
      </c>
      <c r="I315" t="s">
        <v>35</v>
      </c>
      <c r="J315">
        <v>2</v>
      </c>
    </row>
    <row r="316" spans="1:10" x14ac:dyDescent="0.3">
      <c r="A316" t="s">
        <v>11</v>
      </c>
      <c r="B316">
        <v>45748</v>
      </c>
      <c r="C316" t="s">
        <v>15</v>
      </c>
      <c r="D316" t="s">
        <v>25</v>
      </c>
      <c r="E316" t="s">
        <v>30</v>
      </c>
      <c r="F316">
        <v>44</v>
      </c>
      <c r="G316">
        <v>2</v>
      </c>
      <c r="H316">
        <v>12</v>
      </c>
      <c r="I316" t="s">
        <v>34</v>
      </c>
      <c r="J316">
        <v>1</v>
      </c>
    </row>
    <row r="317" spans="1:10" x14ac:dyDescent="0.3">
      <c r="A317" t="s">
        <v>11</v>
      </c>
      <c r="B317">
        <v>45760</v>
      </c>
      <c r="C317" t="s">
        <v>21</v>
      </c>
      <c r="D317" t="s">
        <v>26</v>
      </c>
      <c r="E317" t="s">
        <v>28</v>
      </c>
      <c r="F317">
        <v>40</v>
      </c>
      <c r="G317">
        <v>3</v>
      </c>
      <c r="H317">
        <v>11</v>
      </c>
      <c r="I317" t="s">
        <v>35</v>
      </c>
      <c r="J317">
        <v>3</v>
      </c>
    </row>
    <row r="318" spans="1:10" x14ac:dyDescent="0.3">
      <c r="A318" t="s">
        <v>10</v>
      </c>
      <c r="B318">
        <v>45739</v>
      </c>
      <c r="C318" t="s">
        <v>22</v>
      </c>
      <c r="D318" t="s">
        <v>25</v>
      </c>
      <c r="E318" t="s">
        <v>31</v>
      </c>
      <c r="F318">
        <v>117</v>
      </c>
      <c r="G318">
        <v>5</v>
      </c>
      <c r="H318">
        <v>22</v>
      </c>
      <c r="I318" t="s">
        <v>33</v>
      </c>
      <c r="J318">
        <v>1</v>
      </c>
    </row>
    <row r="319" spans="1:10" x14ac:dyDescent="0.3">
      <c r="A319" t="s">
        <v>11</v>
      </c>
      <c r="B319">
        <v>45759</v>
      </c>
      <c r="C319" t="s">
        <v>15</v>
      </c>
      <c r="D319" t="s">
        <v>25</v>
      </c>
      <c r="E319" t="s">
        <v>29</v>
      </c>
      <c r="F319">
        <v>151</v>
      </c>
      <c r="G319">
        <v>4</v>
      </c>
      <c r="H319">
        <v>14</v>
      </c>
      <c r="I319" t="s">
        <v>35</v>
      </c>
      <c r="J319">
        <v>5</v>
      </c>
    </row>
    <row r="320" spans="1:10" x14ac:dyDescent="0.3">
      <c r="A320" t="s">
        <v>10</v>
      </c>
      <c r="B320">
        <v>45755</v>
      </c>
      <c r="C320" t="s">
        <v>18</v>
      </c>
      <c r="D320" t="s">
        <v>27</v>
      </c>
      <c r="E320" t="s">
        <v>31</v>
      </c>
      <c r="F320">
        <v>158</v>
      </c>
      <c r="G320">
        <v>3</v>
      </c>
      <c r="H320">
        <v>16</v>
      </c>
      <c r="I320" t="s">
        <v>34</v>
      </c>
      <c r="J320">
        <v>3</v>
      </c>
    </row>
    <row r="321" spans="1:10" x14ac:dyDescent="0.3">
      <c r="A321" t="s">
        <v>10</v>
      </c>
      <c r="B321">
        <v>45765</v>
      </c>
      <c r="C321" t="s">
        <v>17</v>
      </c>
      <c r="D321" t="s">
        <v>24</v>
      </c>
      <c r="E321" t="s">
        <v>30</v>
      </c>
      <c r="F321">
        <v>208</v>
      </c>
      <c r="G321">
        <v>3</v>
      </c>
      <c r="H321">
        <v>18</v>
      </c>
      <c r="I321" t="s">
        <v>35</v>
      </c>
    </row>
    <row r="322" spans="1:10" x14ac:dyDescent="0.3">
      <c r="A322" t="s">
        <v>11</v>
      </c>
      <c r="B322">
        <v>45753</v>
      </c>
      <c r="C322" t="s">
        <v>15</v>
      </c>
      <c r="D322" t="s">
        <v>25</v>
      </c>
      <c r="E322" t="s">
        <v>29</v>
      </c>
      <c r="F322">
        <v>56</v>
      </c>
      <c r="G322">
        <v>1</v>
      </c>
      <c r="H322">
        <v>15</v>
      </c>
      <c r="I322" t="s">
        <v>33</v>
      </c>
    </row>
    <row r="323" spans="1:10" x14ac:dyDescent="0.3">
      <c r="A323" t="s">
        <v>10</v>
      </c>
      <c r="B323">
        <v>45762</v>
      </c>
      <c r="C323" t="s">
        <v>15</v>
      </c>
      <c r="D323" t="s">
        <v>25</v>
      </c>
      <c r="E323" t="s">
        <v>28</v>
      </c>
      <c r="F323">
        <v>86</v>
      </c>
      <c r="G323">
        <v>3</v>
      </c>
      <c r="H323">
        <v>13</v>
      </c>
      <c r="I323" t="s">
        <v>34</v>
      </c>
      <c r="J323">
        <v>2</v>
      </c>
    </row>
    <row r="324" spans="1:10" x14ac:dyDescent="0.3">
      <c r="A324" t="s">
        <v>10</v>
      </c>
      <c r="B324">
        <v>45768</v>
      </c>
      <c r="C324" t="s">
        <v>14</v>
      </c>
      <c r="D324" t="s">
        <v>25</v>
      </c>
      <c r="E324" t="s">
        <v>30</v>
      </c>
      <c r="F324">
        <v>45</v>
      </c>
      <c r="G324">
        <v>3</v>
      </c>
      <c r="H324">
        <v>25</v>
      </c>
      <c r="I324" t="s">
        <v>35</v>
      </c>
    </row>
    <row r="325" spans="1:10" x14ac:dyDescent="0.3">
      <c r="A325" t="s">
        <v>10</v>
      </c>
      <c r="B325">
        <v>45751</v>
      </c>
      <c r="C325" t="s">
        <v>13</v>
      </c>
      <c r="D325" t="s">
        <v>24</v>
      </c>
      <c r="E325" t="s">
        <v>31</v>
      </c>
      <c r="F325">
        <v>156</v>
      </c>
      <c r="G325">
        <v>4</v>
      </c>
      <c r="H325">
        <v>10</v>
      </c>
      <c r="I325" t="s">
        <v>33</v>
      </c>
      <c r="J325">
        <v>2</v>
      </c>
    </row>
    <row r="326" spans="1:10" x14ac:dyDescent="0.3">
      <c r="A326" t="s">
        <v>10</v>
      </c>
      <c r="B326">
        <v>45757</v>
      </c>
      <c r="C326" t="s">
        <v>22</v>
      </c>
      <c r="D326" t="s">
        <v>25</v>
      </c>
      <c r="E326" t="s">
        <v>29</v>
      </c>
      <c r="F326">
        <v>224</v>
      </c>
      <c r="G326">
        <v>5</v>
      </c>
      <c r="H326">
        <v>12</v>
      </c>
      <c r="I326" t="s">
        <v>33</v>
      </c>
      <c r="J326">
        <v>1</v>
      </c>
    </row>
    <row r="327" spans="1:10" x14ac:dyDescent="0.3">
      <c r="A327" t="s">
        <v>10</v>
      </c>
      <c r="B327">
        <v>45757</v>
      </c>
      <c r="C327" t="s">
        <v>22</v>
      </c>
      <c r="D327" t="s">
        <v>25</v>
      </c>
      <c r="E327" t="s">
        <v>32</v>
      </c>
      <c r="F327">
        <v>237</v>
      </c>
      <c r="G327">
        <v>4</v>
      </c>
      <c r="H327">
        <v>13</v>
      </c>
      <c r="I327" t="s">
        <v>33</v>
      </c>
      <c r="J327">
        <v>2</v>
      </c>
    </row>
    <row r="328" spans="1:10" x14ac:dyDescent="0.3">
      <c r="A328" t="s">
        <v>11</v>
      </c>
      <c r="B328">
        <v>45743</v>
      </c>
      <c r="C328" t="s">
        <v>16</v>
      </c>
      <c r="D328" t="s">
        <v>26</v>
      </c>
      <c r="E328" t="s">
        <v>28</v>
      </c>
      <c r="F328">
        <v>40</v>
      </c>
      <c r="G328">
        <v>1</v>
      </c>
      <c r="H328">
        <v>13</v>
      </c>
      <c r="I328" t="s">
        <v>35</v>
      </c>
      <c r="J328">
        <v>3</v>
      </c>
    </row>
    <row r="329" spans="1:10" x14ac:dyDescent="0.3">
      <c r="A329" t="s">
        <v>11</v>
      </c>
      <c r="B329">
        <v>45756</v>
      </c>
      <c r="C329" t="s">
        <v>21</v>
      </c>
      <c r="D329" t="s">
        <v>26</v>
      </c>
      <c r="E329" t="s">
        <v>28</v>
      </c>
      <c r="F329">
        <v>224</v>
      </c>
      <c r="G329">
        <v>1</v>
      </c>
      <c r="H329">
        <v>10</v>
      </c>
      <c r="I329" t="s">
        <v>33</v>
      </c>
      <c r="J329">
        <v>4</v>
      </c>
    </row>
    <row r="330" spans="1:10" x14ac:dyDescent="0.3">
      <c r="A330" t="s">
        <v>11</v>
      </c>
      <c r="B330">
        <v>45742</v>
      </c>
      <c r="C330" t="s">
        <v>17</v>
      </c>
      <c r="D330" t="s">
        <v>24</v>
      </c>
      <c r="E330" t="s">
        <v>31</v>
      </c>
      <c r="F330">
        <v>163</v>
      </c>
      <c r="G330">
        <v>1</v>
      </c>
      <c r="H330">
        <v>18</v>
      </c>
      <c r="I330" t="s">
        <v>34</v>
      </c>
      <c r="J330">
        <v>1</v>
      </c>
    </row>
    <row r="331" spans="1:10" x14ac:dyDescent="0.3">
      <c r="A331" t="s">
        <v>10</v>
      </c>
      <c r="B331">
        <v>45748</v>
      </c>
      <c r="C331" t="s">
        <v>20</v>
      </c>
      <c r="D331" t="s">
        <v>20</v>
      </c>
      <c r="E331" t="s">
        <v>29</v>
      </c>
      <c r="F331">
        <v>144</v>
      </c>
      <c r="G331">
        <v>4</v>
      </c>
      <c r="H331">
        <v>10</v>
      </c>
      <c r="I331" t="s">
        <v>34</v>
      </c>
      <c r="J331">
        <v>1</v>
      </c>
    </row>
    <row r="332" spans="1:10" x14ac:dyDescent="0.3">
      <c r="A332" t="s">
        <v>10</v>
      </c>
      <c r="B332">
        <v>45753</v>
      </c>
      <c r="C332" t="s">
        <v>13</v>
      </c>
      <c r="D332" t="s">
        <v>24</v>
      </c>
      <c r="E332" t="s">
        <v>28</v>
      </c>
      <c r="F332">
        <v>51</v>
      </c>
      <c r="G332">
        <v>4</v>
      </c>
      <c r="H332">
        <v>24</v>
      </c>
      <c r="I332" t="s">
        <v>34</v>
      </c>
    </row>
    <row r="333" spans="1:10" x14ac:dyDescent="0.3">
      <c r="A333" t="s">
        <v>10</v>
      </c>
      <c r="B333">
        <v>45750</v>
      </c>
      <c r="C333" t="s">
        <v>22</v>
      </c>
      <c r="D333" t="s">
        <v>25</v>
      </c>
      <c r="E333" t="s">
        <v>29</v>
      </c>
      <c r="F333">
        <v>65</v>
      </c>
      <c r="G333">
        <v>5</v>
      </c>
      <c r="H333">
        <v>19</v>
      </c>
      <c r="I333" t="s">
        <v>34</v>
      </c>
      <c r="J333">
        <v>5</v>
      </c>
    </row>
    <row r="334" spans="1:10" x14ac:dyDescent="0.3">
      <c r="A334" t="s">
        <v>11</v>
      </c>
      <c r="B334">
        <v>45762</v>
      </c>
      <c r="C334" t="s">
        <v>16</v>
      </c>
      <c r="D334" t="s">
        <v>26</v>
      </c>
      <c r="E334" t="s">
        <v>29</v>
      </c>
      <c r="F334">
        <v>59</v>
      </c>
      <c r="G334">
        <v>1</v>
      </c>
      <c r="H334">
        <v>17</v>
      </c>
      <c r="I334" t="s">
        <v>35</v>
      </c>
    </row>
    <row r="335" spans="1:10" x14ac:dyDescent="0.3">
      <c r="A335" t="s">
        <v>10</v>
      </c>
      <c r="B335">
        <v>45749</v>
      </c>
      <c r="C335" t="s">
        <v>15</v>
      </c>
      <c r="D335" t="s">
        <v>25</v>
      </c>
      <c r="E335" t="s">
        <v>30</v>
      </c>
      <c r="F335">
        <v>66</v>
      </c>
      <c r="G335">
        <v>2</v>
      </c>
      <c r="H335">
        <v>10</v>
      </c>
      <c r="I335" t="s">
        <v>34</v>
      </c>
      <c r="J335">
        <v>2</v>
      </c>
    </row>
    <row r="336" spans="1:10" x14ac:dyDescent="0.3">
      <c r="A336" t="s">
        <v>11</v>
      </c>
      <c r="B336">
        <v>45754</v>
      </c>
      <c r="C336" t="s">
        <v>22</v>
      </c>
      <c r="D336" t="s">
        <v>25</v>
      </c>
      <c r="E336" t="s">
        <v>32</v>
      </c>
      <c r="F336">
        <v>150</v>
      </c>
      <c r="G336">
        <v>2</v>
      </c>
      <c r="H336">
        <v>10</v>
      </c>
      <c r="I336" t="s">
        <v>33</v>
      </c>
      <c r="J336">
        <v>3</v>
      </c>
    </row>
    <row r="337" spans="1:10" x14ac:dyDescent="0.3">
      <c r="A337" t="s">
        <v>10</v>
      </c>
      <c r="B337">
        <v>45758</v>
      </c>
      <c r="C337" t="s">
        <v>21</v>
      </c>
      <c r="D337" t="s">
        <v>26</v>
      </c>
      <c r="E337" t="s">
        <v>29</v>
      </c>
      <c r="F337">
        <v>234</v>
      </c>
      <c r="G337">
        <v>2</v>
      </c>
      <c r="H337">
        <v>13</v>
      </c>
      <c r="I337" t="s">
        <v>35</v>
      </c>
      <c r="J337">
        <v>3</v>
      </c>
    </row>
    <row r="338" spans="1:10" x14ac:dyDescent="0.3">
      <c r="A338" t="s">
        <v>10</v>
      </c>
      <c r="B338">
        <v>45762</v>
      </c>
      <c r="C338" t="s">
        <v>12</v>
      </c>
      <c r="D338" t="s">
        <v>23</v>
      </c>
      <c r="E338" t="s">
        <v>29</v>
      </c>
      <c r="F338">
        <v>94</v>
      </c>
      <c r="G338">
        <v>5</v>
      </c>
      <c r="H338">
        <v>11</v>
      </c>
      <c r="I338" t="s">
        <v>35</v>
      </c>
      <c r="J338">
        <v>5</v>
      </c>
    </row>
    <row r="339" spans="1:10" x14ac:dyDescent="0.3">
      <c r="A339" t="s">
        <v>10</v>
      </c>
      <c r="B339">
        <v>45740</v>
      </c>
      <c r="C339" t="s">
        <v>13</v>
      </c>
      <c r="D339" t="s">
        <v>24</v>
      </c>
      <c r="E339" t="s">
        <v>31</v>
      </c>
      <c r="F339">
        <v>142</v>
      </c>
      <c r="G339">
        <v>5</v>
      </c>
      <c r="H339">
        <v>24</v>
      </c>
      <c r="I339" t="s">
        <v>34</v>
      </c>
      <c r="J339">
        <v>4</v>
      </c>
    </row>
    <row r="340" spans="1:10" x14ac:dyDescent="0.3">
      <c r="A340" t="s">
        <v>11</v>
      </c>
      <c r="B340">
        <v>45758</v>
      </c>
      <c r="C340" t="s">
        <v>17</v>
      </c>
      <c r="D340" t="s">
        <v>24</v>
      </c>
      <c r="E340" t="s">
        <v>30</v>
      </c>
      <c r="F340">
        <v>230</v>
      </c>
      <c r="G340">
        <v>5</v>
      </c>
      <c r="H340">
        <v>18</v>
      </c>
      <c r="I340" t="s">
        <v>34</v>
      </c>
      <c r="J340">
        <v>1</v>
      </c>
    </row>
    <row r="341" spans="1:10" x14ac:dyDescent="0.3">
      <c r="A341" t="s">
        <v>11</v>
      </c>
      <c r="B341">
        <v>45755</v>
      </c>
      <c r="C341" t="s">
        <v>22</v>
      </c>
      <c r="D341" t="s">
        <v>25</v>
      </c>
      <c r="E341" t="s">
        <v>29</v>
      </c>
      <c r="F341">
        <v>206</v>
      </c>
      <c r="G341">
        <v>3</v>
      </c>
      <c r="H341">
        <v>20</v>
      </c>
      <c r="I341" t="s">
        <v>34</v>
      </c>
      <c r="J341">
        <v>2</v>
      </c>
    </row>
    <row r="342" spans="1:10" x14ac:dyDescent="0.3">
      <c r="A342" t="s">
        <v>10</v>
      </c>
      <c r="B342">
        <v>45767</v>
      </c>
      <c r="C342" t="s">
        <v>17</v>
      </c>
      <c r="D342" t="s">
        <v>24</v>
      </c>
      <c r="E342" t="s">
        <v>30</v>
      </c>
      <c r="F342">
        <v>204</v>
      </c>
      <c r="G342">
        <v>4</v>
      </c>
      <c r="H342">
        <v>15</v>
      </c>
      <c r="I342" t="s">
        <v>34</v>
      </c>
      <c r="J342">
        <v>5</v>
      </c>
    </row>
    <row r="343" spans="1:10" x14ac:dyDescent="0.3">
      <c r="A343" t="s">
        <v>11</v>
      </c>
      <c r="B343">
        <v>45740</v>
      </c>
      <c r="C343" t="s">
        <v>18</v>
      </c>
      <c r="D343" t="s">
        <v>27</v>
      </c>
      <c r="E343" t="s">
        <v>28</v>
      </c>
      <c r="F343">
        <v>144</v>
      </c>
      <c r="G343">
        <v>4</v>
      </c>
      <c r="H343">
        <v>15</v>
      </c>
      <c r="I343" t="s">
        <v>33</v>
      </c>
      <c r="J343">
        <v>1</v>
      </c>
    </row>
    <row r="344" spans="1:10" x14ac:dyDescent="0.3">
      <c r="A344" t="s">
        <v>11</v>
      </c>
      <c r="B344">
        <v>45768</v>
      </c>
      <c r="C344" t="s">
        <v>19</v>
      </c>
      <c r="D344" t="s">
        <v>23</v>
      </c>
      <c r="E344" t="s">
        <v>28</v>
      </c>
      <c r="F344">
        <v>219</v>
      </c>
      <c r="G344">
        <v>3</v>
      </c>
      <c r="H344">
        <v>10</v>
      </c>
      <c r="I344" t="s">
        <v>35</v>
      </c>
      <c r="J344">
        <v>1</v>
      </c>
    </row>
    <row r="345" spans="1:10" x14ac:dyDescent="0.3">
      <c r="A345" t="s">
        <v>10</v>
      </c>
      <c r="B345">
        <v>45755</v>
      </c>
      <c r="C345" t="s">
        <v>14</v>
      </c>
      <c r="D345" t="s">
        <v>25</v>
      </c>
      <c r="E345" t="s">
        <v>31</v>
      </c>
      <c r="F345">
        <v>202</v>
      </c>
      <c r="G345">
        <v>1</v>
      </c>
      <c r="H345">
        <v>17</v>
      </c>
      <c r="I345" t="s">
        <v>33</v>
      </c>
      <c r="J345">
        <v>3</v>
      </c>
    </row>
    <row r="346" spans="1:10" x14ac:dyDescent="0.3">
      <c r="A346" t="s">
        <v>11</v>
      </c>
      <c r="B346">
        <v>45766</v>
      </c>
      <c r="C346" t="s">
        <v>21</v>
      </c>
      <c r="D346" t="s">
        <v>26</v>
      </c>
      <c r="E346" t="s">
        <v>30</v>
      </c>
      <c r="F346">
        <v>187</v>
      </c>
      <c r="G346">
        <v>3</v>
      </c>
      <c r="H346">
        <v>8</v>
      </c>
      <c r="I346" t="s">
        <v>34</v>
      </c>
      <c r="J346">
        <v>1</v>
      </c>
    </row>
    <row r="347" spans="1:10" x14ac:dyDescent="0.3">
      <c r="A347" t="s">
        <v>11</v>
      </c>
      <c r="B347">
        <v>45760</v>
      </c>
      <c r="C347" t="s">
        <v>19</v>
      </c>
      <c r="D347" t="s">
        <v>23</v>
      </c>
      <c r="E347" t="s">
        <v>28</v>
      </c>
      <c r="F347">
        <v>95</v>
      </c>
      <c r="G347">
        <v>2</v>
      </c>
      <c r="H347">
        <v>9</v>
      </c>
      <c r="I347" t="s">
        <v>35</v>
      </c>
      <c r="J347">
        <v>1</v>
      </c>
    </row>
    <row r="348" spans="1:10" x14ac:dyDescent="0.3">
      <c r="A348" t="s">
        <v>10</v>
      </c>
      <c r="B348">
        <v>45767</v>
      </c>
      <c r="C348" t="s">
        <v>15</v>
      </c>
      <c r="D348" t="s">
        <v>25</v>
      </c>
      <c r="E348" t="s">
        <v>32</v>
      </c>
      <c r="F348">
        <v>94</v>
      </c>
      <c r="G348">
        <v>5</v>
      </c>
      <c r="H348">
        <v>20</v>
      </c>
      <c r="I348" t="s">
        <v>33</v>
      </c>
      <c r="J348">
        <v>1</v>
      </c>
    </row>
    <row r="349" spans="1:10" x14ac:dyDescent="0.3">
      <c r="A349" t="s">
        <v>10</v>
      </c>
      <c r="B349">
        <v>45751</v>
      </c>
      <c r="C349" t="s">
        <v>19</v>
      </c>
      <c r="D349" t="s">
        <v>23</v>
      </c>
      <c r="E349" t="s">
        <v>29</v>
      </c>
      <c r="F349">
        <v>60</v>
      </c>
      <c r="G349">
        <v>1</v>
      </c>
      <c r="H349">
        <v>21</v>
      </c>
      <c r="I349" t="s">
        <v>35</v>
      </c>
    </row>
    <row r="350" spans="1:10" x14ac:dyDescent="0.3">
      <c r="A350" t="s">
        <v>11</v>
      </c>
      <c r="B350">
        <v>45743</v>
      </c>
      <c r="C350" t="s">
        <v>15</v>
      </c>
      <c r="D350" t="s">
        <v>25</v>
      </c>
      <c r="E350" t="s">
        <v>32</v>
      </c>
      <c r="F350">
        <v>242</v>
      </c>
      <c r="G350">
        <v>3</v>
      </c>
      <c r="H350">
        <v>18</v>
      </c>
      <c r="I350" t="s">
        <v>35</v>
      </c>
    </row>
    <row r="351" spans="1:10" x14ac:dyDescent="0.3">
      <c r="A351" t="s">
        <v>10</v>
      </c>
      <c r="B351">
        <v>45754</v>
      </c>
      <c r="C351" t="s">
        <v>20</v>
      </c>
      <c r="D351" t="s">
        <v>20</v>
      </c>
      <c r="E351" t="s">
        <v>31</v>
      </c>
      <c r="F351">
        <v>166</v>
      </c>
      <c r="G351">
        <v>1</v>
      </c>
      <c r="H351">
        <v>13</v>
      </c>
      <c r="I351" t="s">
        <v>35</v>
      </c>
      <c r="J351">
        <v>1</v>
      </c>
    </row>
    <row r="352" spans="1:10" x14ac:dyDescent="0.3">
      <c r="A352" t="s">
        <v>10</v>
      </c>
      <c r="B352">
        <v>45750</v>
      </c>
      <c r="C352" t="s">
        <v>19</v>
      </c>
      <c r="D352" t="s">
        <v>23</v>
      </c>
      <c r="E352" t="s">
        <v>28</v>
      </c>
      <c r="F352">
        <v>30</v>
      </c>
      <c r="G352">
        <v>4</v>
      </c>
      <c r="H352">
        <v>14</v>
      </c>
      <c r="I352" t="s">
        <v>33</v>
      </c>
    </row>
    <row r="353" spans="1:10" x14ac:dyDescent="0.3">
      <c r="A353" t="s">
        <v>11</v>
      </c>
      <c r="B353">
        <v>45764</v>
      </c>
      <c r="C353" t="s">
        <v>22</v>
      </c>
      <c r="D353" t="s">
        <v>25</v>
      </c>
      <c r="E353" t="s">
        <v>31</v>
      </c>
      <c r="F353">
        <v>217</v>
      </c>
      <c r="G353">
        <v>2</v>
      </c>
      <c r="H353">
        <v>12</v>
      </c>
      <c r="I353" t="s">
        <v>34</v>
      </c>
      <c r="J353">
        <v>4</v>
      </c>
    </row>
    <row r="354" spans="1:10" x14ac:dyDescent="0.3">
      <c r="A354" t="s">
        <v>10</v>
      </c>
      <c r="B354">
        <v>45745</v>
      </c>
      <c r="C354" t="s">
        <v>19</v>
      </c>
      <c r="D354" t="s">
        <v>23</v>
      </c>
      <c r="E354" t="s">
        <v>30</v>
      </c>
      <c r="F354">
        <v>148</v>
      </c>
      <c r="G354">
        <v>3</v>
      </c>
      <c r="H354">
        <v>10</v>
      </c>
      <c r="I354" t="s">
        <v>35</v>
      </c>
      <c r="J354">
        <v>3</v>
      </c>
    </row>
    <row r="355" spans="1:10" x14ac:dyDescent="0.3">
      <c r="A355" t="s">
        <v>10</v>
      </c>
      <c r="B355">
        <v>45750</v>
      </c>
      <c r="C355" t="s">
        <v>18</v>
      </c>
      <c r="D355" t="s">
        <v>27</v>
      </c>
      <c r="E355" t="s">
        <v>30</v>
      </c>
      <c r="F355">
        <v>69</v>
      </c>
      <c r="G355">
        <v>2</v>
      </c>
      <c r="H355">
        <v>11</v>
      </c>
      <c r="I355" t="s">
        <v>35</v>
      </c>
      <c r="J355">
        <v>5</v>
      </c>
    </row>
    <row r="356" spans="1:10" x14ac:dyDescent="0.3">
      <c r="A356" t="s">
        <v>10</v>
      </c>
      <c r="B356">
        <v>45739</v>
      </c>
      <c r="C356" t="s">
        <v>20</v>
      </c>
      <c r="D356" t="s">
        <v>20</v>
      </c>
      <c r="E356" t="s">
        <v>32</v>
      </c>
      <c r="F356">
        <v>50</v>
      </c>
      <c r="G356">
        <v>1</v>
      </c>
      <c r="H356">
        <v>24</v>
      </c>
      <c r="I356" t="s">
        <v>33</v>
      </c>
      <c r="J356">
        <v>1</v>
      </c>
    </row>
    <row r="357" spans="1:10" x14ac:dyDescent="0.3">
      <c r="A357" t="s">
        <v>10</v>
      </c>
      <c r="B357">
        <v>45745</v>
      </c>
      <c r="C357" t="s">
        <v>20</v>
      </c>
      <c r="D357" t="s">
        <v>20</v>
      </c>
      <c r="E357" t="s">
        <v>30</v>
      </c>
      <c r="F357">
        <v>125</v>
      </c>
      <c r="G357">
        <v>4</v>
      </c>
      <c r="H357">
        <v>15</v>
      </c>
      <c r="I357" t="s">
        <v>34</v>
      </c>
      <c r="J357">
        <v>1</v>
      </c>
    </row>
    <row r="358" spans="1:10" x14ac:dyDescent="0.3">
      <c r="A358" t="s">
        <v>10</v>
      </c>
      <c r="B358">
        <v>45767</v>
      </c>
      <c r="C358" t="s">
        <v>17</v>
      </c>
      <c r="D358" t="s">
        <v>24</v>
      </c>
      <c r="E358" t="s">
        <v>30</v>
      </c>
      <c r="F358">
        <v>31</v>
      </c>
      <c r="G358">
        <v>5</v>
      </c>
      <c r="H358">
        <v>25</v>
      </c>
      <c r="I358" t="s">
        <v>34</v>
      </c>
    </row>
    <row r="359" spans="1:10" x14ac:dyDescent="0.3">
      <c r="A359" t="s">
        <v>11</v>
      </c>
      <c r="B359">
        <v>45749</v>
      </c>
      <c r="C359" t="s">
        <v>21</v>
      </c>
      <c r="D359" t="s">
        <v>26</v>
      </c>
      <c r="E359" t="s">
        <v>32</v>
      </c>
      <c r="F359">
        <v>205</v>
      </c>
      <c r="G359">
        <v>3</v>
      </c>
      <c r="H359">
        <v>9</v>
      </c>
      <c r="I359" t="s">
        <v>34</v>
      </c>
      <c r="J359">
        <v>2</v>
      </c>
    </row>
    <row r="360" spans="1:10" x14ac:dyDescent="0.3">
      <c r="A360" t="s">
        <v>10</v>
      </c>
      <c r="B360">
        <v>45745</v>
      </c>
      <c r="C360" t="s">
        <v>21</v>
      </c>
      <c r="D360" t="s">
        <v>26</v>
      </c>
      <c r="E360" t="s">
        <v>32</v>
      </c>
      <c r="F360">
        <v>66</v>
      </c>
      <c r="G360">
        <v>5</v>
      </c>
      <c r="H360">
        <v>11</v>
      </c>
      <c r="I360" t="s">
        <v>35</v>
      </c>
    </row>
    <row r="361" spans="1:10" x14ac:dyDescent="0.3">
      <c r="A361" t="s">
        <v>11</v>
      </c>
      <c r="B361">
        <v>45759</v>
      </c>
      <c r="C361" t="s">
        <v>21</v>
      </c>
      <c r="D361" t="s">
        <v>26</v>
      </c>
      <c r="E361" t="s">
        <v>28</v>
      </c>
      <c r="F361">
        <v>107</v>
      </c>
      <c r="G361">
        <v>3</v>
      </c>
      <c r="H361">
        <v>13</v>
      </c>
      <c r="I361" t="s">
        <v>35</v>
      </c>
    </row>
    <row r="362" spans="1:10" x14ac:dyDescent="0.3">
      <c r="A362" t="s">
        <v>10</v>
      </c>
      <c r="B362">
        <v>45768</v>
      </c>
      <c r="C362" t="s">
        <v>21</v>
      </c>
      <c r="D362" t="s">
        <v>26</v>
      </c>
      <c r="E362" t="s">
        <v>32</v>
      </c>
      <c r="F362">
        <v>237</v>
      </c>
      <c r="G362">
        <v>4</v>
      </c>
      <c r="H362">
        <v>16</v>
      </c>
      <c r="I362" t="s">
        <v>34</v>
      </c>
      <c r="J362">
        <v>4</v>
      </c>
    </row>
    <row r="363" spans="1:10" x14ac:dyDescent="0.3">
      <c r="A363" t="s">
        <v>11</v>
      </c>
      <c r="B363">
        <v>45743</v>
      </c>
      <c r="C363" t="s">
        <v>17</v>
      </c>
      <c r="D363" t="s">
        <v>24</v>
      </c>
      <c r="E363" t="s">
        <v>32</v>
      </c>
      <c r="F363">
        <v>139</v>
      </c>
      <c r="G363">
        <v>3</v>
      </c>
      <c r="H363">
        <v>18</v>
      </c>
      <c r="I363" t="s">
        <v>33</v>
      </c>
      <c r="J363">
        <v>5</v>
      </c>
    </row>
    <row r="364" spans="1:10" x14ac:dyDescent="0.3">
      <c r="A364" t="s">
        <v>10</v>
      </c>
      <c r="B364">
        <v>45753</v>
      </c>
      <c r="C364" t="s">
        <v>15</v>
      </c>
      <c r="D364" t="s">
        <v>25</v>
      </c>
      <c r="E364" t="s">
        <v>28</v>
      </c>
      <c r="F364">
        <v>62</v>
      </c>
      <c r="G364">
        <v>3</v>
      </c>
      <c r="H364">
        <v>13</v>
      </c>
      <c r="I364" t="s">
        <v>35</v>
      </c>
      <c r="J364">
        <v>5</v>
      </c>
    </row>
    <row r="365" spans="1:10" x14ac:dyDescent="0.3">
      <c r="A365" t="s">
        <v>10</v>
      </c>
      <c r="B365">
        <v>45740</v>
      </c>
      <c r="C365" t="s">
        <v>21</v>
      </c>
      <c r="D365" t="s">
        <v>26</v>
      </c>
      <c r="E365" t="s">
        <v>31</v>
      </c>
      <c r="F365">
        <v>171</v>
      </c>
      <c r="G365">
        <v>5</v>
      </c>
      <c r="H365">
        <v>15</v>
      </c>
      <c r="I365" t="s">
        <v>33</v>
      </c>
    </row>
    <row r="366" spans="1:10" x14ac:dyDescent="0.3">
      <c r="A366" t="s">
        <v>11</v>
      </c>
      <c r="B366">
        <v>45741</v>
      </c>
      <c r="C366" t="s">
        <v>18</v>
      </c>
      <c r="D366" t="s">
        <v>27</v>
      </c>
      <c r="E366" t="s">
        <v>28</v>
      </c>
      <c r="F366">
        <v>138</v>
      </c>
      <c r="G366">
        <v>2</v>
      </c>
      <c r="H366">
        <v>9</v>
      </c>
      <c r="I366" t="s">
        <v>33</v>
      </c>
      <c r="J366">
        <v>4</v>
      </c>
    </row>
    <row r="367" spans="1:10" x14ac:dyDescent="0.3">
      <c r="A367" t="s">
        <v>10</v>
      </c>
      <c r="B367">
        <v>45743</v>
      </c>
      <c r="C367" t="s">
        <v>18</v>
      </c>
      <c r="D367" t="s">
        <v>27</v>
      </c>
      <c r="E367" t="s">
        <v>32</v>
      </c>
      <c r="F367">
        <v>66</v>
      </c>
      <c r="G367">
        <v>1</v>
      </c>
      <c r="H367">
        <v>19</v>
      </c>
      <c r="I367" t="s">
        <v>33</v>
      </c>
      <c r="J367">
        <v>1</v>
      </c>
    </row>
    <row r="368" spans="1:10" x14ac:dyDescent="0.3">
      <c r="A368" t="s">
        <v>10</v>
      </c>
      <c r="B368">
        <v>45767</v>
      </c>
      <c r="C368" t="s">
        <v>19</v>
      </c>
      <c r="D368" t="s">
        <v>23</v>
      </c>
      <c r="E368" t="s">
        <v>31</v>
      </c>
      <c r="F368">
        <v>62</v>
      </c>
      <c r="G368">
        <v>4</v>
      </c>
      <c r="H368">
        <v>20</v>
      </c>
      <c r="I368" t="s">
        <v>33</v>
      </c>
      <c r="J368">
        <v>2</v>
      </c>
    </row>
    <row r="369" spans="1:10" x14ac:dyDescent="0.3">
      <c r="A369" t="s">
        <v>11</v>
      </c>
      <c r="B369">
        <v>45747</v>
      </c>
      <c r="C369" t="s">
        <v>14</v>
      </c>
      <c r="D369" t="s">
        <v>25</v>
      </c>
      <c r="E369" t="s">
        <v>30</v>
      </c>
      <c r="F369">
        <v>34</v>
      </c>
      <c r="G369">
        <v>5</v>
      </c>
      <c r="H369">
        <v>15</v>
      </c>
      <c r="I369" t="s">
        <v>35</v>
      </c>
      <c r="J369">
        <v>4</v>
      </c>
    </row>
    <row r="370" spans="1:10" x14ac:dyDescent="0.3">
      <c r="A370" t="s">
        <v>10</v>
      </c>
      <c r="B370">
        <v>45751</v>
      </c>
      <c r="C370" t="s">
        <v>18</v>
      </c>
      <c r="D370" t="s">
        <v>27</v>
      </c>
      <c r="E370" t="s">
        <v>30</v>
      </c>
      <c r="F370">
        <v>128</v>
      </c>
      <c r="G370">
        <v>5</v>
      </c>
      <c r="H370">
        <v>22</v>
      </c>
      <c r="I370" t="s">
        <v>33</v>
      </c>
      <c r="J370">
        <v>1</v>
      </c>
    </row>
    <row r="371" spans="1:10" x14ac:dyDescent="0.3">
      <c r="A371" t="s">
        <v>11</v>
      </c>
      <c r="B371">
        <v>45739</v>
      </c>
      <c r="C371" t="s">
        <v>16</v>
      </c>
      <c r="D371" t="s">
        <v>26</v>
      </c>
      <c r="E371" t="s">
        <v>29</v>
      </c>
      <c r="F371">
        <v>195</v>
      </c>
      <c r="G371">
        <v>4</v>
      </c>
      <c r="H371">
        <v>8</v>
      </c>
      <c r="I371" t="s">
        <v>33</v>
      </c>
      <c r="J371">
        <v>5</v>
      </c>
    </row>
    <row r="372" spans="1:10" x14ac:dyDescent="0.3">
      <c r="A372" t="s">
        <v>11</v>
      </c>
      <c r="B372">
        <v>45742</v>
      </c>
      <c r="C372" t="s">
        <v>17</v>
      </c>
      <c r="D372" t="s">
        <v>24</v>
      </c>
      <c r="E372" t="s">
        <v>30</v>
      </c>
      <c r="F372">
        <v>86</v>
      </c>
      <c r="G372">
        <v>1</v>
      </c>
      <c r="H372">
        <v>12</v>
      </c>
      <c r="I372" t="s">
        <v>33</v>
      </c>
      <c r="J372">
        <v>1</v>
      </c>
    </row>
    <row r="373" spans="1:10" x14ac:dyDescent="0.3">
      <c r="A373" t="s">
        <v>11</v>
      </c>
      <c r="B373">
        <v>45744</v>
      </c>
      <c r="C373" t="s">
        <v>18</v>
      </c>
      <c r="D373" t="s">
        <v>27</v>
      </c>
      <c r="E373" t="s">
        <v>32</v>
      </c>
      <c r="F373">
        <v>181</v>
      </c>
      <c r="G373">
        <v>1</v>
      </c>
      <c r="H373">
        <v>17</v>
      </c>
      <c r="I373" t="s">
        <v>34</v>
      </c>
    </row>
    <row r="374" spans="1:10" x14ac:dyDescent="0.3">
      <c r="A374" t="s">
        <v>11</v>
      </c>
      <c r="B374">
        <v>45756</v>
      </c>
      <c r="C374" t="s">
        <v>17</v>
      </c>
      <c r="D374" t="s">
        <v>24</v>
      </c>
      <c r="E374" t="s">
        <v>32</v>
      </c>
      <c r="F374">
        <v>84</v>
      </c>
      <c r="G374">
        <v>4</v>
      </c>
      <c r="H374">
        <v>10</v>
      </c>
      <c r="I374" t="s">
        <v>33</v>
      </c>
    </row>
    <row r="375" spans="1:10" x14ac:dyDescent="0.3">
      <c r="A375" t="s">
        <v>10</v>
      </c>
      <c r="B375">
        <v>45755</v>
      </c>
      <c r="C375" t="s">
        <v>19</v>
      </c>
      <c r="D375" t="s">
        <v>23</v>
      </c>
      <c r="E375" t="s">
        <v>30</v>
      </c>
      <c r="F375">
        <v>55</v>
      </c>
      <c r="G375">
        <v>4</v>
      </c>
      <c r="H375">
        <v>10</v>
      </c>
      <c r="I375" t="s">
        <v>33</v>
      </c>
    </row>
    <row r="376" spans="1:10" x14ac:dyDescent="0.3">
      <c r="A376" t="s">
        <v>10</v>
      </c>
      <c r="B376">
        <v>45740</v>
      </c>
      <c r="C376" t="s">
        <v>19</v>
      </c>
      <c r="D376" t="s">
        <v>23</v>
      </c>
      <c r="E376" t="s">
        <v>31</v>
      </c>
      <c r="F376">
        <v>173</v>
      </c>
      <c r="G376">
        <v>3</v>
      </c>
      <c r="H376">
        <v>18</v>
      </c>
      <c r="I376" t="s">
        <v>33</v>
      </c>
      <c r="J376">
        <v>5</v>
      </c>
    </row>
    <row r="377" spans="1:10" x14ac:dyDescent="0.3">
      <c r="A377" t="s">
        <v>10</v>
      </c>
      <c r="B377">
        <v>45768</v>
      </c>
      <c r="C377" t="s">
        <v>15</v>
      </c>
      <c r="D377" t="s">
        <v>25</v>
      </c>
      <c r="E377" t="s">
        <v>31</v>
      </c>
      <c r="F377">
        <v>65</v>
      </c>
      <c r="G377">
        <v>4</v>
      </c>
      <c r="H377">
        <v>10</v>
      </c>
      <c r="I377" t="s">
        <v>33</v>
      </c>
      <c r="J377">
        <v>4</v>
      </c>
    </row>
    <row r="378" spans="1:10" x14ac:dyDescent="0.3">
      <c r="A378" t="s">
        <v>11</v>
      </c>
      <c r="B378">
        <v>45750</v>
      </c>
      <c r="C378" t="s">
        <v>20</v>
      </c>
      <c r="D378" t="s">
        <v>20</v>
      </c>
      <c r="E378" t="s">
        <v>32</v>
      </c>
      <c r="F378">
        <v>88</v>
      </c>
      <c r="G378">
        <v>3</v>
      </c>
      <c r="H378">
        <v>13</v>
      </c>
      <c r="I378" t="s">
        <v>35</v>
      </c>
      <c r="J378">
        <v>5</v>
      </c>
    </row>
    <row r="379" spans="1:10" x14ac:dyDescent="0.3">
      <c r="A379" t="s">
        <v>11</v>
      </c>
      <c r="B379">
        <v>45758</v>
      </c>
      <c r="C379" t="s">
        <v>19</v>
      </c>
      <c r="D379" t="s">
        <v>23</v>
      </c>
      <c r="E379" t="s">
        <v>30</v>
      </c>
      <c r="F379">
        <v>222</v>
      </c>
      <c r="G379">
        <v>4</v>
      </c>
      <c r="H379">
        <v>17</v>
      </c>
      <c r="I379" t="s">
        <v>35</v>
      </c>
    </row>
    <row r="380" spans="1:10" x14ac:dyDescent="0.3">
      <c r="A380" t="s">
        <v>10</v>
      </c>
      <c r="B380">
        <v>45755</v>
      </c>
      <c r="C380" t="s">
        <v>13</v>
      </c>
      <c r="D380" t="s">
        <v>24</v>
      </c>
      <c r="E380" t="s">
        <v>32</v>
      </c>
      <c r="F380">
        <v>145</v>
      </c>
      <c r="G380">
        <v>5</v>
      </c>
      <c r="H380">
        <v>15</v>
      </c>
      <c r="I380" t="s">
        <v>34</v>
      </c>
      <c r="J380">
        <v>5</v>
      </c>
    </row>
    <row r="381" spans="1:10" x14ac:dyDescent="0.3">
      <c r="A381" t="s">
        <v>11</v>
      </c>
      <c r="B381">
        <v>45765</v>
      </c>
      <c r="C381" t="s">
        <v>14</v>
      </c>
      <c r="D381" t="s">
        <v>25</v>
      </c>
      <c r="E381" t="s">
        <v>32</v>
      </c>
      <c r="F381">
        <v>51</v>
      </c>
      <c r="G381">
        <v>1</v>
      </c>
      <c r="H381">
        <v>7</v>
      </c>
      <c r="I381" t="s">
        <v>35</v>
      </c>
      <c r="J381">
        <v>5</v>
      </c>
    </row>
    <row r="382" spans="1:10" x14ac:dyDescent="0.3">
      <c r="A382" t="s">
        <v>11</v>
      </c>
      <c r="B382">
        <v>45752</v>
      </c>
      <c r="C382" t="s">
        <v>18</v>
      </c>
      <c r="D382" t="s">
        <v>27</v>
      </c>
      <c r="E382" t="s">
        <v>28</v>
      </c>
      <c r="F382">
        <v>188</v>
      </c>
      <c r="G382">
        <v>4</v>
      </c>
      <c r="H382">
        <v>12</v>
      </c>
      <c r="I382" t="s">
        <v>35</v>
      </c>
      <c r="J382">
        <v>4</v>
      </c>
    </row>
    <row r="383" spans="1:10" x14ac:dyDescent="0.3">
      <c r="A383" t="s">
        <v>11</v>
      </c>
      <c r="B383">
        <v>45755</v>
      </c>
      <c r="C383" t="s">
        <v>18</v>
      </c>
      <c r="D383" t="s">
        <v>27</v>
      </c>
      <c r="E383" t="s">
        <v>31</v>
      </c>
      <c r="F383">
        <v>69</v>
      </c>
      <c r="G383">
        <v>2</v>
      </c>
      <c r="H383">
        <v>18</v>
      </c>
      <c r="I383" t="s">
        <v>35</v>
      </c>
      <c r="J383">
        <v>4</v>
      </c>
    </row>
    <row r="384" spans="1:10" x14ac:dyDescent="0.3">
      <c r="A384" t="s">
        <v>11</v>
      </c>
      <c r="B384">
        <v>45746</v>
      </c>
      <c r="C384" t="s">
        <v>22</v>
      </c>
      <c r="D384" t="s">
        <v>25</v>
      </c>
      <c r="E384" t="s">
        <v>30</v>
      </c>
      <c r="F384">
        <v>150</v>
      </c>
      <c r="G384">
        <v>5</v>
      </c>
      <c r="H384">
        <v>13</v>
      </c>
      <c r="I384" t="s">
        <v>33</v>
      </c>
      <c r="J384">
        <v>5</v>
      </c>
    </row>
    <row r="385" spans="1:10" x14ac:dyDescent="0.3">
      <c r="A385" t="s">
        <v>11</v>
      </c>
      <c r="B385">
        <v>45767</v>
      </c>
      <c r="C385" t="s">
        <v>14</v>
      </c>
      <c r="D385" t="s">
        <v>25</v>
      </c>
      <c r="E385" t="s">
        <v>29</v>
      </c>
      <c r="F385">
        <v>160</v>
      </c>
      <c r="G385">
        <v>3</v>
      </c>
      <c r="H385">
        <v>7</v>
      </c>
      <c r="I385" t="s">
        <v>35</v>
      </c>
      <c r="J385">
        <v>2</v>
      </c>
    </row>
    <row r="386" spans="1:10" x14ac:dyDescent="0.3">
      <c r="A386" t="s">
        <v>10</v>
      </c>
      <c r="B386">
        <v>45753</v>
      </c>
      <c r="C386" t="s">
        <v>18</v>
      </c>
      <c r="D386" t="s">
        <v>27</v>
      </c>
      <c r="E386" t="s">
        <v>28</v>
      </c>
      <c r="F386">
        <v>172</v>
      </c>
      <c r="G386">
        <v>3</v>
      </c>
      <c r="H386">
        <v>23</v>
      </c>
      <c r="I386" t="s">
        <v>33</v>
      </c>
      <c r="J386">
        <v>1</v>
      </c>
    </row>
    <row r="387" spans="1:10" x14ac:dyDescent="0.3">
      <c r="A387" t="s">
        <v>11</v>
      </c>
      <c r="B387">
        <v>45758</v>
      </c>
      <c r="C387" t="s">
        <v>22</v>
      </c>
      <c r="D387" t="s">
        <v>25</v>
      </c>
      <c r="E387" t="s">
        <v>30</v>
      </c>
      <c r="F387">
        <v>45</v>
      </c>
      <c r="G387">
        <v>5</v>
      </c>
      <c r="H387">
        <v>19</v>
      </c>
      <c r="I387" t="s">
        <v>34</v>
      </c>
      <c r="J387">
        <v>3</v>
      </c>
    </row>
    <row r="388" spans="1:10" x14ac:dyDescent="0.3">
      <c r="A388" t="s">
        <v>11</v>
      </c>
      <c r="B388">
        <v>45741</v>
      </c>
      <c r="C388" t="s">
        <v>16</v>
      </c>
      <c r="D388" t="s">
        <v>26</v>
      </c>
      <c r="E388" t="s">
        <v>31</v>
      </c>
      <c r="F388">
        <v>167</v>
      </c>
      <c r="G388">
        <v>3</v>
      </c>
      <c r="H388">
        <v>15</v>
      </c>
      <c r="I388" t="s">
        <v>35</v>
      </c>
      <c r="J388">
        <v>1</v>
      </c>
    </row>
    <row r="389" spans="1:10" x14ac:dyDescent="0.3">
      <c r="A389" t="s">
        <v>10</v>
      </c>
      <c r="B389">
        <v>45766</v>
      </c>
      <c r="C389" t="s">
        <v>18</v>
      </c>
      <c r="D389" t="s">
        <v>27</v>
      </c>
      <c r="E389" t="s">
        <v>31</v>
      </c>
      <c r="F389">
        <v>184</v>
      </c>
      <c r="G389">
        <v>4</v>
      </c>
      <c r="H389">
        <v>15</v>
      </c>
      <c r="I389" t="s">
        <v>35</v>
      </c>
      <c r="J389">
        <v>3</v>
      </c>
    </row>
    <row r="390" spans="1:10" x14ac:dyDescent="0.3">
      <c r="A390" t="s">
        <v>11</v>
      </c>
      <c r="B390">
        <v>45739</v>
      </c>
      <c r="C390" t="s">
        <v>19</v>
      </c>
      <c r="D390" t="s">
        <v>23</v>
      </c>
      <c r="E390" t="s">
        <v>30</v>
      </c>
      <c r="F390">
        <v>120</v>
      </c>
      <c r="G390">
        <v>3</v>
      </c>
      <c r="H390">
        <v>20</v>
      </c>
      <c r="I390" t="s">
        <v>33</v>
      </c>
      <c r="J390">
        <v>5</v>
      </c>
    </row>
    <row r="391" spans="1:10" x14ac:dyDescent="0.3">
      <c r="A391" t="s">
        <v>10</v>
      </c>
      <c r="B391">
        <v>45751</v>
      </c>
      <c r="C391" t="s">
        <v>21</v>
      </c>
      <c r="D391" t="s">
        <v>26</v>
      </c>
      <c r="E391" t="s">
        <v>29</v>
      </c>
      <c r="F391">
        <v>89</v>
      </c>
      <c r="G391">
        <v>1</v>
      </c>
      <c r="H391">
        <v>17</v>
      </c>
      <c r="I391" t="s">
        <v>35</v>
      </c>
      <c r="J391">
        <v>4</v>
      </c>
    </row>
    <row r="392" spans="1:10" x14ac:dyDescent="0.3">
      <c r="A392" t="s">
        <v>11</v>
      </c>
      <c r="B392">
        <v>45746</v>
      </c>
      <c r="C392" t="s">
        <v>18</v>
      </c>
      <c r="D392" t="s">
        <v>27</v>
      </c>
      <c r="E392" t="s">
        <v>31</v>
      </c>
      <c r="F392">
        <v>116</v>
      </c>
      <c r="G392">
        <v>3</v>
      </c>
      <c r="H392">
        <v>12</v>
      </c>
      <c r="I392" t="s">
        <v>33</v>
      </c>
      <c r="J392">
        <v>1</v>
      </c>
    </row>
    <row r="393" spans="1:10" x14ac:dyDescent="0.3">
      <c r="A393" t="s">
        <v>10</v>
      </c>
      <c r="B393">
        <v>45750</v>
      </c>
      <c r="C393" t="s">
        <v>21</v>
      </c>
      <c r="D393" t="s">
        <v>26</v>
      </c>
      <c r="E393" t="s">
        <v>28</v>
      </c>
      <c r="F393">
        <v>186</v>
      </c>
      <c r="G393">
        <v>2</v>
      </c>
      <c r="H393">
        <v>19</v>
      </c>
      <c r="I393" t="s">
        <v>35</v>
      </c>
      <c r="J393">
        <v>3</v>
      </c>
    </row>
    <row r="394" spans="1:10" x14ac:dyDescent="0.3">
      <c r="A394" t="s">
        <v>11</v>
      </c>
      <c r="B394">
        <v>45747</v>
      </c>
      <c r="C394" t="s">
        <v>20</v>
      </c>
      <c r="D394" t="s">
        <v>20</v>
      </c>
      <c r="E394" t="s">
        <v>29</v>
      </c>
      <c r="F394">
        <v>205</v>
      </c>
      <c r="G394">
        <v>3</v>
      </c>
      <c r="H394">
        <v>18</v>
      </c>
      <c r="I394" t="s">
        <v>33</v>
      </c>
      <c r="J394">
        <v>1</v>
      </c>
    </row>
    <row r="395" spans="1:10" x14ac:dyDescent="0.3">
      <c r="A395" t="s">
        <v>10</v>
      </c>
      <c r="B395">
        <v>45758</v>
      </c>
      <c r="C395" t="s">
        <v>16</v>
      </c>
      <c r="D395" t="s">
        <v>26</v>
      </c>
      <c r="E395" t="s">
        <v>28</v>
      </c>
      <c r="F395">
        <v>104</v>
      </c>
      <c r="G395">
        <v>4</v>
      </c>
      <c r="H395">
        <v>18</v>
      </c>
      <c r="I395" t="s">
        <v>35</v>
      </c>
    </row>
    <row r="396" spans="1:10" x14ac:dyDescent="0.3">
      <c r="A396" t="s">
        <v>10</v>
      </c>
      <c r="B396">
        <v>45748</v>
      </c>
      <c r="C396" t="s">
        <v>15</v>
      </c>
      <c r="D396" t="s">
        <v>25</v>
      </c>
      <c r="E396" t="s">
        <v>28</v>
      </c>
      <c r="F396">
        <v>119</v>
      </c>
      <c r="G396">
        <v>5</v>
      </c>
      <c r="H396">
        <v>18</v>
      </c>
      <c r="I396" t="s">
        <v>34</v>
      </c>
      <c r="J396">
        <v>5</v>
      </c>
    </row>
    <row r="397" spans="1:10" x14ac:dyDescent="0.3">
      <c r="A397" t="s">
        <v>11</v>
      </c>
      <c r="B397">
        <v>45767</v>
      </c>
      <c r="C397" t="s">
        <v>19</v>
      </c>
      <c r="D397" t="s">
        <v>23</v>
      </c>
      <c r="E397" t="s">
        <v>31</v>
      </c>
      <c r="F397">
        <v>202</v>
      </c>
      <c r="G397">
        <v>4</v>
      </c>
      <c r="H397">
        <v>14</v>
      </c>
      <c r="I397" t="s">
        <v>34</v>
      </c>
      <c r="J397">
        <v>3</v>
      </c>
    </row>
    <row r="398" spans="1:10" x14ac:dyDescent="0.3">
      <c r="A398" t="s">
        <v>10</v>
      </c>
      <c r="B398">
        <v>45765</v>
      </c>
      <c r="C398" t="s">
        <v>16</v>
      </c>
      <c r="D398" t="s">
        <v>26</v>
      </c>
      <c r="E398" t="s">
        <v>32</v>
      </c>
      <c r="F398">
        <v>109</v>
      </c>
      <c r="G398">
        <v>3</v>
      </c>
      <c r="H398">
        <v>12</v>
      </c>
      <c r="I398" t="s">
        <v>33</v>
      </c>
      <c r="J398">
        <v>5</v>
      </c>
    </row>
    <row r="399" spans="1:10" x14ac:dyDescent="0.3">
      <c r="A399" t="s">
        <v>10</v>
      </c>
      <c r="B399">
        <v>45748</v>
      </c>
      <c r="C399" t="s">
        <v>17</v>
      </c>
      <c r="D399" t="s">
        <v>24</v>
      </c>
      <c r="E399" t="s">
        <v>28</v>
      </c>
      <c r="F399">
        <v>212</v>
      </c>
      <c r="G399">
        <v>4</v>
      </c>
      <c r="H399">
        <v>20</v>
      </c>
      <c r="I399" t="s">
        <v>33</v>
      </c>
      <c r="J399">
        <v>1</v>
      </c>
    </row>
    <row r="400" spans="1:10" x14ac:dyDescent="0.3">
      <c r="A400" t="s">
        <v>10</v>
      </c>
      <c r="B400">
        <v>45751</v>
      </c>
      <c r="C400" t="s">
        <v>13</v>
      </c>
      <c r="D400" t="s">
        <v>24</v>
      </c>
      <c r="E400" t="s">
        <v>30</v>
      </c>
      <c r="F400">
        <v>61</v>
      </c>
      <c r="G400">
        <v>2</v>
      </c>
      <c r="H400">
        <v>21</v>
      </c>
      <c r="I400" t="s">
        <v>33</v>
      </c>
      <c r="J400">
        <v>4</v>
      </c>
    </row>
    <row r="401" spans="1:10" x14ac:dyDescent="0.3">
      <c r="A401" t="s">
        <v>10</v>
      </c>
      <c r="B401">
        <v>45760</v>
      </c>
      <c r="C401" t="s">
        <v>21</v>
      </c>
      <c r="D401" t="s">
        <v>26</v>
      </c>
      <c r="E401" t="s">
        <v>31</v>
      </c>
      <c r="F401">
        <v>101</v>
      </c>
      <c r="G401">
        <v>2</v>
      </c>
      <c r="H401">
        <v>20</v>
      </c>
      <c r="I401" t="s">
        <v>35</v>
      </c>
    </row>
    <row r="402" spans="1:10" x14ac:dyDescent="0.3">
      <c r="A402" t="s">
        <v>11</v>
      </c>
      <c r="B402">
        <v>45745</v>
      </c>
      <c r="C402" t="s">
        <v>15</v>
      </c>
      <c r="D402" t="s">
        <v>25</v>
      </c>
      <c r="E402" t="s">
        <v>31</v>
      </c>
      <c r="F402">
        <v>185</v>
      </c>
      <c r="G402">
        <v>3</v>
      </c>
      <c r="H402">
        <v>17</v>
      </c>
      <c r="I402" t="s">
        <v>33</v>
      </c>
    </row>
    <row r="403" spans="1:10" x14ac:dyDescent="0.3">
      <c r="A403" t="s">
        <v>10</v>
      </c>
      <c r="B403">
        <v>45750</v>
      </c>
      <c r="C403" t="s">
        <v>15</v>
      </c>
      <c r="D403" t="s">
        <v>25</v>
      </c>
      <c r="E403" t="s">
        <v>32</v>
      </c>
      <c r="F403">
        <v>91</v>
      </c>
      <c r="G403">
        <v>2</v>
      </c>
      <c r="H403">
        <v>21</v>
      </c>
      <c r="I403" t="s">
        <v>35</v>
      </c>
      <c r="J403">
        <v>4</v>
      </c>
    </row>
    <row r="404" spans="1:10" x14ac:dyDescent="0.3">
      <c r="A404" t="s">
        <v>10</v>
      </c>
      <c r="B404">
        <v>45761</v>
      </c>
      <c r="C404" t="s">
        <v>18</v>
      </c>
      <c r="D404" t="s">
        <v>27</v>
      </c>
      <c r="E404" t="s">
        <v>28</v>
      </c>
      <c r="F404">
        <v>58</v>
      </c>
      <c r="G404">
        <v>5</v>
      </c>
      <c r="H404">
        <v>16</v>
      </c>
      <c r="I404" t="s">
        <v>34</v>
      </c>
      <c r="J404">
        <v>2</v>
      </c>
    </row>
    <row r="405" spans="1:10" x14ac:dyDescent="0.3">
      <c r="A405" t="s">
        <v>10</v>
      </c>
      <c r="B405">
        <v>45764</v>
      </c>
      <c r="C405" t="s">
        <v>22</v>
      </c>
      <c r="D405" t="s">
        <v>25</v>
      </c>
      <c r="E405" t="s">
        <v>29</v>
      </c>
      <c r="F405">
        <v>127</v>
      </c>
      <c r="G405">
        <v>1</v>
      </c>
      <c r="H405">
        <v>23</v>
      </c>
      <c r="I405" t="s">
        <v>33</v>
      </c>
      <c r="J405">
        <v>1</v>
      </c>
    </row>
    <row r="406" spans="1:10" x14ac:dyDescent="0.3">
      <c r="A406" t="s">
        <v>10</v>
      </c>
      <c r="B406">
        <v>45763</v>
      </c>
      <c r="C406" t="s">
        <v>13</v>
      </c>
      <c r="D406" t="s">
        <v>24</v>
      </c>
      <c r="E406" t="s">
        <v>30</v>
      </c>
      <c r="F406">
        <v>116</v>
      </c>
      <c r="G406">
        <v>1</v>
      </c>
      <c r="H406">
        <v>16</v>
      </c>
      <c r="I406" t="s">
        <v>35</v>
      </c>
    </row>
    <row r="407" spans="1:10" x14ac:dyDescent="0.3">
      <c r="A407" t="s">
        <v>11</v>
      </c>
      <c r="B407">
        <v>45740</v>
      </c>
      <c r="C407" t="s">
        <v>13</v>
      </c>
      <c r="D407" t="s">
        <v>24</v>
      </c>
      <c r="E407" t="s">
        <v>28</v>
      </c>
      <c r="F407">
        <v>121</v>
      </c>
      <c r="G407">
        <v>2</v>
      </c>
      <c r="H407">
        <v>17</v>
      </c>
      <c r="I407" t="s">
        <v>34</v>
      </c>
      <c r="J407">
        <v>2</v>
      </c>
    </row>
    <row r="408" spans="1:10" x14ac:dyDescent="0.3">
      <c r="A408" t="s">
        <v>10</v>
      </c>
      <c r="B408">
        <v>45750</v>
      </c>
      <c r="C408" t="s">
        <v>18</v>
      </c>
      <c r="D408" t="s">
        <v>27</v>
      </c>
      <c r="E408" t="s">
        <v>29</v>
      </c>
      <c r="F408">
        <v>92</v>
      </c>
      <c r="G408">
        <v>1</v>
      </c>
      <c r="H408">
        <v>21</v>
      </c>
      <c r="I408" t="s">
        <v>35</v>
      </c>
      <c r="J408">
        <v>4</v>
      </c>
    </row>
    <row r="409" spans="1:10" x14ac:dyDescent="0.3">
      <c r="A409" t="s">
        <v>10</v>
      </c>
      <c r="B409">
        <v>45768</v>
      </c>
      <c r="C409" t="s">
        <v>17</v>
      </c>
      <c r="D409" t="s">
        <v>24</v>
      </c>
      <c r="E409" t="s">
        <v>30</v>
      </c>
      <c r="F409">
        <v>147</v>
      </c>
      <c r="G409">
        <v>2</v>
      </c>
      <c r="H409">
        <v>12</v>
      </c>
      <c r="I409" t="s">
        <v>35</v>
      </c>
    </row>
    <row r="410" spans="1:10" x14ac:dyDescent="0.3">
      <c r="A410" t="s">
        <v>11</v>
      </c>
      <c r="B410">
        <v>45755</v>
      </c>
      <c r="C410" t="s">
        <v>13</v>
      </c>
      <c r="D410" t="s">
        <v>24</v>
      </c>
      <c r="E410" t="s">
        <v>30</v>
      </c>
      <c r="F410">
        <v>201</v>
      </c>
      <c r="G410">
        <v>5</v>
      </c>
      <c r="H410">
        <v>7</v>
      </c>
      <c r="I410" t="s">
        <v>34</v>
      </c>
      <c r="J410">
        <v>4</v>
      </c>
    </row>
    <row r="411" spans="1:10" x14ac:dyDescent="0.3">
      <c r="A411" t="s">
        <v>10</v>
      </c>
      <c r="B411">
        <v>45763</v>
      </c>
      <c r="C411" t="s">
        <v>19</v>
      </c>
      <c r="D411" t="s">
        <v>23</v>
      </c>
      <c r="E411" t="s">
        <v>32</v>
      </c>
      <c r="F411">
        <v>197</v>
      </c>
      <c r="G411">
        <v>2</v>
      </c>
      <c r="H411">
        <v>23</v>
      </c>
      <c r="I411" t="s">
        <v>33</v>
      </c>
      <c r="J411">
        <v>5</v>
      </c>
    </row>
    <row r="412" spans="1:10" x14ac:dyDescent="0.3">
      <c r="A412" t="s">
        <v>10</v>
      </c>
      <c r="B412">
        <v>45745</v>
      </c>
      <c r="C412" t="s">
        <v>18</v>
      </c>
      <c r="D412" t="s">
        <v>27</v>
      </c>
      <c r="E412" t="s">
        <v>31</v>
      </c>
      <c r="F412">
        <v>63</v>
      </c>
      <c r="G412">
        <v>3</v>
      </c>
      <c r="H412">
        <v>24</v>
      </c>
      <c r="I412" t="s">
        <v>34</v>
      </c>
      <c r="J412">
        <v>3</v>
      </c>
    </row>
    <row r="413" spans="1:10" x14ac:dyDescent="0.3">
      <c r="A413" t="s">
        <v>11</v>
      </c>
      <c r="B413">
        <v>45766</v>
      </c>
      <c r="C413" t="s">
        <v>18</v>
      </c>
      <c r="D413" t="s">
        <v>27</v>
      </c>
      <c r="E413" t="s">
        <v>28</v>
      </c>
      <c r="F413">
        <v>242</v>
      </c>
      <c r="G413">
        <v>2</v>
      </c>
      <c r="H413">
        <v>10</v>
      </c>
      <c r="I413" t="s">
        <v>34</v>
      </c>
      <c r="J413">
        <v>2</v>
      </c>
    </row>
    <row r="414" spans="1:10" x14ac:dyDescent="0.3">
      <c r="A414" t="s">
        <v>10</v>
      </c>
      <c r="B414">
        <v>45765</v>
      </c>
      <c r="C414" t="s">
        <v>20</v>
      </c>
      <c r="D414" t="s">
        <v>20</v>
      </c>
      <c r="E414" t="s">
        <v>32</v>
      </c>
      <c r="F414">
        <v>198</v>
      </c>
      <c r="G414">
        <v>3</v>
      </c>
      <c r="H414">
        <v>16</v>
      </c>
      <c r="I414" t="s">
        <v>35</v>
      </c>
    </row>
    <row r="415" spans="1:10" x14ac:dyDescent="0.3">
      <c r="A415" t="s">
        <v>10</v>
      </c>
      <c r="B415">
        <v>45751</v>
      </c>
      <c r="C415" t="s">
        <v>13</v>
      </c>
      <c r="D415" t="s">
        <v>24</v>
      </c>
      <c r="E415" t="s">
        <v>31</v>
      </c>
      <c r="F415">
        <v>156</v>
      </c>
      <c r="G415">
        <v>4</v>
      </c>
      <c r="H415">
        <v>18</v>
      </c>
      <c r="I415" t="s">
        <v>34</v>
      </c>
      <c r="J415">
        <v>4</v>
      </c>
    </row>
    <row r="416" spans="1:10" x14ac:dyDescent="0.3">
      <c r="A416" t="s">
        <v>10</v>
      </c>
      <c r="B416">
        <v>45745</v>
      </c>
      <c r="C416" t="s">
        <v>20</v>
      </c>
      <c r="D416" t="s">
        <v>20</v>
      </c>
      <c r="E416" t="s">
        <v>28</v>
      </c>
      <c r="F416">
        <v>207</v>
      </c>
      <c r="G416">
        <v>5</v>
      </c>
      <c r="H416">
        <v>15</v>
      </c>
      <c r="I416" t="s">
        <v>33</v>
      </c>
      <c r="J416">
        <v>2</v>
      </c>
    </row>
    <row r="417" spans="1:10" x14ac:dyDescent="0.3">
      <c r="A417" t="s">
        <v>11</v>
      </c>
      <c r="B417">
        <v>45748</v>
      </c>
      <c r="C417" t="s">
        <v>12</v>
      </c>
      <c r="D417" t="s">
        <v>23</v>
      </c>
      <c r="E417" t="s">
        <v>28</v>
      </c>
      <c r="F417">
        <v>105</v>
      </c>
      <c r="G417">
        <v>3</v>
      </c>
      <c r="H417">
        <v>17</v>
      </c>
      <c r="I417" t="s">
        <v>35</v>
      </c>
      <c r="J417">
        <v>1</v>
      </c>
    </row>
    <row r="418" spans="1:10" x14ac:dyDescent="0.3">
      <c r="A418" t="s">
        <v>11</v>
      </c>
      <c r="B418">
        <v>45741</v>
      </c>
      <c r="C418" t="s">
        <v>19</v>
      </c>
      <c r="D418" t="s">
        <v>23</v>
      </c>
      <c r="E418" t="s">
        <v>29</v>
      </c>
      <c r="F418">
        <v>49</v>
      </c>
      <c r="G418">
        <v>1</v>
      </c>
      <c r="H418">
        <v>19</v>
      </c>
      <c r="I418" t="s">
        <v>35</v>
      </c>
    </row>
    <row r="419" spans="1:10" x14ac:dyDescent="0.3">
      <c r="A419" t="s">
        <v>10</v>
      </c>
      <c r="B419">
        <v>45764</v>
      </c>
      <c r="C419" t="s">
        <v>16</v>
      </c>
      <c r="D419" t="s">
        <v>26</v>
      </c>
      <c r="E419" t="s">
        <v>30</v>
      </c>
      <c r="F419">
        <v>232</v>
      </c>
      <c r="G419">
        <v>5</v>
      </c>
      <c r="H419">
        <v>15</v>
      </c>
      <c r="I419" t="s">
        <v>34</v>
      </c>
      <c r="J419">
        <v>3</v>
      </c>
    </row>
    <row r="420" spans="1:10" x14ac:dyDescent="0.3">
      <c r="A420" t="s">
        <v>10</v>
      </c>
      <c r="B420">
        <v>45759</v>
      </c>
      <c r="C420" t="s">
        <v>18</v>
      </c>
      <c r="D420" t="s">
        <v>27</v>
      </c>
      <c r="E420" t="s">
        <v>29</v>
      </c>
      <c r="F420">
        <v>37</v>
      </c>
      <c r="G420">
        <v>4</v>
      </c>
      <c r="H420">
        <v>16</v>
      </c>
      <c r="I420" t="s">
        <v>33</v>
      </c>
      <c r="J420">
        <v>4</v>
      </c>
    </row>
    <row r="421" spans="1:10" x14ac:dyDescent="0.3">
      <c r="A421" t="s">
        <v>10</v>
      </c>
      <c r="B421">
        <v>45739</v>
      </c>
      <c r="C421" t="s">
        <v>21</v>
      </c>
      <c r="D421" t="s">
        <v>26</v>
      </c>
      <c r="E421" t="s">
        <v>30</v>
      </c>
      <c r="F421">
        <v>250</v>
      </c>
      <c r="G421">
        <v>4</v>
      </c>
      <c r="H421">
        <v>21</v>
      </c>
      <c r="I421" t="s">
        <v>33</v>
      </c>
    </row>
    <row r="422" spans="1:10" x14ac:dyDescent="0.3">
      <c r="A422" t="s">
        <v>11</v>
      </c>
      <c r="B422">
        <v>45763</v>
      </c>
      <c r="C422" t="s">
        <v>13</v>
      </c>
      <c r="D422" t="s">
        <v>24</v>
      </c>
      <c r="E422" t="s">
        <v>28</v>
      </c>
      <c r="F422">
        <v>192</v>
      </c>
      <c r="G422">
        <v>5</v>
      </c>
      <c r="H422">
        <v>12</v>
      </c>
      <c r="I422" t="s">
        <v>34</v>
      </c>
      <c r="J422">
        <v>3</v>
      </c>
    </row>
    <row r="423" spans="1:10" x14ac:dyDescent="0.3">
      <c r="A423" t="s">
        <v>10</v>
      </c>
      <c r="B423">
        <v>45766</v>
      </c>
      <c r="C423" t="s">
        <v>20</v>
      </c>
      <c r="D423" t="s">
        <v>20</v>
      </c>
      <c r="E423" t="s">
        <v>29</v>
      </c>
      <c r="F423">
        <v>45</v>
      </c>
      <c r="G423">
        <v>2</v>
      </c>
      <c r="H423">
        <v>18</v>
      </c>
      <c r="I423" t="s">
        <v>33</v>
      </c>
    </row>
    <row r="424" spans="1:10" x14ac:dyDescent="0.3">
      <c r="A424" t="s">
        <v>11</v>
      </c>
      <c r="B424">
        <v>45749</v>
      </c>
      <c r="C424" t="s">
        <v>14</v>
      </c>
      <c r="D424" t="s">
        <v>25</v>
      </c>
      <c r="E424" t="s">
        <v>29</v>
      </c>
      <c r="F424">
        <v>172</v>
      </c>
      <c r="G424">
        <v>4</v>
      </c>
      <c r="H424">
        <v>8</v>
      </c>
      <c r="I424" t="s">
        <v>33</v>
      </c>
      <c r="J424">
        <v>5</v>
      </c>
    </row>
    <row r="425" spans="1:10" x14ac:dyDescent="0.3">
      <c r="A425" t="s">
        <v>10</v>
      </c>
      <c r="B425">
        <v>45764</v>
      </c>
      <c r="C425" t="s">
        <v>20</v>
      </c>
      <c r="D425" t="s">
        <v>20</v>
      </c>
      <c r="E425" t="s">
        <v>31</v>
      </c>
      <c r="F425">
        <v>106</v>
      </c>
      <c r="G425">
        <v>1</v>
      </c>
      <c r="H425">
        <v>22</v>
      </c>
      <c r="I425" t="s">
        <v>33</v>
      </c>
    </row>
    <row r="426" spans="1:10" x14ac:dyDescent="0.3">
      <c r="A426" t="s">
        <v>10</v>
      </c>
      <c r="B426">
        <v>45743</v>
      </c>
      <c r="C426" t="s">
        <v>22</v>
      </c>
      <c r="D426" t="s">
        <v>25</v>
      </c>
      <c r="E426" t="s">
        <v>30</v>
      </c>
      <c r="F426">
        <v>109</v>
      </c>
      <c r="G426">
        <v>1</v>
      </c>
      <c r="H426">
        <v>19</v>
      </c>
      <c r="I426" t="s">
        <v>33</v>
      </c>
    </row>
    <row r="427" spans="1:10" x14ac:dyDescent="0.3">
      <c r="A427" t="s">
        <v>11</v>
      </c>
      <c r="B427">
        <v>45766</v>
      </c>
      <c r="C427" t="s">
        <v>15</v>
      </c>
      <c r="D427" t="s">
        <v>25</v>
      </c>
      <c r="E427" t="s">
        <v>30</v>
      </c>
      <c r="F427">
        <v>122</v>
      </c>
      <c r="G427">
        <v>2</v>
      </c>
      <c r="H427">
        <v>18</v>
      </c>
      <c r="I427" t="s">
        <v>33</v>
      </c>
      <c r="J427">
        <v>1</v>
      </c>
    </row>
    <row r="428" spans="1:10" x14ac:dyDescent="0.3">
      <c r="A428" t="s">
        <v>11</v>
      </c>
      <c r="B428">
        <v>45761</v>
      </c>
      <c r="C428" t="s">
        <v>22</v>
      </c>
      <c r="D428" t="s">
        <v>25</v>
      </c>
      <c r="E428" t="s">
        <v>30</v>
      </c>
      <c r="F428">
        <v>169</v>
      </c>
      <c r="G428">
        <v>2</v>
      </c>
      <c r="H428">
        <v>19</v>
      </c>
      <c r="I428" t="s">
        <v>33</v>
      </c>
      <c r="J428">
        <v>3</v>
      </c>
    </row>
    <row r="429" spans="1:10" x14ac:dyDescent="0.3">
      <c r="A429" t="s">
        <v>11</v>
      </c>
      <c r="B429">
        <v>45755</v>
      </c>
      <c r="C429" t="s">
        <v>13</v>
      </c>
      <c r="D429" t="s">
        <v>24</v>
      </c>
      <c r="E429" t="s">
        <v>28</v>
      </c>
      <c r="F429">
        <v>219</v>
      </c>
      <c r="G429">
        <v>2</v>
      </c>
      <c r="H429">
        <v>7</v>
      </c>
      <c r="I429" t="s">
        <v>35</v>
      </c>
    </row>
    <row r="430" spans="1:10" x14ac:dyDescent="0.3">
      <c r="A430" t="s">
        <v>11</v>
      </c>
      <c r="B430">
        <v>45764</v>
      </c>
      <c r="C430" t="s">
        <v>16</v>
      </c>
      <c r="D430" t="s">
        <v>26</v>
      </c>
      <c r="E430" t="s">
        <v>29</v>
      </c>
      <c r="F430">
        <v>147</v>
      </c>
      <c r="G430">
        <v>5</v>
      </c>
      <c r="H430">
        <v>16</v>
      </c>
      <c r="I430" t="s">
        <v>35</v>
      </c>
      <c r="J430">
        <v>5</v>
      </c>
    </row>
    <row r="431" spans="1:10" x14ac:dyDescent="0.3">
      <c r="A431" t="s">
        <v>10</v>
      </c>
      <c r="B431">
        <v>45767</v>
      </c>
      <c r="C431" t="s">
        <v>21</v>
      </c>
      <c r="D431" t="s">
        <v>26</v>
      </c>
      <c r="E431" t="s">
        <v>32</v>
      </c>
      <c r="F431">
        <v>248</v>
      </c>
      <c r="G431">
        <v>4</v>
      </c>
      <c r="H431">
        <v>23</v>
      </c>
      <c r="I431" t="s">
        <v>33</v>
      </c>
      <c r="J431">
        <v>5</v>
      </c>
    </row>
    <row r="432" spans="1:10" x14ac:dyDescent="0.3">
      <c r="A432" t="s">
        <v>11</v>
      </c>
      <c r="B432">
        <v>45739</v>
      </c>
      <c r="C432" t="s">
        <v>21</v>
      </c>
      <c r="D432" t="s">
        <v>26</v>
      </c>
      <c r="E432" t="s">
        <v>31</v>
      </c>
      <c r="F432">
        <v>98</v>
      </c>
      <c r="G432">
        <v>1</v>
      </c>
      <c r="H432">
        <v>16</v>
      </c>
      <c r="I432" t="s">
        <v>34</v>
      </c>
      <c r="J432">
        <v>3</v>
      </c>
    </row>
    <row r="433" spans="1:10" x14ac:dyDescent="0.3">
      <c r="A433" t="s">
        <v>10</v>
      </c>
      <c r="B433">
        <v>45746</v>
      </c>
      <c r="C433" t="s">
        <v>14</v>
      </c>
      <c r="D433" t="s">
        <v>25</v>
      </c>
      <c r="E433" t="s">
        <v>28</v>
      </c>
      <c r="F433">
        <v>84</v>
      </c>
      <c r="G433">
        <v>3</v>
      </c>
      <c r="H433">
        <v>18</v>
      </c>
      <c r="I433" t="s">
        <v>33</v>
      </c>
      <c r="J433">
        <v>5</v>
      </c>
    </row>
    <row r="434" spans="1:10" x14ac:dyDescent="0.3">
      <c r="A434" t="s">
        <v>11</v>
      </c>
      <c r="B434">
        <v>45751</v>
      </c>
      <c r="C434" t="s">
        <v>13</v>
      </c>
      <c r="D434" t="s">
        <v>24</v>
      </c>
      <c r="E434" t="s">
        <v>32</v>
      </c>
      <c r="F434">
        <v>65</v>
      </c>
      <c r="G434">
        <v>4</v>
      </c>
      <c r="H434">
        <v>19</v>
      </c>
      <c r="I434" t="s">
        <v>33</v>
      </c>
      <c r="J434">
        <v>1</v>
      </c>
    </row>
    <row r="435" spans="1:10" x14ac:dyDescent="0.3">
      <c r="A435" t="s">
        <v>10</v>
      </c>
      <c r="B435">
        <v>45755</v>
      </c>
      <c r="C435" t="s">
        <v>19</v>
      </c>
      <c r="D435" t="s">
        <v>23</v>
      </c>
      <c r="E435" t="s">
        <v>30</v>
      </c>
      <c r="F435">
        <v>148</v>
      </c>
      <c r="G435">
        <v>3</v>
      </c>
      <c r="H435">
        <v>18</v>
      </c>
      <c r="I435" t="s">
        <v>35</v>
      </c>
    </row>
    <row r="436" spans="1:10" x14ac:dyDescent="0.3">
      <c r="A436" t="s">
        <v>10</v>
      </c>
      <c r="B436">
        <v>45744</v>
      </c>
      <c r="C436" t="s">
        <v>20</v>
      </c>
      <c r="D436" t="s">
        <v>20</v>
      </c>
      <c r="E436" t="s">
        <v>28</v>
      </c>
      <c r="F436">
        <v>76</v>
      </c>
      <c r="G436">
        <v>3</v>
      </c>
      <c r="H436">
        <v>17</v>
      </c>
      <c r="I436" t="s">
        <v>34</v>
      </c>
    </row>
    <row r="437" spans="1:10" x14ac:dyDescent="0.3">
      <c r="A437" t="s">
        <v>11</v>
      </c>
      <c r="B437">
        <v>45740</v>
      </c>
      <c r="C437" t="s">
        <v>20</v>
      </c>
      <c r="D437" t="s">
        <v>20</v>
      </c>
      <c r="E437" t="s">
        <v>28</v>
      </c>
      <c r="F437">
        <v>245</v>
      </c>
      <c r="G437">
        <v>2</v>
      </c>
      <c r="H437">
        <v>10</v>
      </c>
      <c r="I437" t="s">
        <v>33</v>
      </c>
      <c r="J437">
        <v>2</v>
      </c>
    </row>
    <row r="438" spans="1:10" x14ac:dyDescent="0.3">
      <c r="A438" t="s">
        <v>11</v>
      </c>
      <c r="B438">
        <v>45742</v>
      </c>
      <c r="C438" t="s">
        <v>18</v>
      </c>
      <c r="D438" t="s">
        <v>27</v>
      </c>
      <c r="E438" t="s">
        <v>30</v>
      </c>
      <c r="F438">
        <v>160</v>
      </c>
      <c r="G438">
        <v>5</v>
      </c>
      <c r="H438">
        <v>7</v>
      </c>
      <c r="I438" t="s">
        <v>35</v>
      </c>
      <c r="J438">
        <v>1</v>
      </c>
    </row>
    <row r="439" spans="1:10" x14ac:dyDescent="0.3">
      <c r="A439" t="s">
        <v>10</v>
      </c>
      <c r="B439">
        <v>45763</v>
      </c>
      <c r="C439" t="s">
        <v>13</v>
      </c>
      <c r="D439" t="s">
        <v>24</v>
      </c>
      <c r="E439" t="s">
        <v>29</v>
      </c>
      <c r="F439">
        <v>55</v>
      </c>
      <c r="G439">
        <v>1</v>
      </c>
      <c r="H439">
        <v>14</v>
      </c>
      <c r="I439" t="s">
        <v>35</v>
      </c>
      <c r="J439">
        <v>1</v>
      </c>
    </row>
    <row r="440" spans="1:10" x14ac:dyDescent="0.3">
      <c r="A440" t="s">
        <v>10</v>
      </c>
      <c r="B440">
        <v>45767</v>
      </c>
      <c r="C440" t="s">
        <v>12</v>
      </c>
      <c r="D440" t="s">
        <v>23</v>
      </c>
      <c r="E440" t="s">
        <v>30</v>
      </c>
      <c r="F440">
        <v>101</v>
      </c>
      <c r="G440">
        <v>3</v>
      </c>
      <c r="H440">
        <v>22</v>
      </c>
      <c r="I440" t="s">
        <v>34</v>
      </c>
      <c r="J440">
        <v>5</v>
      </c>
    </row>
    <row r="441" spans="1:10" x14ac:dyDescent="0.3">
      <c r="A441" t="s">
        <v>11</v>
      </c>
      <c r="B441">
        <v>45761</v>
      </c>
      <c r="C441" t="s">
        <v>14</v>
      </c>
      <c r="D441" t="s">
        <v>25</v>
      </c>
      <c r="E441" t="s">
        <v>30</v>
      </c>
      <c r="F441">
        <v>98</v>
      </c>
      <c r="G441">
        <v>3</v>
      </c>
      <c r="H441">
        <v>15</v>
      </c>
      <c r="I441" t="s">
        <v>35</v>
      </c>
      <c r="J441">
        <v>4</v>
      </c>
    </row>
    <row r="442" spans="1:10" x14ac:dyDescent="0.3">
      <c r="A442" t="s">
        <v>10</v>
      </c>
      <c r="B442">
        <v>45763</v>
      </c>
      <c r="C442" t="s">
        <v>16</v>
      </c>
      <c r="D442" t="s">
        <v>26</v>
      </c>
      <c r="E442" t="s">
        <v>31</v>
      </c>
      <c r="F442">
        <v>157</v>
      </c>
      <c r="G442">
        <v>3</v>
      </c>
      <c r="H442">
        <v>11</v>
      </c>
      <c r="I442" t="s">
        <v>34</v>
      </c>
    </row>
    <row r="443" spans="1:10" x14ac:dyDescent="0.3">
      <c r="A443" t="s">
        <v>10</v>
      </c>
      <c r="B443">
        <v>45739</v>
      </c>
      <c r="C443" t="s">
        <v>22</v>
      </c>
      <c r="D443" t="s">
        <v>25</v>
      </c>
      <c r="E443" t="s">
        <v>29</v>
      </c>
      <c r="F443">
        <v>60</v>
      </c>
      <c r="G443">
        <v>3</v>
      </c>
      <c r="H443">
        <v>23</v>
      </c>
      <c r="I443" t="s">
        <v>33</v>
      </c>
      <c r="J443">
        <v>5</v>
      </c>
    </row>
    <row r="444" spans="1:10" x14ac:dyDescent="0.3">
      <c r="A444" t="s">
        <v>10</v>
      </c>
      <c r="B444">
        <v>45753</v>
      </c>
      <c r="C444" t="s">
        <v>15</v>
      </c>
      <c r="D444" t="s">
        <v>25</v>
      </c>
      <c r="E444" t="s">
        <v>29</v>
      </c>
      <c r="F444">
        <v>233</v>
      </c>
      <c r="G444">
        <v>2</v>
      </c>
      <c r="H444">
        <v>10</v>
      </c>
      <c r="I444" t="s">
        <v>34</v>
      </c>
      <c r="J444">
        <v>5</v>
      </c>
    </row>
    <row r="445" spans="1:10" x14ac:dyDescent="0.3">
      <c r="A445" t="s">
        <v>11</v>
      </c>
      <c r="B445">
        <v>45753</v>
      </c>
      <c r="C445" t="s">
        <v>20</v>
      </c>
      <c r="D445" t="s">
        <v>20</v>
      </c>
      <c r="E445" t="s">
        <v>31</v>
      </c>
      <c r="F445">
        <v>154</v>
      </c>
      <c r="G445">
        <v>4</v>
      </c>
      <c r="H445">
        <v>14</v>
      </c>
      <c r="I445" t="s">
        <v>34</v>
      </c>
      <c r="J445">
        <v>4</v>
      </c>
    </row>
    <row r="446" spans="1:10" x14ac:dyDescent="0.3">
      <c r="A446" t="s">
        <v>10</v>
      </c>
      <c r="B446">
        <v>45762</v>
      </c>
      <c r="C446" t="s">
        <v>20</v>
      </c>
      <c r="D446" t="s">
        <v>20</v>
      </c>
      <c r="E446" t="s">
        <v>32</v>
      </c>
      <c r="F446">
        <v>152</v>
      </c>
      <c r="G446">
        <v>3</v>
      </c>
      <c r="H446">
        <v>23</v>
      </c>
      <c r="I446" t="s">
        <v>35</v>
      </c>
    </row>
    <row r="447" spans="1:10" x14ac:dyDescent="0.3">
      <c r="A447" t="s">
        <v>10</v>
      </c>
      <c r="B447">
        <v>45751</v>
      </c>
      <c r="C447" t="s">
        <v>13</v>
      </c>
      <c r="D447" t="s">
        <v>24</v>
      </c>
      <c r="E447" t="s">
        <v>32</v>
      </c>
      <c r="F447">
        <v>77</v>
      </c>
      <c r="G447">
        <v>4</v>
      </c>
      <c r="H447">
        <v>13</v>
      </c>
      <c r="I447" t="s">
        <v>35</v>
      </c>
    </row>
    <row r="448" spans="1:10" x14ac:dyDescent="0.3">
      <c r="A448" t="s">
        <v>10</v>
      </c>
      <c r="B448">
        <v>45744</v>
      </c>
      <c r="C448" t="s">
        <v>12</v>
      </c>
      <c r="D448" t="s">
        <v>23</v>
      </c>
      <c r="E448" t="s">
        <v>29</v>
      </c>
      <c r="F448">
        <v>58</v>
      </c>
      <c r="G448">
        <v>5</v>
      </c>
      <c r="H448">
        <v>24</v>
      </c>
      <c r="I448" t="s">
        <v>33</v>
      </c>
      <c r="J448">
        <v>5</v>
      </c>
    </row>
    <row r="449" spans="1:10" x14ac:dyDescent="0.3">
      <c r="A449" t="s">
        <v>11</v>
      </c>
      <c r="B449">
        <v>45747</v>
      </c>
      <c r="C449" t="s">
        <v>12</v>
      </c>
      <c r="D449" t="s">
        <v>23</v>
      </c>
      <c r="E449" t="s">
        <v>31</v>
      </c>
      <c r="F449">
        <v>70</v>
      </c>
      <c r="G449">
        <v>4</v>
      </c>
      <c r="H449">
        <v>20</v>
      </c>
      <c r="I449" t="s">
        <v>34</v>
      </c>
      <c r="J449">
        <v>5</v>
      </c>
    </row>
    <row r="450" spans="1:10" x14ac:dyDescent="0.3">
      <c r="A450" t="s">
        <v>10</v>
      </c>
      <c r="B450">
        <v>45755</v>
      </c>
      <c r="C450" t="s">
        <v>20</v>
      </c>
      <c r="D450" t="s">
        <v>20</v>
      </c>
      <c r="E450" t="s">
        <v>30</v>
      </c>
      <c r="F450">
        <v>157</v>
      </c>
      <c r="G450">
        <v>3</v>
      </c>
      <c r="H450">
        <v>25</v>
      </c>
      <c r="I450" t="s">
        <v>33</v>
      </c>
      <c r="J450">
        <v>5</v>
      </c>
    </row>
    <row r="451" spans="1:10" x14ac:dyDescent="0.3">
      <c r="A451" t="s">
        <v>11</v>
      </c>
      <c r="B451">
        <v>45755</v>
      </c>
      <c r="C451" t="s">
        <v>15</v>
      </c>
      <c r="D451" t="s">
        <v>25</v>
      </c>
      <c r="E451" t="s">
        <v>31</v>
      </c>
      <c r="F451">
        <v>42</v>
      </c>
      <c r="G451">
        <v>2</v>
      </c>
      <c r="H451">
        <v>18</v>
      </c>
      <c r="I451" t="s">
        <v>35</v>
      </c>
    </row>
    <row r="452" spans="1:10" x14ac:dyDescent="0.3">
      <c r="A452" t="s">
        <v>11</v>
      </c>
      <c r="B452">
        <v>45760</v>
      </c>
      <c r="C452" t="s">
        <v>18</v>
      </c>
      <c r="D452" t="s">
        <v>27</v>
      </c>
      <c r="E452" t="s">
        <v>29</v>
      </c>
      <c r="F452">
        <v>58</v>
      </c>
      <c r="G452">
        <v>2</v>
      </c>
      <c r="H452">
        <v>10</v>
      </c>
      <c r="I452" t="s">
        <v>34</v>
      </c>
    </row>
    <row r="453" spans="1:10" x14ac:dyDescent="0.3">
      <c r="A453" t="s">
        <v>11</v>
      </c>
      <c r="B453">
        <v>45760</v>
      </c>
      <c r="C453" t="s">
        <v>16</v>
      </c>
      <c r="D453" t="s">
        <v>26</v>
      </c>
      <c r="E453" t="s">
        <v>32</v>
      </c>
      <c r="F453">
        <v>66</v>
      </c>
      <c r="G453">
        <v>4</v>
      </c>
      <c r="H453">
        <v>18</v>
      </c>
      <c r="I453" t="s">
        <v>35</v>
      </c>
      <c r="J453">
        <v>2</v>
      </c>
    </row>
    <row r="454" spans="1:10" x14ac:dyDescent="0.3">
      <c r="A454" t="s">
        <v>10</v>
      </c>
      <c r="B454">
        <v>45748</v>
      </c>
      <c r="C454" t="s">
        <v>16</v>
      </c>
      <c r="D454" t="s">
        <v>26</v>
      </c>
      <c r="E454" t="s">
        <v>31</v>
      </c>
      <c r="F454">
        <v>47</v>
      </c>
      <c r="G454">
        <v>3</v>
      </c>
      <c r="H454">
        <v>18</v>
      </c>
      <c r="I454" t="s">
        <v>34</v>
      </c>
      <c r="J454">
        <v>4</v>
      </c>
    </row>
    <row r="455" spans="1:10" x14ac:dyDescent="0.3">
      <c r="A455" t="s">
        <v>10</v>
      </c>
      <c r="B455">
        <v>45739</v>
      </c>
      <c r="C455" t="s">
        <v>16</v>
      </c>
      <c r="D455" t="s">
        <v>26</v>
      </c>
      <c r="E455" t="s">
        <v>32</v>
      </c>
      <c r="F455">
        <v>137</v>
      </c>
      <c r="G455">
        <v>5</v>
      </c>
      <c r="H455">
        <v>15</v>
      </c>
      <c r="I455" t="s">
        <v>35</v>
      </c>
    </row>
    <row r="456" spans="1:10" x14ac:dyDescent="0.3">
      <c r="A456" t="s">
        <v>11</v>
      </c>
      <c r="B456">
        <v>45743</v>
      </c>
      <c r="C456" t="s">
        <v>21</v>
      </c>
      <c r="D456" t="s">
        <v>26</v>
      </c>
      <c r="E456" t="s">
        <v>32</v>
      </c>
      <c r="F456">
        <v>110</v>
      </c>
      <c r="G456">
        <v>5</v>
      </c>
      <c r="H456">
        <v>12</v>
      </c>
      <c r="I456" t="s">
        <v>33</v>
      </c>
      <c r="J456">
        <v>5</v>
      </c>
    </row>
    <row r="457" spans="1:10" x14ac:dyDescent="0.3">
      <c r="A457" t="s">
        <v>10</v>
      </c>
      <c r="B457">
        <v>45750</v>
      </c>
      <c r="C457" t="s">
        <v>20</v>
      </c>
      <c r="D457" t="s">
        <v>20</v>
      </c>
      <c r="E457" t="s">
        <v>30</v>
      </c>
      <c r="F457">
        <v>123</v>
      </c>
      <c r="G457">
        <v>4</v>
      </c>
      <c r="H457">
        <v>22</v>
      </c>
      <c r="I457" t="s">
        <v>35</v>
      </c>
      <c r="J457">
        <v>4</v>
      </c>
    </row>
    <row r="458" spans="1:10" x14ac:dyDescent="0.3">
      <c r="A458" t="s">
        <v>10</v>
      </c>
      <c r="B458">
        <v>45760</v>
      </c>
      <c r="C458" t="s">
        <v>21</v>
      </c>
      <c r="D458" t="s">
        <v>26</v>
      </c>
      <c r="E458" t="s">
        <v>29</v>
      </c>
      <c r="F458">
        <v>205</v>
      </c>
      <c r="G458">
        <v>4</v>
      </c>
      <c r="H458">
        <v>15</v>
      </c>
      <c r="I458" t="s">
        <v>33</v>
      </c>
      <c r="J458">
        <v>2</v>
      </c>
    </row>
    <row r="459" spans="1:10" x14ac:dyDescent="0.3">
      <c r="A459" t="s">
        <v>10</v>
      </c>
      <c r="B459">
        <v>45739</v>
      </c>
      <c r="C459" t="s">
        <v>12</v>
      </c>
      <c r="D459" t="s">
        <v>23</v>
      </c>
      <c r="E459" t="s">
        <v>28</v>
      </c>
      <c r="F459">
        <v>125</v>
      </c>
      <c r="G459">
        <v>1</v>
      </c>
      <c r="H459">
        <v>19</v>
      </c>
      <c r="I459" t="s">
        <v>33</v>
      </c>
      <c r="J459">
        <v>3</v>
      </c>
    </row>
    <row r="460" spans="1:10" x14ac:dyDescent="0.3">
      <c r="A460" t="s">
        <v>10</v>
      </c>
      <c r="B460">
        <v>45748</v>
      </c>
      <c r="C460" t="s">
        <v>22</v>
      </c>
      <c r="D460" t="s">
        <v>25</v>
      </c>
      <c r="E460" t="s">
        <v>28</v>
      </c>
      <c r="F460">
        <v>235</v>
      </c>
      <c r="G460">
        <v>3</v>
      </c>
      <c r="H460">
        <v>23</v>
      </c>
      <c r="I460" t="s">
        <v>34</v>
      </c>
      <c r="J460">
        <v>3</v>
      </c>
    </row>
    <row r="461" spans="1:10" x14ac:dyDescent="0.3">
      <c r="A461" t="s">
        <v>10</v>
      </c>
      <c r="B461">
        <v>45768</v>
      </c>
      <c r="C461" t="s">
        <v>19</v>
      </c>
      <c r="D461" t="s">
        <v>23</v>
      </c>
      <c r="E461" t="s">
        <v>29</v>
      </c>
      <c r="F461">
        <v>84</v>
      </c>
      <c r="G461">
        <v>2</v>
      </c>
      <c r="H461">
        <v>16</v>
      </c>
      <c r="I461" t="s">
        <v>34</v>
      </c>
      <c r="J461">
        <v>5</v>
      </c>
    </row>
    <row r="462" spans="1:10" x14ac:dyDescent="0.3">
      <c r="A462" t="s">
        <v>10</v>
      </c>
      <c r="B462">
        <v>45762</v>
      </c>
      <c r="C462" t="s">
        <v>21</v>
      </c>
      <c r="D462" t="s">
        <v>26</v>
      </c>
      <c r="E462" t="s">
        <v>29</v>
      </c>
      <c r="F462">
        <v>248</v>
      </c>
      <c r="G462">
        <v>5</v>
      </c>
      <c r="H462">
        <v>11</v>
      </c>
      <c r="I462" t="s">
        <v>33</v>
      </c>
      <c r="J462">
        <v>2</v>
      </c>
    </row>
    <row r="463" spans="1:10" x14ac:dyDescent="0.3">
      <c r="A463" t="s">
        <v>11</v>
      </c>
      <c r="B463">
        <v>45759</v>
      </c>
      <c r="C463" t="s">
        <v>16</v>
      </c>
      <c r="D463" t="s">
        <v>26</v>
      </c>
      <c r="E463" t="s">
        <v>32</v>
      </c>
      <c r="F463">
        <v>156</v>
      </c>
      <c r="G463">
        <v>1</v>
      </c>
      <c r="H463">
        <v>7</v>
      </c>
      <c r="I463" t="s">
        <v>33</v>
      </c>
    </row>
    <row r="464" spans="1:10" x14ac:dyDescent="0.3">
      <c r="A464" t="s">
        <v>10</v>
      </c>
      <c r="B464">
        <v>45747</v>
      </c>
      <c r="C464" t="s">
        <v>18</v>
      </c>
      <c r="D464" t="s">
        <v>27</v>
      </c>
      <c r="E464" t="s">
        <v>28</v>
      </c>
      <c r="F464">
        <v>141</v>
      </c>
      <c r="G464">
        <v>4</v>
      </c>
      <c r="H464">
        <v>15</v>
      </c>
      <c r="I464" t="s">
        <v>35</v>
      </c>
      <c r="J464">
        <v>2</v>
      </c>
    </row>
    <row r="465" spans="1:10" x14ac:dyDescent="0.3">
      <c r="A465" t="s">
        <v>11</v>
      </c>
      <c r="B465">
        <v>45742</v>
      </c>
      <c r="C465" t="s">
        <v>12</v>
      </c>
      <c r="D465" t="s">
        <v>23</v>
      </c>
      <c r="E465" t="s">
        <v>30</v>
      </c>
      <c r="F465">
        <v>39</v>
      </c>
      <c r="G465">
        <v>5</v>
      </c>
      <c r="H465">
        <v>20</v>
      </c>
      <c r="I465" t="s">
        <v>34</v>
      </c>
      <c r="J465">
        <v>5</v>
      </c>
    </row>
    <row r="466" spans="1:10" x14ac:dyDescent="0.3">
      <c r="A466" t="s">
        <v>10</v>
      </c>
      <c r="B466">
        <v>45760</v>
      </c>
      <c r="C466" t="s">
        <v>17</v>
      </c>
      <c r="D466" t="s">
        <v>24</v>
      </c>
      <c r="E466" t="s">
        <v>29</v>
      </c>
      <c r="F466">
        <v>69</v>
      </c>
      <c r="G466">
        <v>5</v>
      </c>
      <c r="H466">
        <v>11</v>
      </c>
      <c r="I466" t="s">
        <v>34</v>
      </c>
    </row>
    <row r="467" spans="1:10" x14ac:dyDescent="0.3">
      <c r="A467" t="s">
        <v>10</v>
      </c>
      <c r="B467">
        <v>45752</v>
      </c>
      <c r="C467" t="s">
        <v>18</v>
      </c>
      <c r="D467" t="s">
        <v>27</v>
      </c>
      <c r="E467" t="s">
        <v>31</v>
      </c>
      <c r="F467">
        <v>38</v>
      </c>
      <c r="G467">
        <v>5</v>
      </c>
      <c r="H467">
        <v>21</v>
      </c>
      <c r="I467" t="s">
        <v>35</v>
      </c>
      <c r="J467">
        <v>4</v>
      </c>
    </row>
    <row r="468" spans="1:10" x14ac:dyDescent="0.3">
      <c r="A468" t="s">
        <v>10</v>
      </c>
      <c r="B468">
        <v>45741</v>
      </c>
      <c r="C468" t="s">
        <v>13</v>
      </c>
      <c r="D468" t="s">
        <v>24</v>
      </c>
      <c r="E468" t="s">
        <v>31</v>
      </c>
      <c r="F468">
        <v>66</v>
      </c>
      <c r="G468">
        <v>3</v>
      </c>
      <c r="H468">
        <v>20</v>
      </c>
      <c r="I468" t="s">
        <v>34</v>
      </c>
    </row>
    <row r="469" spans="1:10" x14ac:dyDescent="0.3">
      <c r="A469" t="s">
        <v>11</v>
      </c>
      <c r="B469">
        <v>45754</v>
      </c>
      <c r="C469" t="s">
        <v>15</v>
      </c>
      <c r="D469" t="s">
        <v>25</v>
      </c>
      <c r="E469" t="s">
        <v>30</v>
      </c>
      <c r="F469">
        <v>67</v>
      </c>
      <c r="G469">
        <v>4</v>
      </c>
      <c r="H469">
        <v>19</v>
      </c>
      <c r="I469" t="s">
        <v>33</v>
      </c>
      <c r="J469">
        <v>2</v>
      </c>
    </row>
    <row r="470" spans="1:10" x14ac:dyDescent="0.3">
      <c r="A470" t="s">
        <v>10</v>
      </c>
      <c r="B470">
        <v>45757</v>
      </c>
      <c r="C470" t="s">
        <v>20</v>
      </c>
      <c r="D470" t="s">
        <v>20</v>
      </c>
      <c r="E470" t="s">
        <v>29</v>
      </c>
      <c r="F470">
        <v>52</v>
      </c>
      <c r="G470">
        <v>1</v>
      </c>
      <c r="H470">
        <v>19</v>
      </c>
      <c r="I470" t="s">
        <v>33</v>
      </c>
      <c r="J470">
        <v>2</v>
      </c>
    </row>
    <row r="471" spans="1:10" x14ac:dyDescent="0.3">
      <c r="A471" t="s">
        <v>10</v>
      </c>
      <c r="B471">
        <v>45753</v>
      </c>
      <c r="C471" t="s">
        <v>20</v>
      </c>
      <c r="D471" t="s">
        <v>20</v>
      </c>
      <c r="E471" t="s">
        <v>28</v>
      </c>
      <c r="F471">
        <v>137</v>
      </c>
      <c r="G471">
        <v>4</v>
      </c>
      <c r="H471">
        <v>22</v>
      </c>
      <c r="I471" t="s">
        <v>33</v>
      </c>
      <c r="J471">
        <v>4</v>
      </c>
    </row>
    <row r="472" spans="1:10" x14ac:dyDescent="0.3">
      <c r="A472" t="s">
        <v>11</v>
      </c>
      <c r="B472">
        <v>45755</v>
      </c>
      <c r="C472" t="s">
        <v>13</v>
      </c>
      <c r="D472" t="s">
        <v>24</v>
      </c>
      <c r="E472" t="s">
        <v>31</v>
      </c>
      <c r="F472">
        <v>43</v>
      </c>
      <c r="G472">
        <v>1</v>
      </c>
      <c r="H472">
        <v>11</v>
      </c>
      <c r="I472" t="s">
        <v>33</v>
      </c>
      <c r="J472">
        <v>3</v>
      </c>
    </row>
    <row r="473" spans="1:10" x14ac:dyDescent="0.3">
      <c r="A473" t="s">
        <v>10</v>
      </c>
      <c r="B473">
        <v>45762</v>
      </c>
      <c r="C473" t="s">
        <v>18</v>
      </c>
      <c r="D473" t="s">
        <v>27</v>
      </c>
      <c r="E473" t="s">
        <v>28</v>
      </c>
      <c r="F473">
        <v>79</v>
      </c>
      <c r="G473">
        <v>3</v>
      </c>
      <c r="H473">
        <v>10</v>
      </c>
      <c r="I473" t="s">
        <v>34</v>
      </c>
      <c r="J473">
        <v>1</v>
      </c>
    </row>
    <row r="474" spans="1:10" x14ac:dyDescent="0.3">
      <c r="A474" t="s">
        <v>10</v>
      </c>
      <c r="B474">
        <v>45759</v>
      </c>
      <c r="C474" t="s">
        <v>22</v>
      </c>
      <c r="D474" t="s">
        <v>25</v>
      </c>
      <c r="E474" t="s">
        <v>31</v>
      </c>
      <c r="F474">
        <v>166</v>
      </c>
      <c r="G474">
        <v>3</v>
      </c>
      <c r="H474">
        <v>14</v>
      </c>
      <c r="I474" t="s">
        <v>33</v>
      </c>
      <c r="J474">
        <v>4</v>
      </c>
    </row>
    <row r="475" spans="1:10" x14ac:dyDescent="0.3">
      <c r="A475" t="s">
        <v>11</v>
      </c>
      <c r="B475">
        <v>45761</v>
      </c>
      <c r="C475" t="s">
        <v>12</v>
      </c>
      <c r="D475" t="s">
        <v>23</v>
      </c>
      <c r="E475" t="s">
        <v>32</v>
      </c>
      <c r="F475">
        <v>234</v>
      </c>
      <c r="G475">
        <v>3</v>
      </c>
      <c r="H475">
        <v>8</v>
      </c>
      <c r="I475" t="s">
        <v>33</v>
      </c>
      <c r="J475">
        <v>5</v>
      </c>
    </row>
    <row r="476" spans="1:10" x14ac:dyDescent="0.3">
      <c r="A476" t="s">
        <v>11</v>
      </c>
      <c r="B476">
        <v>45749</v>
      </c>
      <c r="C476" t="s">
        <v>19</v>
      </c>
      <c r="D476" t="s">
        <v>23</v>
      </c>
      <c r="E476" t="s">
        <v>31</v>
      </c>
      <c r="F476">
        <v>108</v>
      </c>
      <c r="G476">
        <v>5</v>
      </c>
      <c r="H476">
        <v>9</v>
      </c>
      <c r="I476" t="s">
        <v>34</v>
      </c>
    </row>
    <row r="477" spans="1:10" x14ac:dyDescent="0.3">
      <c r="A477" t="s">
        <v>11</v>
      </c>
      <c r="B477">
        <v>45764</v>
      </c>
      <c r="C477" t="s">
        <v>16</v>
      </c>
      <c r="D477" t="s">
        <v>26</v>
      </c>
      <c r="E477" t="s">
        <v>29</v>
      </c>
      <c r="F477">
        <v>227</v>
      </c>
      <c r="G477">
        <v>2</v>
      </c>
      <c r="H477">
        <v>18</v>
      </c>
      <c r="I477" t="s">
        <v>33</v>
      </c>
      <c r="J477">
        <v>3</v>
      </c>
    </row>
    <row r="478" spans="1:10" x14ac:dyDescent="0.3">
      <c r="A478" t="s">
        <v>10</v>
      </c>
      <c r="B478">
        <v>45751</v>
      </c>
      <c r="C478" t="s">
        <v>20</v>
      </c>
      <c r="D478" t="s">
        <v>20</v>
      </c>
      <c r="E478" t="s">
        <v>28</v>
      </c>
      <c r="F478">
        <v>119</v>
      </c>
      <c r="G478">
        <v>4</v>
      </c>
      <c r="H478">
        <v>20</v>
      </c>
      <c r="I478" t="s">
        <v>35</v>
      </c>
      <c r="J478">
        <v>3</v>
      </c>
    </row>
    <row r="479" spans="1:10" x14ac:dyDescent="0.3">
      <c r="A479" t="s">
        <v>10</v>
      </c>
      <c r="B479">
        <v>45748</v>
      </c>
      <c r="C479" t="s">
        <v>20</v>
      </c>
      <c r="D479" t="s">
        <v>20</v>
      </c>
      <c r="E479" t="s">
        <v>32</v>
      </c>
      <c r="F479">
        <v>58</v>
      </c>
      <c r="G479">
        <v>4</v>
      </c>
      <c r="H479">
        <v>13</v>
      </c>
      <c r="I479" t="s">
        <v>35</v>
      </c>
      <c r="J479">
        <v>1</v>
      </c>
    </row>
    <row r="480" spans="1:10" x14ac:dyDescent="0.3">
      <c r="A480" t="s">
        <v>11</v>
      </c>
      <c r="B480">
        <v>45740</v>
      </c>
      <c r="C480" t="s">
        <v>15</v>
      </c>
      <c r="D480" t="s">
        <v>25</v>
      </c>
      <c r="E480" t="s">
        <v>29</v>
      </c>
      <c r="F480">
        <v>43</v>
      </c>
      <c r="G480">
        <v>4</v>
      </c>
      <c r="H480">
        <v>13</v>
      </c>
      <c r="I480" t="s">
        <v>34</v>
      </c>
      <c r="J480">
        <v>1</v>
      </c>
    </row>
    <row r="481" spans="1:10" x14ac:dyDescent="0.3">
      <c r="A481" t="s">
        <v>11</v>
      </c>
      <c r="B481">
        <v>45751</v>
      </c>
      <c r="C481" t="s">
        <v>16</v>
      </c>
      <c r="D481" t="s">
        <v>26</v>
      </c>
      <c r="E481" t="s">
        <v>29</v>
      </c>
      <c r="F481">
        <v>144</v>
      </c>
      <c r="G481">
        <v>2</v>
      </c>
      <c r="H481">
        <v>12</v>
      </c>
      <c r="I481" t="s">
        <v>34</v>
      </c>
      <c r="J481">
        <v>1</v>
      </c>
    </row>
    <row r="482" spans="1:10" x14ac:dyDescent="0.3">
      <c r="A482" t="s">
        <v>11</v>
      </c>
      <c r="B482">
        <v>45757</v>
      </c>
      <c r="C482" t="s">
        <v>13</v>
      </c>
      <c r="D482" t="s">
        <v>24</v>
      </c>
      <c r="E482" t="s">
        <v>30</v>
      </c>
      <c r="F482">
        <v>193</v>
      </c>
      <c r="G482">
        <v>3</v>
      </c>
      <c r="H482">
        <v>19</v>
      </c>
      <c r="I482" t="s">
        <v>33</v>
      </c>
      <c r="J482">
        <v>5</v>
      </c>
    </row>
    <row r="483" spans="1:10" x14ac:dyDescent="0.3">
      <c r="A483" t="s">
        <v>10</v>
      </c>
      <c r="B483">
        <v>45750</v>
      </c>
      <c r="C483" t="s">
        <v>15</v>
      </c>
      <c r="D483" t="s">
        <v>25</v>
      </c>
      <c r="E483" t="s">
        <v>30</v>
      </c>
      <c r="F483">
        <v>71</v>
      </c>
      <c r="G483">
        <v>4</v>
      </c>
      <c r="H483">
        <v>11</v>
      </c>
      <c r="I483" t="s">
        <v>35</v>
      </c>
      <c r="J483">
        <v>5</v>
      </c>
    </row>
    <row r="484" spans="1:10" x14ac:dyDescent="0.3">
      <c r="A484" t="s">
        <v>11</v>
      </c>
      <c r="B484">
        <v>45746</v>
      </c>
      <c r="C484" t="s">
        <v>19</v>
      </c>
      <c r="D484" t="s">
        <v>23</v>
      </c>
      <c r="E484" t="s">
        <v>30</v>
      </c>
      <c r="F484">
        <v>192</v>
      </c>
      <c r="G484">
        <v>4</v>
      </c>
      <c r="H484">
        <v>7</v>
      </c>
      <c r="I484" t="s">
        <v>35</v>
      </c>
      <c r="J484">
        <v>1</v>
      </c>
    </row>
    <row r="485" spans="1:10" x14ac:dyDescent="0.3">
      <c r="A485" t="s">
        <v>11</v>
      </c>
      <c r="B485">
        <v>45745</v>
      </c>
      <c r="C485" t="s">
        <v>18</v>
      </c>
      <c r="D485" t="s">
        <v>27</v>
      </c>
      <c r="E485" t="s">
        <v>29</v>
      </c>
      <c r="F485">
        <v>56</v>
      </c>
      <c r="G485">
        <v>3</v>
      </c>
      <c r="H485">
        <v>7</v>
      </c>
      <c r="I485" t="s">
        <v>33</v>
      </c>
      <c r="J485">
        <v>3</v>
      </c>
    </row>
    <row r="486" spans="1:10" x14ac:dyDescent="0.3">
      <c r="A486" t="s">
        <v>11</v>
      </c>
      <c r="B486">
        <v>45753</v>
      </c>
      <c r="C486" t="s">
        <v>14</v>
      </c>
      <c r="D486" t="s">
        <v>25</v>
      </c>
      <c r="E486" t="s">
        <v>28</v>
      </c>
      <c r="F486">
        <v>243</v>
      </c>
      <c r="G486">
        <v>5</v>
      </c>
      <c r="H486">
        <v>17</v>
      </c>
      <c r="I486" t="s">
        <v>35</v>
      </c>
      <c r="J486">
        <v>4</v>
      </c>
    </row>
    <row r="487" spans="1:10" x14ac:dyDescent="0.3">
      <c r="A487" t="s">
        <v>11</v>
      </c>
      <c r="B487">
        <v>45763</v>
      </c>
      <c r="C487" t="s">
        <v>14</v>
      </c>
      <c r="D487" t="s">
        <v>25</v>
      </c>
      <c r="E487" t="s">
        <v>29</v>
      </c>
      <c r="F487">
        <v>232</v>
      </c>
      <c r="G487">
        <v>3</v>
      </c>
      <c r="H487">
        <v>7</v>
      </c>
      <c r="I487" t="s">
        <v>35</v>
      </c>
      <c r="J487">
        <v>2</v>
      </c>
    </row>
    <row r="488" spans="1:10" x14ac:dyDescent="0.3">
      <c r="A488" t="s">
        <v>10</v>
      </c>
      <c r="B488">
        <v>45758</v>
      </c>
      <c r="C488" t="s">
        <v>17</v>
      </c>
      <c r="D488" t="s">
        <v>24</v>
      </c>
      <c r="E488" t="s">
        <v>29</v>
      </c>
      <c r="F488">
        <v>61</v>
      </c>
      <c r="G488">
        <v>3</v>
      </c>
      <c r="H488">
        <v>18</v>
      </c>
      <c r="I488" t="s">
        <v>35</v>
      </c>
      <c r="J488">
        <v>1</v>
      </c>
    </row>
    <row r="489" spans="1:10" x14ac:dyDescent="0.3">
      <c r="A489" t="s">
        <v>10</v>
      </c>
      <c r="B489">
        <v>45745</v>
      </c>
      <c r="C489" t="s">
        <v>17</v>
      </c>
      <c r="D489" t="s">
        <v>24</v>
      </c>
      <c r="E489" t="s">
        <v>31</v>
      </c>
      <c r="F489">
        <v>205</v>
      </c>
      <c r="G489">
        <v>4</v>
      </c>
      <c r="H489">
        <v>22</v>
      </c>
      <c r="I489" t="s">
        <v>33</v>
      </c>
      <c r="J489">
        <v>1</v>
      </c>
    </row>
    <row r="490" spans="1:10" x14ac:dyDescent="0.3">
      <c r="A490" t="s">
        <v>10</v>
      </c>
      <c r="B490">
        <v>45756</v>
      </c>
      <c r="C490" t="s">
        <v>15</v>
      </c>
      <c r="D490" t="s">
        <v>25</v>
      </c>
      <c r="E490" t="s">
        <v>29</v>
      </c>
      <c r="F490">
        <v>159</v>
      </c>
      <c r="G490">
        <v>1</v>
      </c>
      <c r="H490">
        <v>13</v>
      </c>
      <c r="I490" t="s">
        <v>33</v>
      </c>
      <c r="J490">
        <v>5</v>
      </c>
    </row>
    <row r="491" spans="1:10" x14ac:dyDescent="0.3">
      <c r="A491" t="s">
        <v>10</v>
      </c>
      <c r="B491">
        <v>45750</v>
      </c>
      <c r="C491" t="s">
        <v>22</v>
      </c>
      <c r="D491" t="s">
        <v>25</v>
      </c>
      <c r="E491" t="s">
        <v>29</v>
      </c>
      <c r="F491">
        <v>46</v>
      </c>
      <c r="G491">
        <v>5</v>
      </c>
      <c r="H491">
        <v>22</v>
      </c>
      <c r="I491" t="s">
        <v>34</v>
      </c>
      <c r="J491">
        <v>4</v>
      </c>
    </row>
    <row r="492" spans="1:10" x14ac:dyDescent="0.3">
      <c r="A492" t="s">
        <v>11</v>
      </c>
      <c r="B492">
        <v>45752</v>
      </c>
      <c r="C492" t="s">
        <v>14</v>
      </c>
      <c r="D492" t="s">
        <v>25</v>
      </c>
      <c r="E492" t="s">
        <v>28</v>
      </c>
      <c r="F492">
        <v>249</v>
      </c>
      <c r="G492">
        <v>5</v>
      </c>
      <c r="H492">
        <v>9</v>
      </c>
      <c r="I492" t="s">
        <v>33</v>
      </c>
      <c r="J492">
        <v>4</v>
      </c>
    </row>
    <row r="493" spans="1:10" x14ac:dyDescent="0.3">
      <c r="A493" t="s">
        <v>11</v>
      </c>
      <c r="B493">
        <v>45760</v>
      </c>
      <c r="C493" t="s">
        <v>14</v>
      </c>
      <c r="D493" t="s">
        <v>25</v>
      </c>
      <c r="E493" t="s">
        <v>32</v>
      </c>
      <c r="F493">
        <v>153</v>
      </c>
      <c r="G493">
        <v>2</v>
      </c>
      <c r="H493">
        <v>11</v>
      </c>
      <c r="I493" t="s">
        <v>34</v>
      </c>
    </row>
    <row r="494" spans="1:10" x14ac:dyDescent="0.3">
      <c r="A494" t="s">
        <v>11</v>
      </c>
      <c r="B494">
        <v>45768</v>
      </c>
      <c r="C494" t="s">
        <v>14</v>
      </c>
      <c r="D494" t="s">
        <v>25</v>
      </c>
      <c r="E494" t="s">
        <v>30</v>
      </c>
      <c r="F494">
        <v>194</v>
      </c>
      <c r="G494">
        <v>2</v>
      </c>
      <c r="H494">
        <v>18</v>
      </c>
      <c r="I494" t="s">
        <v>34</v>
      </c>
    </row>
    <row r="495" spans="1:10" x14ac:dyDescent="0.3">
      <c r="A495" t="s">
        <v>10</v>
      </c>
      <c r="B495">
        <v>45766</v>
      </c>
      <c r="C495" t="s">
        <v>17</v>
      </c>
      <c r="D495" t="s">
        <v>24</v>
      </c>
      <c r="E495" t="s">
        <v>29</v>
      </c>
      <c r="F495">
        <v>120</v>
      </c>
      <c r="G495">
        <v>4</v>
      </c>
      <c r="H495">
        <v>16</v>
      </c>
      <c r="I495" t="s">
        <v>34</v>
      </c>
      <c r="J495">
        <v>5</v>
      </c>
    </row>
    <row r="496" spans="1:10" x14ac:dyDescent="0.3">
      <c r="A496" t="s">
        <v>11</v>
      </c>
      <c r="B496">
        <v>45748</v>
      </c>
      <c r="C496" t="s">
        <v>15</v>
      </c>
      <c r="D496" t="s">
        <v>25</v>
      </c>
      <c r="E496" t="s">
        <v>32</v>
      </c>
      <c r="F496">
        <v>149</v>
      </c>
      <c r="G496">
        <v>5</v>
      </c>
      <c r="H496">
        <v>18</v>
      </c>
      <c r="I496" t="s">
        <v>34</v>
      </c>
    </row>
    <row r="497" spans="1:10" x14ac:dyDescent="0.3">
      <c r="A497" t="s">
        <v>11</v>
      </c>
      <c r="B497">
        <v>45752</v>
      </c>
      <c r="C497" t="s">
        <v>17</v>
      </c>
      <c r="D497" t="s">
        <v>24</v>
      </c>
      <c r="E497" t="s">
        <v>30</v>
      </c>
      <c r="F497">
        <v>55</v>
      </c>
      <c r="G497">
        <v>5</v>
      </c>
      <c r="H497">
        <v>11</v>
      </c>
      <c r="I497" t="s">
        <v>34</v>
      </c>
      <c r="J497">
        <v>4</v>
      </c>
    </row>
    <row r="498" spans="1:10" x14ac:dyDescent="0.3">
      <c r="A498" t="s">
        <v>10</v>
      </c>
      <c r="B498">
        <v>45760</v>
      </c>
      <c r="C498" t="s">
        <v>20</v>
      </c>
      <c r="D498" t="s">
        <v>20</v>
      </c>
      <c r="E498" t="s">
        <v>31</v>
      </c>
      <c r="F498">
        <v>117</v>
      </c>
      <c r="G498">
        <v>3</v>
      </c>
      <c r="H498">
        <v>18</v>
      </c>
      <c r="I498" t="s">
        <v>33</v>
      </c>
      <c r="J498">
        <v>5</v>
      </c>
    </row>
    <row r="499" spans="1:10" x14ac:dyDescent="0.3">
      <c r="A499" t="s">
        <v>10</v>
      </c>
      <c r="B499">
        <v>45764</v>
      </c>
      <c r="C499" t="s">
        <v>18</v>
      </c>
      <c r="D499" t="s">
        <v>27</v>
      </c>
      <c r="E499" t="s">
        <v>28</v>
      </c>
      <c r="F499">
        <v>165</v>
      </c>
      <c r="G499">
        <v>3</v>
      </c>
      <c r="H499">
        <v>22</v>
      </c>
      <c r="I499" t="s">
        <v>33</v>
      </c>
      <c r="J499">
        <v>1</v>
      </c>
    </row>
    <row r="500" spans="1:10" x14ac:dyDescent="0.3">
      <c r="A500" t="s">
        <v>10</v>
      </c>
      <c r="B500">
        <v>45756</v>
      </c>
      <c r="C500" t="s">
        <v>14</v>
      </c>
      <c r="D500" t="s">
        <v>25</v>
      </c>
      <c r="E500" t="s">
        <v>28</v>
      </c>
      <c r="F500">
        <v>69</v>
      </c>
      <c r="G500">
        <v>4</v>
      </c>
      <c r="H500">
        <v>13</v>
      </c>
      <c r="I500" t="s">
        <v>34</v>
      </c>
      <c r="J500">
        <v>2</v>
      </c>
    </row>
    <row r="501" spans="1:10" x14ac:dyDescent="0.3">
      <c r="A501" t="s">
        <v>10</v>
      </c>
      <c r="B501">
        <v>45752</v>
      </c>
      <c r="C501" t="s">
        <v>13</v>
      </c>
      <c r="D501" t="s">
        <v>24</v>
      </c>
      <c r="E501" t="s">
        <v>28</v>
      </c>
      <c r="F501">
        <v>140</v>
      </c>
      <c r="G501">
        <v>3</v>
      </c>
      <c r="H501">
        <v>15</v>
      </c>
      <c r="I501" t="s">
        <v>33</v>
      </c>
      <c r="J501">
        <v>5</v>
      </c>
    </row>
    <row r="502" spans="1:10" x14ac:dyDescent="0.3">
      <c r="A502" t="s">
        <v>10</v>
      </c>
      <c r="B502">
        <v>45751</v>
      </c>
      <c r="C502" t="s">
        <v>20</v>
      </c>
      <c r="D502" t="s">
        <v>20</v>
      </c>
      <c r="E502" t="s">
        <v>32</v>
      </c>
      <c r="F502">
        <v>248</v>
      </c>
      <c r="G502">
        <v>5</v>
      </c>
      <c r="H502">
        <v>21</v>
      </c>
      <c r="I502" t="s">
        <v>35</v>
      </c>
      <c r="J502">
        <v>1</v>
      </c>
    </row>
    <row r="503" spans="1:10" x14ac:dyDescent="0.3">
      <c r="A503" t="s">
        <v>11</v>
      </c>
      <c r="B503">
        <v>45759</v>
      </c>
      <c r="C503" t="s">
        <v>21</v>
      </c>
      <c r="D503" t="s">
        <v>26</v>
      </c>
      <c r="E503" t="s">
        <v>28</v>
      </c>
      <c r="F503">
        <v>74</v>
      </c>
      <c r="G503">
        <v>2</v>
      </c>
      <c r="H503">
        <v>16</v>
      </c>
      <c r="I503" t="s">
        <v>34</v>
      </c>
      <c r="J503">
        <v>5</v>
      </c>
    </row>
    <row r="504" spans="1:10" x14ac:dyDescent="0.3">
      <c r="A504" t="s">
        <v>10</v>
      </c>
      <c r="B504">
        <v>45745</v>
      </c>
      <c r="C504" t="s">
        <v>18</v>
      </c>
      <c r="D504" t="s">
        <v>27</v>
      </c>
      <c r="E504" t="s">
        <v>29</v>
      </c>
      <c r="F504">
        <v>156</v>
      </c>
      <c r="G504">
        <v>3</v>
      </c>
      <c r="H504">
        <v>13</v>
      </c>
      <c r="I504" t="s">
        <v>33</v>
      </c>
      <c r="J504">
        <v>3</v>
      </c>
    </row>
    <row r="505" spans="1:10" x14ac:dyDescent="0.3">
      <c r="A505" t="s">
        <v>11</v>
      </c>
      <c r="B505">
        <v>45753</v>
      </c>
      <c r="C505" t="s">
        <v>22</v>
      </c>
      <c r="D505" t="s">
        <v>25</v>
      </c>
      <c r="E505" t="s">
        <v>28</v>
      </c>
      <c r="F505">
        <v>38</v>
      </c>
      <c r="G505">
        <v>5</v>
      </c>
      <c r="H505">
        <v>7</v>
      </c>
      <c r="I505" t="s">
        <v>33</v>
      </c>
      <c r="J505">
        <v>3</v>
      </c>
    </row>
    <row r="506" spans="1:10" x14ac:dyDescent="0.3">
      <c r="A506" t="s">
        <v>11</v>
      </c>
      <c r="B506">
        <v>45745</v>
      </c>
      <c r="C506" t="s">
        <v>13</v>
      </c>
      <c r="D506" t="s">
        <v>24</v>
      </c>
      <c r="E506" t="s">
        <v>28</v>
      </c>
      <c r="F506">
        <v>219</v>
      </c>
      <c r="G506">
        <v>2</v>
      </c>
      <c r="H506">
        <v>19</v>
      </c>
      <c r="I506" t="s">
        <v>35</v>
      </c>
      <c r="J506">
        <v>4</v>
      </c>
    </row>
    <row r="507" spans="1:10" x14ac:dyDescent="0.3">
      <c r="A507" t="s">
        <v>10</v>
      </c>
      <c r="B507">
        <v>45742</v>
      </c>
      <c r="C507" t="s">
        <v>22</v>
      </c>
      <c r="D507" t="s">
        <v>25</v>
      </c>
      <c r="E507" t="s">
        <v>32</v>
      </c>
      <c r="F507">
        <v>147</v>
      </c>
      <c r="G507">
        <v>3</v>
      </c>
      <c r="H507">
        <v>12</v>
      </c>
      <c r="I507" t="s">
        <v>34</v>
      </c>
      <c r="J507">
        <v>2</v>
      </c>
    </row>
    <row r="508" spans="1:10" x14ac:dyDescent="0.3">
      <c r="A508" t="s">
        <v>10</v>
      </c>
      <c r="B508">
        <v>45765</v>
      </c>
      <c r="C508" t="s">
        <v>18</v>
      </c>
      <c r="D508" t="s">
        <v>27</v>
      </c>
      <c r="E508" t="s">
        <v>30</v>
      </c>
      <c r="F508">
        <v>182</v>
      </c>
      <c r="G508">
        <v>5</v>
      </c>
      <c r="H508">
        <v>25</v>
      </c>
      <c r="I508" t="s">
        <v>35</v>
      </c>
      <c r="J508">
        <v>5</v>
      </c>
    </row>
    <row r="509" spans="1:10" x14ac:dyDescent="0.3">
      <c r="A509" t="s">
        <v>10</v>
      </c>
      <c r="B509">
        <v>45742</v>
      </c>
      <c r="C509" t="s">
        <v>21</v>
      </c>
      <c r="D509" t="s">
        <v>26</v>
      </c>
      <c r="E509" t="s">
        <v>32</v>
      </c>
      <c r="F509">
        <v>167</v>
      </c>
      <c r="G509">
        <v>3</v>
      </c>
      <c r="H509">
        <v>14</v>
      </c>
      <c r="I509" t="s">
        <v>35</v>
      </c>
      <c r="J509">
        <v>2</v>
      </c>
    </row>
    <row r="510" spans="1:10" x14ac:dyDescent="0.3">
      <c r="A510" t="s">
        <v>11</v>
      </c>
      <c r="B510">
        <v>45742</v>
      </c>
      <c r="C510" t="s">
        <v>20</v>
      </c>
      <c r="D510" t="s">
        <v>20</v>
      </c>
      <c r="E510" t="s">
        <v>30</v>
      </c>
      <c r="F510">
        <v>150</v>
      </c>
      <c r="G510">
        <v>4</v>
      </c>
      <c r="H510">
        <v>17</v>
      </c>
      <c r="I510" t="s">
        <v>34</v>
      </c>
    </row>
    <row r="511" spans="1:10" x14ac:dyDescent="0.3">
      <c r="A511" t="s">
        <v>10</v>
      </c>
      <c r="B511">
        <v>45765</v>
      </c>
      <c r="C511" t="s">
        <v>19</v>
      </c>
      <c r="D511" t="s">
        <v>23</v>
      </c>
      <c r="E511" t="s">
        <v>32</v>
      </c>
      <c r="F511">
        <v>61</v>
      </c>
      <c r="G511">
        <v>3</v>
      </c>
      <c r="H511">
        <v>15</v>
      </c>
      <c r="I511" t="s">
        <v>33</v>
      </c>
      <c r="J511">
        <v>5</v>
      </c>
    </row>
    <row r="512" spans="1:10" x14ac:dyDescent="0.3">
      <c r="A512" t="s">
        <v>11</v>
      </c>
      <c r="B512">
        <v>45754</v>
      </c>
      <c r="C512" t="s">
        <v>13</v>
      </c>
      <c r="D512" t="s">
        <v>24</v>
      </c>
      <c r="E512" t="s">
        <v>31</v>
      </c>
      <c r="F512">
        <v>132</v>
      </c>
      <c r="G512">
        <v>4</v>
      </c>
      <c r="H512">
        <v>12</v>
      </c>
      <c r="I512" t="s">
        <v>35</v>
      </c>
      <c r="J512">
        <v>4</v>
      </c>
    </row>
    <row r="513" spans="1:10" x14ac:dyDescent="0.3">
      <c r="A513" t="s">
        <v>10</v>
      </c>
      <c r="B513">
        <v>45752</v>
      </c>
      <c r="C513" t="s">
        <v>14</v>
      </c>
      <c r="D513" t="s">
        <v>25</v>
      </c>
      <c r="E513" t="s">
        <v>28</v>
      </c>
      <c r="F513">
        <v>161</v>
      </c>
      <c r="G513">
        <v>3</v>
      </c>
      <c r="H513">
        <v>16</v>
      </c>
      <c r="I513" t="s">
        <v>33</v>
      </c>
      <c r="J513">
        <v>1</v>
      </c>
    </row>
    <row r="514" spans="1:10" x14ac:dyDescent="0.3">
      <c r="A514" t="s">
        <v>11</v>
      </c>
      <c r="B514">
        <v>45754</v>
      </c>
      <c r="C514" t="s">
        <v>17</v>
      </c>
      <c r="D514" t="s">
        <v>24</v>
      </c>
      <c r="E514" t="s">
        <v>30</v>
      </c>
      <c r="F514">
        <v>112</v>
      </c>
      <c r="G514">
        <v>1</v>
      </c>
      <c r="H514">
        <v>13</v>
      </c>
      <c r="I514" t="s">
        <v>33</v>
      </c>
      <c r="J514">
        <v>1</v>
      </c>
    </row>
    <row r="515" spans="1:10" x14ac:dyDescent="0.3">
      <c r="A515" t="s">
        <v>11</v>
      </c>
      <c r="B515">
        <v>45747</v>
      </c>
      <c r="C515" t="s">
        <v>19</v>
      </c>
      <c r="D515" t="s">
        <v>23</v>
      </c>
      <c r="E515" t="s">
        <v>32</v>
      </c>
      <c r="F515">
        <v>56</v>
      </c>
      <c r="G515">
        <v>5</v>
      </c>
      <c r="H515">
        <v>8</v>
      </c>
      <c r="I515" t="s">
        <v>35</v>
      </c>
      <c r="J515">
        <v>4</v>
      </c>
    </row>
    <row r="516" spans="1:10" x14ac:dyDescent="0.3">
      <c r="A516" t="s">
        <v>10</v>
      </c>
      <c r="B516">
        <v>45746</v>
      </c>
      <c r="C516" t="s">
        <v>12</v>
      </c>
      <c r="D516" t="s">
        <v>23</v>
      </c>
      <c r="E516" t="s">
        <v>30</v>
      </c>
      <c r="F516">
        <v>209</v>
      </c>
      <c r="G516">
        <v>2</v>
      </c>
      <c r="H516">
        <v>13</v>
      </c>
      <c r="I516" t="s">
        <v>35</v>
      </c>
      <c r="J516">
        <v>3</v>
      </c>
    </row>
    <row r="517" spans="1:10" x14ac:dyDescent="0.3">
      <c r="A517" t="s">
        <v>11</v>
      </c>
      <c r="B517">
        <v>45746</v>
      </c>
      <c r="C517" t="s">
        <v>13</v>
      </c>
      <c r="D517" t="s">
        <v>24</v>
      </c>
      <c r="E517" t="s">
        <v>31</v>
      </c>
      <c r="F517">
        <v>235</v>
      </c>
      <c r="G517">
        <v>3</v>
      </c>
      <c r="H517">
        <v>14</v>
      </c>
      <c r="I517" t="s">
        <v>33</v>
      </c>
      <c r="J517">
        <v>1</v>
      </c>
    </row>
    <row r="518" spans="1:10" x14ac:dyDescent="0.3">
      <c r="A518" t="s">
        <v>11</v>
      </c>
      <c r="B518">
        <v>45756</v>
      </c>
      <c r="C518" t="s">
        <v>19</v>
      </c>
      <c r="D518" t="s">
        <v>23</v>
      </c>
      <c r="E518" t="s">
        <v>28</v>
      </c>
      <c r="F518">
        <v>108</v>
      </c>
      <c r="G518">
        <v>5</v>
      </c>
      <c r="H518">
        <v>13</v>
      </c>
      <c r="I518" t="s">
        <v>33</v>
      </c>
      <c r="J518">
        <v>1</v>
      </c>
    </row>
    <row r="519" spans="1:10" x14ac:dyDescent="0.3">
      <c r="A519" t="s">
        <v>10</v>
      </c>
      <c r="B519">
        <v>45768</v>
      </c>
      <c r="C519" t="s">
        <v>19</v>
      </c>
      <c r="D519" t="s">
        <v>23</v>
      </c>
      <c r="E519" t="s">
        <v>31</v>
      </c>
      <c r="F519">
        <v>98</v>
      </c>
      <c r="G519">
        <v>3</v>
      </c>
      <c r="H519">
        <v>19</v>
      </c>
      <c r="I519" t="s">
        <v>35</v>
      </c>
      <c r="J519">
        <v>1</v>
      </c>
    </row>
    <row r="520" spans="1:10" x14ac:dyDescent="0.3">
      <c r="A520" t="s">
        <v>11</v>
      </c>
      <c r="B520">
        <v>45755</v>
      </c>
      <c r="C520" t="s">
        <v>17</v>
      </c>
      <c r="D520" t="s">
        <v>24</v>
      </c>
      <c r="E520" t="s">
        <v>31</v>
      </c>
      <c r="F520">
        <v>53</v>
      </c>
      <c r="G520">
        <v>3</v>
      </c>
      <c r="H520">
        <v>11</v>
      </c>
      <c r="I520" t="s">
        <v>34</v>
      </c>
      <c r="J520">
        <v>1</v>
      </c>
    </row>
    <row r="521" spans="1:10" x14ac:dyDescent="0.3">
      <c r="A521" t="s">
        <v>11</v>
      </c>
      <c r="B521">
        <v>45744</v>
      </c>
      <c r="C521" t="s">
        <v>14</v>
      </c>
      <c r="D521" t="s">
        <v>25</v>
      </c>
      <c r="E521" t="s">
        <v>29</v>
      </c>
      <c r="F521">
        <v>190</v>
      </c>
      <c r="G521">
        <v>4</v>
      </c>
      <c r="H521">
        <v>19</v>
      </c>
      <c r="I521" t="s">
        <v>35</v>
      </c>
      <c r="J521">
        <v>2</v>
      </c>
    </row>
    <row r="522" spans="1:10" x14ac:dyDescent="0.3">
      <c r="A522" t="s">
        <v>11</v>
      </c>
      <c r="B522">
        <v>45765</v>
      </c>
      <c r="C522" t="s">
        <v>18</v>
      </c>
      <c r="D522" t="s">
        <v>27</v>
      </c>
      <c r="E522" t="s">
        <v>29</v>
      </c>
      <c r="F522">
        <v>177</v>
      </c>
      <c r="G522">
        <v>1</v>
      </c>
      <c r="H522">
        <v>7</v>
      </c>
      <c r="I522" t="s">
        <v>35</v>
      </c>
      <c r="J522">
        <v>2</v>
      </c>
    </row>
    <row r="523" spans="1:10" x14ac:dyDescent="0.3">
      <c r="A523" t="s">
        <v>10</v>
      </c>
      <c r="B523">
        <v>45756</v>
      </c>
      <c r="C523" t="s">
        <v>12</v>
      </c>
      <c r="D523" t="s">
        <v>23</v>
      </c>
      <c r="E523" t="s">
        <v>31</v>
      </c>
      <c r="F523">
        <v>175</v>
      </c>
      <c r="G523">
        <v>5</v>
      </c>
      <c r="H523">
        <v>18</v>
      </c>
      <c r="I523" t="s">
        <v>34</v>
      </c>
    </row>
    <row r="524" spans="1:10" x14ac:dyDescent="0.3">
      <c r="A524" t="s">
        <v>10</v>
      </c>
      <c r="B524">
        <v>45760</v>
      </c>
      <c r="C524" t="s">
        <v>19</v>
      </c>
      <c r="D524" t="s">
        <v>23</v>
      </c>
      <c r="E524" t="s">
        <v>32</v>
      </c>
      <c r="F524">
        <v>226</v>
      </c>
      <c r="G524">
        <v>5</v>
      </c>
      <c r="H524">
        <v>20</v>
      </c>
      <c r="I524" t="s">
        <v>35</v>
      </c>
      <c r="J524">
        <v>2</v>
      </c>
    </row>
    <row r="525" spans="1:10" x14ac:dyDescent="0.3">
      <c r="A525" t="s">
        <v>11</v>
      </c>
      <c r="B525">
        <v>45749</v>
      </c>
      <c r="C525" t="s">
        <v>12</v>
      </c>
      <c r="D525" t="s">
        <v>23</v>
      </c>
      <c r="E525" t="s">
        <v>31</v>
      </c>
      <c r="F525">
        <v>67</v>
      </c>
      <c r="G525">
        <v>1</v>
      </c>
      <c r="H525">
        <v>12</v>
      </c>
      <c r="I525" t="s">
        <v>35</v>
      </c>
      <c r="J525">
        <v>4</v>
      </c>
    </row>
    <row r="526" spans="1:10" x14ac:dyDescent="0.3">
      <c r="A526" t="s">
        <v>11</v>
      </c>
      <c r="B526">
        <v>45757</v>
      </c>
      <c r="C526" t="s">
        <v>15</v>
      </c>
      <c r="D526" t="s">
        <v>25</v>
      </c>
      <c r="E526" t="s">
        <v>30</v>
      </c>
      <c r="F526">
        <v>32</v>
      </c>
      <c r="G526">
        <v>2</v>
      </c>
      <c r="H526">
        <v>8</v>
      </c>
      <c r="I526" t="s">
        <v>33</v>
      </c>
      <c r="J526">
        <v>3</v>
      </c>
    </row>
    <row r="527" spans="1:10" x14ac:dyDescent="0.3">
      <c r="A527" t="s">
        <v>10</v>
      </c>
      <c r="B527">
        <v>45743</v>
      </c>
      <c r="C527" t="s">
        <v>22</v>
      </c>
      <c r="D527" t="s">
        <v>25</v>
      </c>
      <c r="E527" t="s">
        <v>28</v>
      </c>
      <c r="F527">
        <v>33</v>
      </c>
      <c r="G527">
        <v>3</v>
      </c>
      <c r="H527">
        <v>20</v>
      </c>
      <c r="I527" t="s">
        <v>33</v>
      </c>
      <c r="J527">
        <v>4</v>
      </c>
    </row>
    <row r="528" spans="1:10" x14ac:dyDescent="0.3">
      <c r="A528" t="s">
        <v>11</v>
      </c>
      <c r="B528">
        <v>45746</v>
      </c>
      <c r="C528" t="s">
        <v>19</v>
      </c>
      <c r="D528" t="s">
        <v>23</v>
      </c>
      <c r="E528" t="s">
        <v>31</v>
      </c>
      <c r="F528">
        <v>37</v>
      </c>
      <c r="G528">
        <v>2</v>
      </c>
      <c r="H528">
        <v>7</v>
      </c>
      <c r="I528" t="s">
        <v>34</v>
      </c>
      <c r="J528">
        <v>3</v>
      </c>
    </row>
    <row r="529" spans="1:10" x14ac:dyDescent="0.3">
      <c r="A529" t="s">
        <v>11</v>
      </c>
      <c r="B529">
        <v>45762</v>
      </c>
      <c r="C529" t="s">
        <v>19</v>
      </c>
      <c r="D529" t="s">
        <v>23</v>
      </c>
      <c r="E529" t="s">
        <v>30</v>
      </c>
      <c r="F529">
        <v>53</v>
      </c>
      <c r="G529">
        <v>4</v>
      </c>
      <c r="H529">
        <v>8</v>
      </c>
      <c r="I529" t="s">
        <v>35</v>
      </c>
      <c r="J529">
        <v>4</v>
      </c>
    </row>
    <row r="530" spans="1:10" x14ac:dyDescent="0.3">
      <c r="A530" t="s">
        <v>10</v>
      </c>
      <c r="B530">
        <v>45764</v>
      </c>
      <c r="C530" t="s">
        <v>16</v>
      </c>
      <c r="D530" t="s">
        <v>26</v>
      </c>
      <c r="E530" t="s">
        <v>29</v>
      </c>
      <c r="F530">
        <v>201</v>
      </c>
      <c r="G530">
        <v>5</v>
      </c>
      <c r="H530">
        <v>23</v>
      </c>
      <c r="I530" t="s">
        <v>34</v>
      </c>
    </row>
    <row r="531" spans="1:10" x14ac:dyDescent="0.3">
      <c r="A531" t="s">
        <v>11</v>
      </c>
      <c r="B531">
        <v>45763</v>
      </c>
      <c r="C531" t="s">
        <v>13</v>
      </c>
      <c r="D531" t="s">
        <v>24</v>
      </c>
      <c r="E531" t="s">
        <v>28</v>
      </c>
      <c r="F531">
        <v>61</v>
      </c>
      <c r="G531">
        <v>3</v>
      </c>
      <c r="H531">
        <v>8</v>
      </c>
      <c r="I531" t="s">
        <v>33</v>
      </c>
      <c r="J531">
        <v>5</v>
      </c>
    </row>
    <row r="532" spans="1:10" x14ac:dyDescent="0.3">
      <c r="A532" t="s">
        <v>11</v>
      </c>
      <c r="B532">
        <v>45760</v>
      </c>
      <c r="C532" t="s">
        <v>14</v>
      </c>
      <c r="D532" t="s">
        <v>25</v>
      </c>
      <c r="E532" t="s">
        <v>31</v>
      </c>
      <c r="F532">
        <v>125</v>
      </c>
      <c r="G532">
        <v>3</v>
      </c>
      <c r="H532">
        <v>12</v>
      </c>
      <c r="I532" t="s">
        <v>35</v>
      </c>
      <c r="J532">
        <v>3</v>
      </c>
    </row>
    <row r="533" spans="1:10" x14ac:dyDescent="0.3">
      <c r="A533" t="s">
        <v>11</v>
      </c>
      <c r="B533">
        <v>45756</v>
      </c>
      <c r="C533" t="s">
        <v>13</v>
      </c>
      <c r="D533" t="s">
        <v>24</v>
      </c>
      <c r="E533" t="s">
        <v>31</v>
      </c>
      <c r="F533">
        <v>249</v>
      </c>
      <c r="G533">
        <v>4</v>
      </c>
      <c r="H533">
        <v>16</v>
      </c>
      <c r="I533" t="s">
        <v>35</v>
      </c>
    </row>
    <row r="534" spans="1:10" x14ac:dyDescent="0.3">
      <c r="A534" t="s">
        <v>11</v>
      </c>
      <c r="B534">
        <v>45751</v>
      </c>
      <c r="C534" t="s">
        <v>19</v>
      </c>
      <c r="D534" t="s">
        <v>23</v>
      </c>
      <c r="E534" t="s">
        <v>28</v>
      </c>
      <c r="F534">
        <v>189</v>
      </c>
      <c r="G534">
        <v>2</v>
      </c>
      <c r="H534">
        <v>8</v>
      </c>
      <c r="I534" t="s">
        <v>35</v>
      </c>
      <c r="J534">
        <v>3</v>
      </c>
    </row>
    <row r="535" spans="1:10" x14ac:dyDescent="0.3">
      <c r="A535" t="s">
        <v>10</v>
      </c>
      <c r="B535">
        <v>45764</v>
      </c>
      <c r="C535" t="s">
        <v>22</v>
      </c>
      <c r="D535" t="s">
        <v>25</v>
      </c>
      <c r="E535" t="s">
        <v>30</v>
      </c>
      <c r="F535">
        <v>205</v>
      </c>
      <c r="G535">
        <v>4</v>
      </c>
      <c r="H535">
        <v>15</v>
      </c>
      <c r="I535" t="s">
        <v>35</v>
      </c>
      <c r="J535">
        <v>1</v>
      </c>
    </row>
    <row r="536" spans="1:10" x14ac:dyDescent="0.3">
      <c r="A536" t="s">
        <v>10</v>
      </c>
      <c r="B536">
        <v>45755</v>
      </c>
      <c r="C536" t="s">
        <v>19</v>
      </c>
      <c r="D536" t="s">
        <v>23</v>
      </c>
      <c r="E536" t="s">
        <v>28</v>
      </c>
      <c r="F536">
        <v>81</v>
      </c>
      <c r="G536">
        <v>1</v>
      </c>
      <c r="H536">
        <v>21</v>
      </c>
      <c r="I536" t="s">
        <v>33</v>
      </c>
      <c r="J536">
        <v>3</v>
      </c>
    </row>
    <row r="537" spans="1:10" x14ac:dyDescent="0.3">
      <c r="A537" t="s">
        <v>11</v>
      </c>
      <c r="B537">
        <v>45741</v>
      </c>
      <c r="C537" t="s">
        <v>22</v>
      </c>
      <c r="D537" t="s">
        <v>25</v>
      </c>
      <c r="E537" t="s">
        <v>29</v>
      </c>
      <c r="F537">
        <v>241</v>
      </c>
      <c r="G537">
        <v>2</v>
      </c>
      <c r="H537">
        <v>10</v>
      </c>
      <c r="I537" t="s">
        <v>35</v>
      </c>
      <c r="J537">
        <v>5</v>
      </c>
    </row>
    <row r="538" spans="1:10" x14ac:dyDescent="0.3">
      <c r="A538" t="s">
        <v>10</v>
      </c>
      <c r="B538">
        <v>45763</v>
      </c>
      <c r="C538" t="s">
        <v>15</v>
      </c>
      <c r="D538" t="s">
        <v>25</v>
      </c>
      <c r="E538" t="s">
        <v>30</v>
      </c>
      <c r="F538">
        <v>35</v>
      </c>
      <c r="G538">
        <v>2</v>
      </c>
      <c r="H538">
        <v>13</v>
      </c>
      <c r="I538" t="s">
        <v>35</v>
      </c>
      <c r="J538">
        <v>3</v>
      </c>
    </row>
    <row r="539" spans="1:10" x14ac:dyDescent="0.3">
      <c r="A539" t="s">
        <v>11</v>
      </c>
      <c r="B539">
        <v>45743</v>
      </c>
      <c r="C539" t="s">
        <v>22</v>
      </c>
      <c r="D539" t="s">
        <v>25</v>
      </c>
      <c r="E539" t="s">
        <v>28</v>
      </c>
      <c r="F539">
        <v>225</v>
      </c>
      <c r="G539">
        <v>3</v>
      </c>
      <c r="H539">
        <v>14</v>
      </c>
      <c r="I539" t="s">
        <v>35</v>
      </c>
    </row>
    <row r="540" spans="1:10" x14ac:dyDescent="0.3">
      <c r="A540" t="s">
        <v>10</v>
      </c>
      <c r="B540">
        <v>45741</v>
      </c>
      <c r="C540" t="s">
        <v>15</v>
      </c>
      <c r="D540" t="s">
        <v>25</v>
      </c>
      <c r="E540" t="s">
        <v>28</v>
      </c>
      <c r="F540">
        <v>184</v>
      </c>
      <c r="G540">
        <v>3</v>
      </c>
      <c r="H540">
        <v>18</v>
      </c>
      <c r="I540" t="s">
        <v>35</v>
      </c>
    </row>
    <row r="541" spans="1:10" x14ac:dyDescent="0.3">
      <c r="A541" t="s">
        <v>10</v>
      </c>
      <c r="B541">
        <v>45757</v>
      </c>
      <c r="C541" t="s">
        <v>15</v>
      </c>
      <c r="D541" t="s">
        <v>25</v>
      </c>
      <c r="E541" t="s">
        <v>32</v>
      </c>
      <c r="F541">
        <v>138</v>
      </c>
      <c r="G541">
        <v>1</v>
      </c>
      <c r="H541">
        <v>13</v>
      </c>
      <c r="I541" t="s">
        <v>34</v>
      </c>
      <c r="J541">
        <v>1</v>
      </c>
    </row>
    <row r="542" spans="1:10" x14ac:dyDescent="0.3">
      <c r="A542" t="s">
        <v>11</v>
      </c>
      <c r="B542">
        <v>45767</v>
      </c>
      <c r="C542" t="s">
        <v>17</v>
      </c>
      <c r="D542" t="s">
        <v>24</v>
      </c>
      <c r="E542" t="s">
        <v>30</v>
      </c>
      <c r="F542">
        <v>77</v>
      </c>
      <c r="G542">
        <v>4</v>
      </c>
      <c r="H542">
        <v>11</v>
      </c>
      <c r="I542" t="s">
        <v>34</v>
      </c>
      <c r="J542">
        <v>4</v>
      </c>
    </row>
    <row r="543" spans="1:10" x14ac:dyDescent="0.3">
      <c r="A543" t="s">
        <v>10</v>
      </c>
      <c r="B543">
        <v>45743</v>
      </c>
      <c r="C543" t="s">
        <v>16</v>
      </c>
      <c r="D543" t="s">
        <v>26</v>
      </c>
      <c r="E543" t="s">
        <v>30</v>
      </c>
      <c r="F543">
        <v>178</v>
      </c>
      <c r="G543">
        <v>4</v>
      </c>
      <c r="H543">
        <v>18</v>
      </c>
      <c r="I543" t="s">
        <v>34</v>
      </c>
      <c r="J543">
        <v>2</v>
      </c>
    </row>
    <row r="544" spans="1:10" x14ac:dyDescent="0.3">
      <c r="A544" t="s">
        <v>11</v>
      </c>
      <c r="B544">
        <v>45762</v>
      </c>
      <c r="C544" t="s">
        <v>19</v>
      </c>
      <c r="D544" t="s">
        <v>23</v>
      </c>
      <c r="E544" t="s">
        <v>28</v>
      </c>
      <c r="F544">
        <v>108</v>
      </c>
      <c r="G544">
        <v>3</v>
      </c>
      <c r="H544">
        <v>10</v>
      </c>
      <c r="I544" t="s">
        <v>33</v>
      </c>
      <c r="J544">
        <v>3</v>
      </c>
    </row>
    <row r="545" spans="1:10" x14ac:dyDescent="0.3">
      <c r="A545" t="s">
        <v>10</v>
      </c>
      <c r="B545">
        <v>45760</v>
      </c>
      <c r="C545" t="s">
        <v>15</v>
      </c>
      <c r="D545" t="s">
        <v>25</v>
      </c>
      <c r="E545" t="s">
        <v>30</v>
      </c>
      <c r="F545">
        <v>79</v>
      </c>
      <c r="G545">
        <v>2</v>
      </c>
      <c r="H545">
        <v>18</v>
      </c>
      <c r="I545" t="s">
        <v>33</v>
      </c>
      <c r="J545">
        <v>4</v>
      </c>
    </row>
    <row r="546" spans="1:10" x14ac:dyDescent="0.3">
      <c r="A546" t="s">
        <v>10</v>
      </c>
      <c r="B546">
        <v>45747</v>
      </c>
      <c r="C546" t="s">
        <v>17</v>
      </c>
      <c r="D546" t="s">
        <v>24</v>
      </c>
      <c r="E546" t="s">
        <v>31</v>
      </c>
      <c r="F546">
        <v>122</v>
      </c>
      <c r="G546">
        <v>1</v>
      </c>
      <c r="H546">
        <v>25</v>
      </c>
      <c r="I546" t="s">
        <v>34</v>
      </c>
      <c r="J546">
        <v>2</v>
      </c>
    </row>
    <row r="547" spans="1:10" x14ac:dyDescent="0.3">
      <c r="A547" t="s">
        <v>10</v>
      </c>
      <c r="B547">
        <v>45765</v>
      </c>
      <c r="C547" t="s">
        <v>13</v>
      </c>
      <c r="D547" t="s">
        <v>24</v>
      </c>
      <c r="E547" t="s">
        <v>30</v>
      </c>
      <c r="F547">
        <v>201</v>
      </c>
      <c r="G547">
        <v>3</v>
      </c>
      <c r="H547">
        <v>15</v>
      </c>
      <c r="I547" t="s">
        <v>33</v>
      </c>
      <c r="J547">
        <v>1</v>
      </c>
    </row>
    <row r="548" spans="1:10" x14ac:dyDescent="0.3">
      <c r="A548" t="s">
        <v>11</v>
      </c>
      <c r="B548">
        <v>45757</v>
      </c>
      <c r="C548" t="s">
        <v>17</v>
      </c>
      <c r="D548" t="s">
        <v>24</v>
      </c>
      <c r="E548" t="s">
        <v>30</v>
      </c>
      <c r="F548">
        <v>48</v>
      </c>
      <c r="G548">
        <v>5</v>
      </c>
      <c r="H548">
        <v>16</v>
      </c>
      <c r="I548" t="s">
        <v>34</v>
      </c>
      <c r="J548">
        <v>5</v>
      </c>
    </row>
    <row r="549" spans="1:10" x14ac:dyDescent="0.3">
      <c r="A549" t="s">
        <v>11</v>
      </c>
      <c r="B549">
        <v>45748</v>
      </c>
      <c r="C549" t="s">
        <v>21</v>
      </c>
      <c r="D549" t="s">
        <v>26</v>
      </c>
      <c r="E549" t="s">
        <v>28</v>
      </c>
      <c r="F549">
        <v>65</v>
      </c>
      <c r="G549">
        <v>3</v>
      </c>
      <c r="H549">
        <v>18</v>
      </c>
      <c r="I549" t="s">
        <v>33</v>
      </c>
      <c r="J549">
        <v>3</v>
      </c>
    </row>
    <row r="550" spans="1:10" x14ac:dyDescent="0.3">
      <c r="A550" t="s">
        <v>10</v>
      </c>
      <c r="B550">
        <v>45765</v>
      </c>
      <c r="C550" t="s">
        <v>17</v>
      </c>
      <c r="D550" t="s">
        <v>24</v>
      </c>
      <c r="E550" t="s">
        <v>32</v>
      </c>
      <c r="F550">
        <v>108</v>
      </c>
      <c r="G550">
        <v>3</v>
      </c>
      <c r="H550">
        <v>23</v>
      </c>
      <c r="I550" t="s">
        <v>34</v>
      </c>
      <c r="J550">
        <v>4</v>
      </c>
    </row>
    <row r="551" spans="1:10" x14ac:dyDescent="0.3">
      <c r="A551" t="s">
        <v>10</v>
      </c>
      <c r="B551">
        <v>45765</v>
      </c>
      <c r="C551" t="s">
        <v>20</v>
      </c>
      <c r="D551" t="s">
        <v>20</v>
      </c>
      <c r="E551" t="s">
        <v>32</v>
      </c>
      <c r="F551">
        <v>229</v>
      </c>
      <c r="G551">
        <v>3</v>
      </c>
      <c r="H551">
        <v>22</v>
      </c>
      <c r="I551" t="s">
        <v>33</v>
      </c>
    </row>
    <row r="552" spans="1:10" x14ac:dyDescent="0.3">
      <c r="A552" t="s">
        <v>11</v>
      </c>
      <c r="B552">
        <v>45761</v>
      </c>
      <c r="C552" t="s">
        <v>12</v>
      </c>
      <c r="D552" t="s">
        <v>23</v>
      </c>
      <c r="E552" t="s">
        <v>28</v>
      </c>
      <c r="F552">
        <v>156</v>
      </c>
      <c r="G552">
        <v>3</v>
      </c>
      <c r="H552">
        <v>12</v>
      </c>
      <c r="I552" t="s">
        <v>33</v>
      </c>
      <c r="J552">
        <v>4</v>
      </c>
    </row>
    <row r="553" spans="1:10" x14ac:dyDescent="0.3">
      <c r="A553" t="s">
        <v>11</v>
      </c>
      <c r="B553">
        <v>45748</v>
      </c>
      <c r="C553" t="s">
        <v>17</v>
      </c>
      <c r="D553" t="s">
        <v>24</v>
      </c>
      <c r="E553" t="s">
        <v>28</v>
      </c>
      <c r="F553">
        <v>195</v>
      </c>
      <c r="G553">
        <v>3</v>
      </c>
      <c r="H553">
        <v>12</v>
      </c>
      <c r="I553" t="s">
        <v>34</v>
      </c>
      <c r="J553">
        <v>3</v>
      </c>
    </row>
    <row r="554" spans="1:10" x14ac:dyDescent="0.3">
      <c r="A554" t="s">
        <v>10</v>
      </c>
      <c r="B554">
        <v>45766</v>
      </c>
      <c r="C554" t="s">
        <v>15</v>
      </c>
      <c r="D554" t="s">
        <v>25</v>
      </c>
      <c r="E554" t="s">
        <v>32</v>
      </c>
      <c r="F554">
        <v>89</v>
      </c>
      <c r="G554">
        <v>4</v>
      </c>
      <c r="H554">
        <v>19</v>
      </c>
      <c r="I554" t="s">
        <v>33</v>
      </c>
    </row>
    <row r="555" spans="1:10" x14ac:dyDescent="0.3">
      <c r="A555" t="s">
        <v>10</v>
      </c>
      <c r="B555">
        <v>45753</v>
      </c>
      <c r="C555" t="s">
        <v>21</v>
      </c>
      <c r="D555" t="s">
        <v>26</v>
      </c>
      <c r="E555" t="s">
        <v>29</v>
      </c>
      <c r="F555">
        <v>208</v>
      </c>
      <c r="G555">
        <v>3</v>
      </c>
      <c r="H555">
        <v>21</v>
      </c>
      <c r="I555" t="s">
        <v>33</v>
      </c>
      <c r="J555">
        <v>3</v>
      </c>
    </row>
    <row r="556" spans="1:10" x14ac:dyDescent="0.3">
      <c r="A556" t="s">
        <v>10</v>
      </c>
      <c r="B556">
        <v>45757</v>
      </c>
      <c r="C556" t="s">
        <v>21</v>
      </c>
      <c r="D556" t="s">
        <v>26</v>
      </c>
      <c r="E556" t="s">
        <v>28</v>
      </c>
      <c r="F556">
        <v>204</v>
      </c>
      <c r="G556">
        <v>3</v>
      </c>
      <c r="H556">
        <v>10</v>
      </c>
      <c r="I556" t="s">
        <v>34</v>
      </c>
      <c r="J556">
        <v>5</v>
      </c>
    </row>
    <row r="557" spans="1:10" x14ac:dyDescent="0.3">
      <c r="A557" t="s">
        <v>11</v>
      </c>
      <c r="B557">
        <v>45748</v>
      </c>
      <c r="C557" t="s">
        <v>18</v>
      </c>
      <c r="D557" t="s">
        <v>27</v>
      </c>
      <c r="E557" t="s">
        <v>28</v>
      </c>
      <c r="F557">
        <v>248</v>
      </c>
      <c r="G557">
        <v>4</v>
      </c>
      <c r="H557">
        <v>19</v>
      </c>
      <c r="I557" t="s">
        <v>34</v>
      </c>
      <c r="J557">
        <v>3</v>
      </c>
    </row>
    <row r="558" spans="1:10" x14ac:dyDescent="0.3">
      <c r="A558" t="s">
        <v>11</v>
      </c>
      <c r="B558">
        <v>45757</v>
      </c>
      <c r="C558" t="s">
        <v>17</v>
      </c>
      <c r="D558" t="s">
        <v>24</v>
      </c>
      <c r="E558" t="s">
        <v>29</v>
      </c>
      <c r="F558">
        <v>222</v>
      </c>
      <c r="G558">
        <v>4</v>
      </c>
      <c r="H558">
        <v>15</v>
      </c>
      <c r="I558" t="s">
        <v>33</v>
      </c>
      <c r="J558">
        <v>3</v>
      </c>
    </row>
    <row r="559" spans="1:10" x14ac:dyDescent="0.3">
      <c r="A559" t="s">
        <v>10</v>
      </c>
      <c r="B559">
        <v>45761</v>
      </c>
      <c r="C559" t="s">
        <v>12</v>
      </c>
      <c r="D559" t="s">
        <v>23</v>
      </c>
      <c r="E559" t="s">
        <v>29</v>
      </c>
      <c r="F559">
        <v>76</v>
      </c>
      <c r="G559">
        <v>1</v>
      </c>
      <c r="H559">
        <v>14</v>
      </c>
      <c r="I559" t="s">
        <v>34</v>
      </c>
      <c r="J559">
        <v>1</v>
      </c>
    </row>
    <row r="560" spans="1:10" x14ac:dyDescent="0.3">
      <c r="A560" t="s">
        <v>10</v>
      </c>
      <c r="B560">
        <v>45767</v>
      </c>
      <c r="C560" t="s">
        <v>16</v>
      </c>
      <c r="D560" t="s">
        <v>26</v>
      </c>
      <c r="E560" t="s">
        <v>32</v>
      </c>
      <c r="F560">
        <v>160</v>
      </c>
      <c r="G560">
        <v>5</v>
      </c>
      <c r="H560">
        <v>14</v>
      </c>
      <c r="I560" t="s">
        <v>33</v>
      </c>
    </row>
    <row r="561" spans="1:10" x14ac:dyDescent="0.3">
      <c r="A561" t="s">
        <v>11</v>
      </c>
      <c r="B561">
        <v>45744</v>
      </c>
      <c r="C561" t="s">
        <v>19</v>
      </c>
      <c r="D561" t="s">
        <v>23</v>
      </c>
      <c r="E561" t="s">
        <v>28</v>
      </c>
      <c r="F561">
        <v>223</v>
      </c>
      <c r="G561">
        <v>2</v>
      </c>
      <c r="H561">
        <v>20</v>
      </c>
      <c r="I561" t="s">
        <v>35</v>
      </c>
    </row>
    <row r="562" spans="1:10" x14ac:dyDescent="0.3">
      <c r="A562" t="s">
        <v>11</v>
      </c>
      <c r="B562">
        <v>45748</v>
      </c>
      <c r="C562" t="s">
        <v>14</v>
      </c>
      <c r="D562" t="s">
        <v>25</v>
      </c>
      <c r="E562" t="s">
        <v>32</v>
      </c>
      <c r="F562">
        <v>111</v>
      </c>
      <c r="G562">
        <v>1</v>
      </c>
      <c r="H562">
        <v>8</v>
      </c>
      <c r="I562" t="s">
        <v>33</v>
      </c>
      <c r="J562">
        <v>2</v>
      </c>
    </row>
    <row r="563" spans="1:10" x14ac:dyDescent="0.3">
      <c r="A563" t="s">
        <v>11</v>
      </c>
      <c r="B563">
        <v>45745</v>
      </c>
      <c r="C563" t="s">
        <v>14</v>
      </c>
      <c r="D563" t="s">
        <v>25</v>
      </c>
      <c r="E563" t="s">
        <v>32</v>
      </c>
      <c r="F563">
        <v>111</v>
      </c>
      <c r="G563">
        <v>3</v>
      </c>
      <c r="H563">
        <v>12</v>
      </c>
      <c r="I563" t="s">
        <v>35</v>
      </c>
      <c r="J563">
        <v>5</v>
      </c>
    </row>
    <row r="564" spans="1:10" x14ac:dyDescent="0.3">
      <c r="A564" t="s">
        <v>11</v>
      </c>
      <c r="B564">
        <v>45765</v>
      </c>
      <c r="C564" t="s">
        <v>18</v>
      </c>
      <c r="D564" t="s">
        <v>27</v>
      </c>
      <c r="E564" t="s">
        <v>32</v>
      </c>
      <c r="F564">
        <v>142</v>
      </c>
      <c r="G564">
        <v>1</v>
      </c>
      <c r="H564">
        <v>13</v>
      </c>
      <c r="I564" t="s">
        <v>33</v>
      </c>
      <c r="J564">
        <v>1</v>
      </c>
    </row>
    <row r="565" spans="1:10" x14ac:dyDescent="0.3">
      <c r="A565" t="s">
        <v>10</v>
      </c>
      <c r="B565">
        <v>45759</v>
      </c>
      <c r="C565" t="s">
        <v>19</v>
      </c>
      <c r="D565" t="s">
        <v>23</v>
      </c>
      <c r="E565" t="s">
        <v>29</v>
      </c>
      <c r="F565">
        <v>54</v>
      </c>
      <c r="G565">
        <v>4</v>
      </c>
      <c r="H565">
        <v>21</v>
      </c>
      <c r="I565" t="s">
        <v>35</v>
      </c>
      <c r="J565">
        <v>1</v>
      </c>
    </row>
    <row r="566" spans="1:10" x14ac:dyDescent="0.3">
      <c r="A566" t="s">
        <v>10</v>
      </c>
      <c r="B566">
        <v>45749</v>
      </c>
      <c r="C566" t="s">
        <v>14</v>
      </c>
      <c r="D566" t="s">
        <v>25</v>
      </c>
      <c r="E566" t="s">
        <v>30</v>
      </c>
      <c r="F566">
        <v>182</v>
      </c>
      <c r="G566">
        <v>3</v>
      </c>
      <c r="H566">
        <v>17</v>
      </c>
      <c r="I566" t="s">
        <v>33</v>
      </c>
      <c r="J566">
        <v>1</v>
      </c>
    </row>
    <row r="567" spans="1:10" x14ac:dyDescent="0.3">
      <c r="A567" t="s">
        <v>11</v>
      </c>
      <c r="B567">
        <v>45755</v>
      </c>
      <c r="C567" t="s">
        <v>15</v>
      </c>
      <c r="D567" t="s">
        <v>25</v>
      </c>
      <c r="E567" t="s">
        <v>29</v>
      </c>
      <c r="F567">
        <v>74</v>
      </c>
      <c r="G567">
        <v>1</v>
      </c>
      <c r="H567">
        <v>16</v>
      </c>
      <c r="I567" t="s">
        <v>33</v>
      </c>
      <c r="J567">
        <v>4</v>
      </c>
    </row>
    <row r="568" spans="1:10" x14ac:dyDescent="0.3">
      <c r="A568" t="s">
        <v>10</v>
      </c>
      <c r="B568">
        <v>45741</v>
      </c>
      <c r="C568" t="s">
        <v>12</v>
      </c>
      <c r="D568" t="s">
        <v>23</v>
      </c>
      <c r="E568" t="s">
        <v>31</v>
      </c>
      <c r="F568">
        <v>47</v>
      </c>
      <c r="G568">
        <v>1</v>
      </c>
      <c r="H568">
        <v>24</v>
      </c>
      <c r="I568" t="s">
        <v>34</v>
      </c>
      <c r="J568">
        <v>5</v>
      </c>
    </row>
    <row r="569" spans="1:10" x14ac:dyDescent="0.3">
      <c r="A569" t="s">
        <v>10</v>
      </c>
      <c r="B569">
        <v>45765</v>
      </c>
      <c r="C569" t="s">
        <v>15</v>
      </c>
      <c r="D569" t="s">
        <v>25</v>
      </c>
      <c r="E569" t="s">
        <v>32</v>
      </c>
      <c r="F569">
        <v>115</v>
      </c>
      <c r="G569">
        <v>1</v>
      </c>
      <c r="H569">
        <v>19</v>
      </c>
      <c r="I569" t="s">
        <v>33</v>
      </c>
      <c r="J569">
        <v>2</v>
      </c>
    </row>
    <row r="570" spans="1:10" x14ac:dyDescent="0.3">
      <c r="A570" t="s">
        <v>11</v>
      </c>
      <c r="B570">
        <v>45768</v>
      </c>
      <c r="C570" t="s">
        <v>20</v>
      </c>
      <c r="D570" t="s">
        <v>20</v>
      </c>
      <c r="E570" t="s">
        <v>32</v>
      </c>
      <c r="F570">
        <v>43</v>
      </c>
      <c r="G570">
        <v>2</v>
      </c>
      <c r="H570">
        <v>14</v>
      </c>
      <c r="I570" t="s">
        <v>34</v>
      </c>
      <c r="J570">
        <v>2</v>
      </c>
    </row>
    <row r="571" spans="1:10" x14ac:dyDescent="0.3">
      <c r="A571" t="s">
        <v>11</v>
      </c>
      <c r="B571">
        <v>45752</v>
      </c>
      <c r="C571" t="s">
        <v>19</v>
      </c>
      <c r="D571" t="s">
        <v>23</v>
      </c>
      <c r="E571" t="s">
        <v>30</v>
      </c>
      <c r="F571">
        <v>196</v>
      </c>
      <c r="G571">
        <v>3</v>
      </c>
      <c r="H571">
        <v>8</v>
      </c>
      <c r="I571" t="s">
        <v>34</v>
      </c>
    </row>
    <row r="572" spans="1:10" x14ac:dyDescent="0.3">
      <c r="A572" t="s">
        <v>10</v>
      </c>
      <c r="B572">
        <v>45739</v>
      </c>
      <c r="C572" t="s">
        <v>12</v>
      </c>
      <c r="D572" t="s">
        <v>23</v>
      </c>
      <c r="E572" t="s">
        <v>30</v>
      </c>
      <c r="F572">
        <v>213</v>
      </c>
      <c r="G572">
        <v>2</v>
      </c>
      <c r="H572">
        <v>20</v>
      </c>
      <c r="I572" t="s">
        <v>33</v>
      </c>
      <c r="J572">
        <v>3</v>
      </c>
    </row>
    <row r="573" spans="1:10" x14ac:dyDescent="0.3">
      <c r="A573" t="s">
        <v>10</v>
      </c>
      <c r="B573">
        <v>45760</v>
      </c>
      <c r="C573" t="s">
        <v>14</v>
      </c>
      <c r="D573" t="s">
        <v>25</v>
      </c>
      <c r="E573" t="s">
        <v>29</v>
      </c>
      <c r="F573">
        <v>176</v>
      </c>
      <c r="G573">
        <v>1</v>
      </c>
      <c r="H573">
        <v>16</v>
      </c>
      <c r="I573" t="s">
        <v>34</v>
      </c>
      <c r="J573">
        <v>4</v>
      </c>
    </row>
    <row r="574" spans="1:10" x14ac:dyDescent="0.3">
      <c r="A574" t="s">
        <v>10</v>
      </c>
      <c r="B574">
        <v>45753</v>
      </c>
      <c r="C574" t="s">
        <v>17</v>
      </c>
      <c r="D574" t="s">
        <v>24</v>
      </c>
      <c r="E574" t="s">
        <v>29</v>
      </c>
      <c r="F574">
        <v>54</v>
      </c>
      <c r="G574">
        <v>1</v>
      </c>
      <c r="H574">
        <v>19</v>
      </c>
      <c r="I574" t="s">
        <v>34</v>
      </c>
    </row>
    <row r="575" spans="1:10" x14ac:dyDescent="0.3">
      <c r="A575" t="s">
        <v>10</v>
      </c>
      <c r="B575">
        <v>45743</v>
      </c>
      <c r="C575" t="s">
        <v>18</v>
      </c>
      <c r="D575" t="s">
        <v>27</v>
      </c>
      <c r="E575" t="s">
        <v>28</v>
      </c>
      <c r="F575">
        <v>155</v>
      </c>
      <c r="G575">
        <v>1</v>
      </c>
      <c r="H575">
        <v>20</v>
      </c>
      <c r="I575" t="s">
        <v>34</v>
      </c>
      <c r="J575">
        <v>1</v>
      </c>
    </row>
    <row r="576" spans="1:10" x14ac:dyDescent="0.3">
      <c r="A576" t="s">
        <v>11</v>
      </c>
      <c r="B576">
        <v>45740</v>
      </c>
      <c r="C576" t="s">
        <v>12</v>
      </c>
      <c r="D576" t="s">
        <v>23</v>
      </c>
      <c r="E576" t="s">
        <v>29</v>
      </c>
      <c r="F576">
        <v>30</v>
      </c>
      <c r="G576">
        <v>3</v>
      </c>
      <c r="H576">
        <v>9</v>
      </c>
      <c r="I576" t="s">
        <v>33</v>
      </c>
      <c r="J576">
        <v>4</v>
      </c>
    </row>
    <row r="577" spans="1:10" x14ac:dyDescent="0.3">
      <c r="A577" t="s">
        <v>10</v>
      </c>
      <c r="B577">
        <v>45768</v>
      </c>
      <c r="C577" t="s">
        <v>14</v>
      </c>
      <c r="D577" t="s">
        <v>25</v>
      </c>
      <c r="E577" t="s">
        <v>32</v>
      </c>
      <c r="F577">
        <v>39</v>
      </c>
      <c r="G577">
        <v>5</v>
      </c>
      <c r="H577">
        <v>15</v>
      </c>
      <c r="I577" t="s">
        <v>33</v>
      </c>
      <c r="J577">
        <v>1</v>
      </c>
    </row>
    <row r="578" spans="1:10" x14ac:dyDescent="0.3">
      <c r="A578" t="s">
        <v>10</v>
      </c>
      <c r="B578">
        <v>45752</v>
      </c>
      <c r="C578" t="s">
        <v>12</v>
      </c>
      <c r="D578" t="s">
        <v>23</v>
      </c>
      <c r="E578" t="s">
        <v>28</v>
      </c>
      <c r="F578">
        <v>88</v>
      </c>
      <c r="G578">
        <v>4</v>
      </c>
      <c r="H578">
        <v>15</v>
      </c>
      <c r="I578" t="s">
        <v>35</v>
      </c>
      <c r="J578">
        <v>3</v>
      </c>
    </row>
    <row r="579" spans="1:10" x14ac:dyDescent="0.3">
      <c r="A579" t="s">
        <v>11</v>
      </c>
      <c r="B579">
        <v>45760</v>
      </c>
      <c r="C579" t="s">
        <v>22</v>
      </c>
      <c r="D579" t="s">
        <v>25</v>
      </c>
      <c r="E579" t="s">
        <v>29</v>
      </c>
      <c r="F579">
        <v>65</v>
      </c>
      <c r="G579">
        <v>3</v>
      </c>
      <c r="H579">
        <v>11</v>
      </c>
      <c r="I579" t="s">
        <v>33</v>
      </c>
      <c r="J579">
        <v>3</v>
      </c>
    </row>
    <row r="580" spans="1:10" x14ac:dyDescent="0.3">
      <c r="A580" t="s">
        <v>10</v>
      </c>
      <c r="B580">
        <v>45768</v>
      </c>
      <c r="C580" t="s">
        <v>16</v>
      </c>
      <c r="D580" t="s">
        <v>26</v>
      </c>
      <c r="E580" t="s">
        <v>31</v>
      </c>
      <c r="F580">
        <v>131</v>
      </c>
      <c r="G580">
        <v>4</v>
      </c>
      <c r="H580">
        <v>19</v>
      </c>
      <c r="I580" t="s">
        <v>35</v>
      </c>
      <c r="J580">
        <v>3</v>
      </c>
    </row>
    <row r="581" spans="1:10" x14ac:dyDescent="0.3">
      <c r="A581" t="s">
        <v>10</v>
      </c>
      <c r="B581">
        <v>45765</v>
      </c>
      <c r="C581" t="s">
        <v>18</v>
      </c>
      <c r="D581" t="s">
        <v>27</v>
      </c>
      <c r="E581" t="s">
        <v>29</v>
      </c>
      <c r="F581">
        <v>85</v>
      </c>
      <c r="G581">
        <v>3</v>
      </c>
      <c r="H581">
        <v>24</v>
      </c>
      <c r="I581" t="s">
        <v>33</v>
      </c>
      <c r="J581">
        <v>3</v>
      </c>
    </row>
    <row r="582" spans="1:10" x14ac:dyDescent="0.3">
      <c r="A582" t="s">
        <v>10</v>
      </c>
      <c r="B582">
        <v>45766</v>
      </c>
      <c r="C582" t="s">
        <v>16</v>
      </c>
      <c r="D582" t="s">
        <v>26</v>
      </c>
      <c r="E582" t="s">
        <v>28</v>
      </c>
      <c r="F582">
        <v>149</v>
      </c>
      <c r="G582">
        <v>1</v>
      </c>
      <c r="H582">
        <v>11</v>
      </c>
      <c r="I582" t="s">
        <v>33</v>
      </c>
      <c r="J582">
        <v>5</v>
      </c>
    </row>
    <row r="583" spans="1:10" x14ac:dyDescent="0.3">
      <c r="A583" t="s">
        <v>11</v>
      </c>
      <c r="B583">
        <v>45763</v>
      </c>
      <c r="C583" t="s">
        <v>18</v>
      </c>
      <c r="D583" t="s">
        <v>27</v>
      </c>
      <c r="E583" t="s">
        <v>28</v>
      </c>
      <c r="F583">
        <v>112</v>
      </c>
      <c r="G583">
        <v>2</v>
      </c>
      <c r="H583">
        <v>9</v>
      </c>
      <c r="I583" t="s">
        <v>35</v>
      </c>
      <c r="J583">
        <v>5</v>
      </c>
    </row>
    <row r="584" spans="1:10" x14ac:dyDescent="0.3">
      <c r="A584" t="s">
        <v>11</v>
      </c>
      <c r="B584">
        <v>45752</v>
      </c>
      <c r="C584" t="s">
        <v>13</v>
      </c>
      <c r="D584" t="s">
        <v>24</v>
      </c>
      <c r="E584" t="s">
        <v>32</v>
      </c>
      <c r="F584">
        <v>118</v>
      </c>
      <c r="G584">
        <v>5</v>
      </c>
      <c r="H584">
        <v>19</v>
      </c>
      <c r="I584" t="s">
        <v>35</v>
      </c>
      <c r="J584">
        <v>2</v>
      </c>
    </row>
    <row r="585" spans="1:10" x14ac:dyDescent="0.3">
      <c r="A585" t="s">
        <v>11</v>
      </c>
      <c r="B585">
        <v>45756</v>
      </c>
      <c r="C585" t="s">
        <v>13</v>
      </c>
      <c r="D585" t="s">
        <v>24</v>
      </c>
      <c r="E585" t="s">
        <v>31</v>
      </c>
      <c r="F585">
        <v>217</v>
      </c>
      <c r="G585">
        <v>3</v>
      </c>
      <c r="H585">
        <v>8</v>
      </c>
      <c r="I585" t="s">
        <v>35</v>
      </c>
      <c r="J585">
        <v>4</v>
      </c>
    </row>
    <row r="586" spans="1:10" x14ac:dyDescent="0.3">
      <c r="A586" t="s">
        <v>10</v>
      </c>
      <c r="B586">
        <v>45765</v>
      </c>
      <c r="C586" t="s">
        <v>20</v>
      </c>
      <c r="D586" t="s">
        <v>20</v>
      </c>
      <c r="E586" t="s">
        <v>30</v>
      </c>
      <c r="F586">
        <v>215</v>
      </c>
      <c r="G586">
        <v>5</v>
      </c>
      <c r="H586">
        <v>20</v>
      </c>
      <c r="I586" t="s">
        <v>35</v>
      </c>
      <c r="J586">
        <v>3</v>
      </c>
    </row>
    <row r="587" spans="1:10" x14ac:dyDescent="0.3">
      <c r="A587" t="s">
        <v>11</v>
      </c>
      <c r="B587">
        <v>45746</v>
      </c>
      <c r="C587" t="s">
        <v>15</v>
      </c>
      <c r="D587" t="s">
        <v>25</v>
      </c>
      <c r="E587" t="s">
        <v>32</v>
      </c>
      <c r="F587">
        <v>143</v>
      </c>
      <c r="G587">
        <v>1</v>
      </c>
      <c r="H587">
        <v>16</v>
      </c>
      <c r="I587" t="s">
        <v>35</v>
      </c>
      <c r="J587">
        <v>3</v>
      </c>
    </row>
    <row r="588" spans="1:10" x14ac:dyDescent="0.3">
      <c r="A588" t="s">
        <v>11</v>
      </c>
      <c r="B588">
        <v>45745</v>
      </c>
      <c r="C588" t="s">
        <v>20</v>
      </c>
      <c r="D588" t="s">
        <v>20</v>
      </c>
      <c r="E588" t="s">
        <v>32</v>
      </c>
      <c r="F588">
        <v>71</v>
      </c>
      <c r="G588">
        <v>4</v>
      </c>
      <c r="H588">
        <v>14</v>
      </c>
      <c r="I588" t="s">
        <v>34</v>
      </c>
      <c r="J588">
        <v>4</v>
      </c>
    </row>
    <row r="589" spans="1:10" x14ac:dyDescent="0.3">
      <c r="A589" t="s">
        <v>11</v>
      </c>
      <c r="B589">
        <v>45762</v>
      </c>
      <c r="C589" t="s">
        <v>19</v>
      </c>
      <c r="D589" t="s">
        <v>23</v>
      </c>
      <c r="E589" t="s">
        <v>32</v>
      </c>
      <c r="F589">
        <v>145</v>
      </c>
      <c r="G589">
        <v>3</v>
      </c>
      <c r="H589">
        <v>13</v>
      </c>
      <c r="I589" t="s">
        <v>33</v>
      </c>
      <c r="J589">
        <v>4</v>
      </c>
    </row>
    <row r="590" spans="1:10" x14ac:dyDescent="0.3">
      <c r="A590" t="s">
        <v>11</v>
      </c>
      <c r="B590">
        <v>45765</v>
      </c>
      <c r="C590" t="s">
        <v>16</v>
      </c>
      <c r="D590" t="s">
        <v>26</v>
      </c>
      <c r="E590" t="s">
        <v>29</v>
      </c>
      <c r="F590">
        <v>30</v>
      </c>
      <c r="G590">
        <v>3</v>
      </c>
      <c r="H590">
        <v>11</v>
      </c>
      <c r="I590" t="s">
        <v>33</v>
      </c>
      <c r="J590">
        <v>5</v>
      </c>
    </row>
    <row r="591" spans="1:10" x14ac:dyDescent="0.3">
      <c r="A591" t="s">
        <v>10</v>
      </c>
      <c r="B591">
        <v>45746</v>
      </c>
      <c r="C591" t="s">
        <v>12</v>
      </c>
      <c r="D591" t="s">
        <v>23</v>
      </c>
      <c r="E591" t="s">
        <v>30</v>
      </c>
      <c r="F591">
        <v>167</v>
      </c>
      <c r="G591">
        <v>1</v>
      </c>
      <c r="H591">
        <v>10</v>
      </c>
      <c r="I591" t="s">
        <v>34</v>
      </c>
      <c r="J591">
        <v>1</v>
      </c>
    </row>
    <row r="592" spans="1:10" x14ac:dyDescent="0.3">
      <c r="A592" t="s">
        <v>11</v>
      </c>
      <c r="B592">
        <v>45766</v>
      </c>
      <c r="C592" t="s">
        <v>14</v>
      </c>
      <c r="D592" t="s">
        <v>25</v>
      </c>
      <c r="E592" t="s">
        <v>29</v>
      </c>
      <c r="F592">
        <v>46</v>
      </c>
      <c r="G592">
        <v>5</v>
      </c>
      <c r="H592">
        <v>9</v>
      </c>
      <c r="I592" t="s">
        <v>33</v>
      </c>
    </row>
    <row r="593" spans="1:10" x14ac:dyDescent="0.3">
      <c r="A593" t="s">
        <v>11</v>
      </c>
      <c r="B593">
        <v>45747</v>
      </c>
      <c r="C593" t="s">
        <v>17</v>
      </c>
      <c r="D593" t="s">
        <v>24</v>
      </c>
      <c r="E593" t="s">
        <v>28</v>
      </c>
      <c r="F593">
        <v>250</v>
      </c>
      <c r="G593">
        <v>2</v>
      </c>
      <c r="H593">
        <v>16</v>
      </c>
      <c r="I593" t="s">
        <v>33</v>
      </c>
      <c r="J593">
        <v>3</v>
      </c>
    </row>
    <row r="594" spans="1:10" x14ac:dyDescent="0.3">
      <c r="A594" t="s">
        <v>11</v>
      </c>
      <c r="B594">
        <v>45759</v>
      </c>
      <c r="C594" t="s">
        <v>22</v>
      </c>
      <c r="D594" t="s">
        <v>25</v>
      </c>
      <c r="E594" t="s">
        <v>32</v>
      </c>
      <c r="F594">
        <v>92</v>
      </c>
      <c r="G594">
        <v>2</v>
      </c>
      <c r="H594">
        <v>10</v>
      </c>
      <c r="I594" t="s">
        <v>34</v>
      </c>
    </row>
    <row r="595" spans="1:10" x14ac:dyDescent="0.3">
      <c r="A595" t="s">
        <v>11</v>
      </c>
      <c r="B595">
        <v>45755</v>
      </c>
      <c r="C595" t="s">
        <v>14</v>
      </c>
      <c r="D595" t="s">
        <v>25</v>
      </c>
      <c r="E595" t="s">
        <v>28</v>
      </c>
      <c r="F595">
        <v>157</v>
      </c>
      <c r="G595">
        <v>1</v>
      </c>
      <c r="H595">
        <v>13</v>
      </c>
      <c r="I595" t="s">
        <v>35</v>
      </c>
      <c r="J595">
        <v>1</v>
      </c>
    </row>
    <row r="596" spans="1:10" x14ac:dyDescent="0.3">
      <c r="A596" t="s">
        <v>11</v>
      </c>
      <c r="B596">
        <v>45765</v>
      </c>
      <c r="C596" t="s">
        <v>15</v>
      </c>
      <c r="D596" t="s">
        <v>25</v>
      </c>
      <c r="E596" t="s">
        <v>31</v>
      </c>
      <c r="F596">
        <v>98</v>
      </c>
      <c r="G596">
        <v>3</v>
      </c>
      <c r="H596">
        <v>13</v>
      </c>
      <c r="I596" t="s">
        <v>34</v>
      </c>
      <c r="J596">
        <v>2</v>
      </c>
    </row>
    <row r="597" spans="1:10" x14ac:dyDescent="0.3">
      <c r="A597" t="s">
        <v>10</v>
      </c>
      <c r="B597">
        <v>45744</v>
      </c>
      <c r="C597" t="s">
        <v>20</v>
      </c>
      <c r="D597" t="s">
        <v>20</v>
      </c>
      <c r="E597" t="s">
        <v>32</v>
      </c>
      <c r="F597">
        <v>114</v>
      </c>
      <c r="G597">
        <v>4</v>
      </c>
      <c r="H597">
        <v>14</v>
      </c>
      <c r="I597" t="s">
        <v>34</v>
      </c>
      <c r="J597">
        <v>4</v>
      </c>
    </row>
    <row r="598" spans="1:10" x14ac:dyDescent="0.3">
      <c r="A598" t="s">
        <v>10</v>
      </c>
      <c r="B598">
        <v>45764</v>
      </c>
      <c r="C598" t="s">
        <v>13</v>
      </c>
      <c r="D598" t="s">
        <v>24</v>
      </c>
      <c r="E598" t="s">
        <v>31</v>
      </c>
      <c r="F598">
        <v>125</v>
      </c>
      <c r="G598">
        <v>3</v>
      </c>
      <c r="H598">
        <v>11</v>
      </c>
      <c r="I598" t="s">
        <v>34</v>
      </c>
    </row>
    <row r="599" spans="1:10" x14ac:dyDescent="0.3">
      <c r="A599" t="s">
        <v>11</v>
      </c>
      <c r="B599">
        <v>45768</v>
      </c>
      <c r="C599" t="s">
        <v>12</v>
      </c>
      <c r="D599" t="s">
        <v>23</v>
      </c>
      <c r="E599" t="s">
        <v>29</v>
      </c>
      <c r="F599">
        <v>213</v>
      </c>
      <c r="G599">
        <v>3</v>
      </c>
      <c r="H599">
        <v>10</v>
      </c>
      <c r="I599" t="s">
        <v>34</v>
      </c>
      <c r="J599">
        <v>5</v>
      </c>
    </row>
    <row r="600" spans="1:10" x14ac:dyDescent="0.3">
      <c r="A600" t="s">
        <v>11</v>
      </c>
      <c r="B600">
        <v>45758</v>
      </c>
      <c r="C600" t="s">
        <v>18</v>
      </c>
      <c r="D600" t="s">
        <v>27</v>
      </c>
      <c r="E600" t="s">
        <v>30</v>
      </c>
      <c r="F600">
        <v>126</v>
      </c>
      <c r="G600">
        <v>5</v>
      </c>
      <c r="H600">
        <v>14</v>
      </c>
      <c r="I600" t="s">
        <v>35</v>
      </c>
      <c r="J600">
        <v>1</v>
      </c>
    </row>
    <row r="601" spans="1:10" x14ac:dyDescent="0.3">
      <c r="A601" t="s">
        <v>11</v>
      </c>
      <c r="B601">
        <v>45755</v>
      </c>
      <c r="C601" t="s">
        <v>18</v>
      </c>
      <c r="D601" t="s">
        <v>27</v>
      </c>
      <c r="E601" t="s">
        <v>28</v>
      </c>
      <c r="F601">
        <v>227</v>
      </c>
      <c r="G601">
        <v>3</v>
      </c>
      <c r="H601">
        <v>10</v>
      </c>
      <c r="I601" t="s">
        <v>35</v>
      </c>
      <c r="J601">
        <v>3</v>
      </c>
    </row>
    <row r="602" spans="1:10" x14ac:dyDescent="0.3">
      <c r="A602" t="s">
        <v>10</v>
      </c>
      <c r="B602">
        <v>45751</v>
      </c>
      <c r="C602" t="s">
        <v>18</v>
      </c>
      <c r="D602" t="s">
        <v>27</v>
      </c>
      <c r="E602" t="s">
        <v>30</v>
      </c>
      <c r="F602">
        <v>229</v>
      </c>
      <c r="G602">
        <v>3</v>
      </c>
      <c r="H602">
        <v>21</v>
      </c>
      <c r="I602" t="s">
        <v>34</v>
      </c>
      <c r="J602">
        <v>4</v>
      </c>
    </row>
    <row r="603" spans="1:10" x14ac:dyDescent="0.3">
      <c r="A603" t="s">
        <v>11</v>
      </c>
      <c r="B603">
        <v>45748</v>
      </c>
      <c r="C603" t="s">
        <v>14</v>
      </c>
      <c r="D603" t="s">
        <v>25</v>
      </c>
      <c r="E603" t="s">
        <v>30</v>
      </c>
      <c r="F603">
        <v>205</v>
      </c>
      <c r="G603">
        <v>5</v>
      </c>
      <c r="H603">
        <v>15</v>
      </c>
      <c r="I603" t="s">
        <v>34</v>
      </c>
      <c r="J603">
        <v>1</v>
      </c>
    </row>
    <row r="604" spans="1:10" x14ac:dyDescent="0.3">
      <c r="A604" t="s">
        <v>10</v>
      </c>
      <c r="B604">
        <v>45749</v>
      </c>
      <c r="C604" t="s">
        <v>19</v>
      </c>
      <c r="D604" t="s">
        <v>23</v>
      </c>
      <c r="E604" t="s">
        <v>28</v>
      </c>
      <c r="F604">
        <v>193</v>
      </c>
      <c r="G604">
        <v>4</v>
      </c>
      <c r="H604">
        <v>18</v>
      </c>
      <c r="I604" t="s">
        <v>35</v>
      </c>
      <c r="J604">
        <v>2</v>
      </c>
    </row>
    <row r="605" spans="1:10" x14ac:dyDescent="0.3">
      <c r="A605" t="s">
        <v>10</v>
      </c>
      <c r="B605">
        <v>45764</v>
      </c>
      <c r="C605" t="s">
        <v>16</v>
      </c>
      <c r="D605" t="s">
        <v>26</v>
      </c>
      <c r="E605" t="s">
        <v>29</v>
      </c>
      <c r="F605">
        <v>63</v>
      </c>
      <c r="G605">
        <v>2</v>
      </c>
      <c r="H605">
        <v>23</v>
      </c>
      <c r="I605" t="s">
        <v>33</v>
      </c>
      <c r="J605">
        <v>4</v>
      </c>
    </row>
    <row r="606" spans="1:10" x14ac:dyDescent="0.3">
      <c r="A606" t="s">
        <v>11</v>
      </c>
      <c r="B606">
        <v>45747</v>
      </c>
      <c r="C606" t="s">
        <v>16</v>
      </c>
      <c r="D606" t="s">
        <v>26</v>
      </c>
      <c r="E606" t="s">
        <v>29</v>
      </c>
      <c r="F606">
        <v>200</v>
      </c>
      <c r="G606">
        <v>4</v>
      </c>
      <c r="H606">
        <v>14</v>
      </c>
      <c r="I606" t="s">
        <v>33</v>
      </c>
      <c r="J606">
        <v>4</v>
      </c>
    </row>
    <row r="607" spans="1:10" x14ac:dyDescent="0.3">
      <c r="A607" t="s">
        <v>11</v>
      </c>
      <c r="B607">
        <v>45747</v>
      </c>
      <c r="C607" t="s">
        <v>13</v>
      </c>
      <c r="D607" t="s">
        <v>24</v>
      </c>
      <c r="E607" t="s">
        <v>29</v>
      </c>
      <c r="F607">
        <v>241</v>
      </c>
      <c r="G607">
        <v>2</v>
      </c>
      <c r="H607">
        <v>11</v>
      </c>
      <c r="I607" t="s">
        <v>34</v>
      </c>
      <c r="J607">
        <v>4</v>
      </c>
    </row>
    <row r="608" spans="1:10" x14ac:dyDescent="0.3">
      <c r="A608" t="s">
        <v>10</v>
      </c>
      <c r="B608">
        <v>45748</v>
      </c>
      <c r="C608" t="s">
        <v>21</v>
      </c>
      <c r="D608" t="s">
        <v>26</v>
      </c>
      <c r="E608" t="s">
        <v>32</v>
      </c>
      <c r="F608">
        <v>50</v>
      </c>
      <c r="G608">
        <v>5</v>
      </c>
      <c r="H608">
        <v>13</v>
      </c>
      <c r="I608" t="s">
        <v>34</v>
      </c>
    </row>
    <row r="609" spans="1:10" x14ac:dyDescent="0.3">
      <c r="A609" t="s">
        <v>10</v>
      </c>
      <c r="B609">
        <v>45763</v>
      </c>
      <c r="C609" t="s">
        <v>14</v>
      </c>
      <c r="D609" t="s">
        <v>25</v>
      </c>
      <c r="E609" t="s">
        <v>32</v>
      </c>
      <c r="F609">
        <v>146</v>
      </c>
      <c r="G609">
        <v>4</v>
      </c>
      <c r="H609">
        <v>17</v>
      </c>
      <c r="I609" t="s">
        <v>35</v>
      </c>
      <c r="J609">
        <v>5</v>
      </c>
    </row>
    <row r="610" spans="1:10" x14ac:dyDescent="0.3">
      <c r="A610" t="s">
        <v>11</v>
      </c>
      <c r="B610">
        <v>45765</v>
      </c>
      <c r="C610" t="s">
        <v>15</v>
      </c>
      <c r="D610" t="s">
        <v>25</v>
      </c>
      <c r="E610" t="s">
        <v>29</v>
      </c>
      <c r="F610">
        <v>130</v>
      </c>
      <c r="G610">
        <v>3</v>
      </c>
      <c r="H610">
        <v>11</v>
      </c>
      <c r="I610" t="s">
        <v>33</v>
      </c>
      <c r="J610">
        <v>3</v>
      </c>
    </row>
    <row r="611" spans="1:10" x14ac:dyDescent="0.3">
      <c r="A611" t="s">
        <v>10</v>
      </c>
      <c r="B611">
        <v>45747</v>
      </c>
      <c r="C611" t="s">
        <v>14</v>
      </c>
      <c r="D611" t="s">
        <v>25</v>
      </c>
      <c r="E611" t="s">
        <v>29</v>
      </c>
      <c r="F611">
        <v>137</v>
      </c>
      <c r="G611">
        <v>1</v>
      </c>
      <c r="H611">
        <v>14</v>
      </c>
      <c r="I611" t="s">
        <v>34</v>
      </c>
      <c r="J611">
        <v>1</v>
      </c>
    </row>
    <row r="612" spans="1:10" x14ac:dyDescent="0.3">
      <c r="A612" t="s">
        <v>10</v>
      </c>
      <c r="B612">
        <v>45751</v>
      </c>
      <c r="C612" t="s">
        <v>18</v>
      </c>
      <c r="D612" t="s">
        <v>27</v>
      </c>
      <c r="E612" t="s">
        <v>29</v>
      </c>
      <c r="F612">
        <v>139</v>
      </c>
      <c r="G612">
        <v>5</v>
      </c>
      <c r="H612">
        <v>14</v>
      </c>
      <c r="I612" t="s">
        <v>35</v>
      </c>
      <c r="J612">
        <v>1</v>
      </c>
    </row>
    <row r="613" spans="1:10" x14ac:dyDescent="0.3">
      <c r="A613" t="s">
        <v>10</v>
      </c>
      <c r="B613">
        <v>45742</v>
      </c>
      <c r="C613" t="s">
        <v>18</v>
      </c>
      <c r="D613" t="s">
        <v>27</v>
      </c>
      <c r="E613" t="s">
        <v>31</v>
      </c>
      <c r="F613">
        <v>239</v>
      </c>
      <c r="G613">
        <v>2</v>
      </c>
      <c r="H613">
        <v>14</v>
      </c>
      <c r="I613" t="s">
        <v>33</v>
      </c>
      <c r="J613">
        <v>4</v>
      </c>
    </row>
    <row r="614" spans="1:10" x14ac:dyDescent="0.3">
      <c r="A614" t="s">
        <v>11</v>
      </c>
      <c r="B614">
        <v>45741</v>
      </c>
      <c r="C614" t="s">
        <v>14</v>
      </c>
      <c r="D614" t="s">
        <v>25</v>
      </c>
      <c r="E614" t="s">
        <v>28</v>
      </c>
      <c r="F614">
        <v>150</v>
      </c>
      <c r="G614">
        <v>2</v>
      </c>
      <c r="H614">
        <v>11</v>
      </c>
      <c r="I614" t="s">
        <v>35</v>
      </c>
      <c r="J614">
        <v>4</v>
      </c>
    </row>
    <row r="615" spans="1:10" x14ac:dyDescent="0.3">
      <c r="A615" t="s">
        <v>11</v>
      </c>
      <c r="B615">
        <v>45768</v>
      </c>
      <c r="C615" t="s">
        <v>22</v>
      </c>
      <c r="D615" t="s">
        <v>25</v>
      </c>
      <c r="E615" t="s">
        <v>28</v>
      </c>
      <c r="F615">
        <v>141</v>
      </c>
      <c r="G615">
        <v>2</v>
      </c>
      <c r="H615">
        <v>7</v>
      </c>
      <c r="I615" t="s">
        <v>33</v>
      </c>
      <c r="J615">
        <v>2</v>
      </c>
    </row>
    <row r="616" spans="1:10" x14ac:dyDescent="0.3">
      <c r="A616" t="s">
        <v>11</v>
      </c>
      <c r="B616">
        <v>45751</v>
      </c>
      <c r="C616" t="s">
        <v>12</v>
      </c>
      <c r="D616" t="s">
        <v>23</v>
      </c>
      <c r="E616" t="s">
        <v>31</v>
      </c>
      <c r="F616">
        <v>176</v>
      </c>
      <c r="G616">
        <v>4</v>
      </c>
      <c r="H616">
        <v>10</v>
      </c>
      <c r="I616" t="s">
        <v>35</v>
      </c>
      <c r="J616">
        <v>3</v>
      </c>
    </row>
    <row r="617" spans="1:10" x14ac:dyDescent="0.3">
      <c r="A617" t="s">
        <v>11</v>
      </c>
      <c r="B617">
        <v>45766</v>
      </c>
      <c r="C617" t="s">
        <v>15</v>
      </c>
      <c r="D617" t="s">
        <v>25</v>
      </c>
      <c r="E617" t="s">
        <v>28</v>
      </c>
      <c r="F617">
        <v>168</v>
      </c>
      <c r="G617">
        <v>1</v>
      </c>
      <c r="H617">
        <v>13</v>
      </c>
      <c r="I617" t="s">
        <v>35</v>
      </c>
      <c r="J617">
        <v>2</v>
      </c>
    </row>
    <row r="618" spans="1:10" x14ac:dyDescent="0.3">
      <c r="A618" t="s">
        <v>10</v>
      </c>
      <c r="B618">
        <v>45749</v>
      </c>
      <c r="C618" t="s">
        <v>13</v>
      </c>
      <c r="D618" t="s">
        <v>24</v>
      </c>
      <c r="E618" t="s">
        <v>29</v>
      </c>
      <c r="F618">
        <v>86</v>
      </c>
      <c r="G618">
        <v>4</v>
      </c>
      <c r="H618">
        <v>14</v>
      </c>
      <c r="I618" t="s">
        <v>35</v>
      </c>
      <c r="J618">
        <v>1</v>
      </c>
    </row>
    <row r="619" spans="1:10" x14ac:dyDescent="0.3">
      <c r="A619" t="s">
        <v>11</v>
      </c>
      <c r="B619">
        <v>45741</v>
      </c>
      <c r="C619" t="s">
        <v>18</v>
      </c>
      <c r="D619" t="s">
        <v>27</v>
      </c>
      <c r="E619" t="s">
        <v>29</v>
      </c>
      <c r="F619">
        <v>123</v>
      </c>
      <c r="G619">
        <v>3</v>
      </c>
      <c r="H619">
        <v>20</v>
      </c>
      <c r="I619" t="s">
        <v>35</v>
      </c>
    </row>
    <row r="620" spans="1:10" x14ac:dyDescent="0.3">
      <c r="A620" t="s">
        <v>11</v>
      </c>
      <c r="B620">
        <v>45755</v>
      </c>
      <c r="C620" t="s">
        <v>15</v>
      </c>
      <c r="D620" t="s">
        <v>25</v>
      </c>
      <c r="E620" t="s">
        <v>30</v>
      </c>
      <c r="F620">
        <v>143</v>
      </c>
      <c r="G620">
        <v>3</v>
      </c>
      <c r="H620">
        <v>16</v>
      </c>
      <c r="I620" t="s">
        <v>33</v>
      </c>
      <c r="J620">
        <v>5</v>
      </c>
    </row>
    <row r="621" spans="1:10" x14ac:dyDescent="0.3">
      <c r="A621" t="s">
        <v>11</v>
      </c>
      <c r="B621">
        <v>45766</v>
      </c>
      <c r="C621" t="s">
        <v>15</v>
      </c>
      <c r="D621" t="s">
        <v>25</v>
      </c>
      <c r="E621" t="s">
        <v>28</v>
      </c>
      <c r="F621">
        <v>155</v>
      </c>
      <c r="G621">
        <v>1</v>
      </c>
      <c r="H621">
        <v>16</v>
      </c>
      <c r="I621" t="s">
        <v>35</v>
      </c>
      <c r="J621">
        <v>1</v>
      </c>
    </row>
    <row r="622" spans="1:10" x14ac:dyDescent="0.3">
      <c r="A622" t="s">
        <v>11</v>
      </c>
      <c r="B622">
        <v>45762</v>
      </c>
      <c r="C622" t="s">
        <v>16</v>
      </c>
      <c r="D622" t="s">
        <v>26</v>
      </c>
      <c r="E622" t="s">
        <v>29</v>
      </c>
      <c r="F622">
        <v>117</v>
      </c>
      <c r="G622">
        <v>3</v>
      </c>
      <c r="H622">
        <v>16</v>
      </c>
      <c r="I622" t="s">
        <v>33</v>
      </c>
      <c r="J622">
        <v>3</v>
      </c>
    </row>
    <row r="623" spans="1:10" x14ac:dyDescent="0.3">
      <c r="A623" t="s">
        <v>11</v>
      </c>
      <c r="B623">
        <v>45746</v>
      </c>
      <c r="C623" t="s">
        <v>15</v>
      </c>
      <c r="D623" t="s">
        <v>25</v>
      </c>
      <c r="E623" t="s">
        <v>28</v>
      </c>
      <c r="F623">
        <v>163</v>
      </c>
      <c r="G623">
        <v>3</v>
      </c>
      <c r="H623">
        <v>7</v>
      </c>
      <c r="I623" t="s">
        <v>33</v>
      </c>
      <c r="J623">
        <v>5</v>
      </c>
    </row>
    <row r="624" spans="1:10" x14ac:dyDescent="0.3">
      <c r="A624" t="s">
        <v>11</v>
      </c>
      <c r="B624">
        <v>45753</v>
      </c>
      <c r="C624" t="s">
        <v>22</v>
      </c>
      <c r="D624" t="s">
        <v>25</v>
      </c>
      <c r="E624" t="s">
        <v>30</v>
      </c>
      <c r="F624">
        <v>236</v>
      </c>
      <c r="G624">
        <v>4</v>
      </c>
      <c r="H624">
        <v>19</v>
      </c>
      <c r="I624" t="s">
        <v>34</v>
      </c>
      <c r="J624">
        <v>2</v>
      </c>
    </row>
    <row r="625" spans="1:10" x14ac:dyDescent="0.3">
      <c r="A625" t="s">
        <v>10</v>
      </c>
      <c r="B625">
        <v>45765</v>
      </c>
      <c r="C625" t="s">
        <v>21</v>
      </c>
      <c r="D625" t="s">
        <v>26</v>
      </c>
      <c r="E625" t="s">
        <v>29</v>
      </c>
      <c r="F625">
        <v>54</v>
      </c>
      <c r="G625">
        <v>4</v>
      </c>
      <c r="H625">
        <v>14</v>
      </c>
      <c r="I625" t="s">
        <v>34</v>
      </c>
      <c r="J625">
        <v>1</v>
      </c>
    </row>
    <row r="626" spans="1:10" x14ac:dyDescent="0.3">
      <c r="A626" t="s">
        <v>11</v>
      </c>
      <c r="B626">
        <v>45760</v>
      </c>
      <c r="C626" t="s">
        <v>16</v>
      </c>
      <c r="D626" t="s">
        <v>26</v>
      </c>
      <c r="E626" t="s">
        <v>28</v>
      </c>
      <c r="F626">
        <v>148</v>
      </c>
      <c r="G626">
        <v>5</v>
      </c>
      <c r="H626">
        <v>18</v>
      </c>
      <c r="I626" t="s">
        <v>34</v>
      </c>
      <c r="J626">
        <v>3</v>
      </c>
    </row>
    <row r="627" spans="1:10" x14ac:dyDescent="0.3">
      <c r="A627" t="s">
        <v>11</v>
      </c>
      <c r="B627">
        <v>45747</v>
      </c>
      <c r="C627" t="s">
        <v>17</v>
      </c>
      <c r="D627" t="s">
        <v>24</v>
      </c>
      <c r="E627" t="s">
        <v>29</v>
      </c>
      <c r="F627">
        <v>192</v>
      </c>
      <c r="G627">
        <v>2</v>
      </c>
      <c r="H627">
        <v>7</v>
      </c>
      <c r="I627" t="s">
        <v>33</v>
      </c>
      <c r="J627">
        <v>2</v>
      </c>
    </row>
    <row r="628" spans="1:10" x14ac:dyDescent="0.3">
      <c r="A628" t="s">
        <v>11</v>
      </c>
      <c r="B628">
        <v>45758</v>
      </c>
      <c r="C628" t="s">
        <v>15</v>
      </c>
      <c r="D628" t="s">
        <v>25</v>
      </c>
      <c r="E628" t="s">
        <v>29</v>
      </c>
      <c r="F628">
        <v>166</v>
      </c>
      <c r="G628">
        <v>1</v>
      </c>
      <c r="H628">
        <v>15</v>
      </c>
      <c r="I628" t="s">
        <v>34</v>
      </c>
      <c r="J628">
        <v>2</v>
      </c>
    </row>
    <row r="629" spans="1:10" x14ac:dyDescent="0.3">
      <c r="A629" t="s">
        <v>10</v>
      </c>
      <c r="B629">
        <v>45748</v>
      </c>
      <c r="C629" t="s">
        <v>12</v>
      </c>
      <c r="D629" t="s">
        <v>23</v>
      </c>
      <c r="E629" t="s">
        <v>30</v>
      </c>
      <c r="F629">
        <v>144</v>
      </c>
      <c r="G629">
        <v>2</v>
      </c>
      <c r="H629">
        <v>23</v>
      </c>
      <c r="I629" t="s">
        <v>33</v>
      </c>
    </row>
    <row r="630" spans="1:10" x14ac:dyDescent="0.3">
      <c r="A630" t="s">
        <v>10</v>
      </c>
      <c r="B630">
        <v>45739</v>
      </c>
      <c r="C630" t="s">
        <v>14</v>
      </c>
      <c r="D630" t="s">
        <v>25</v>
      </c>
      <c r="E630" t="s">
        <v>32</v>
      </c>
      <c r="F630">
        <v>101</v>
      </c>
      <c r="G630">
        <v>2</v>
      </c>
      <c r="H630">
        <v>25</v>
      </c>
      <c r="I630" t="s">
        <v>35</v>
      </c>
      <c r="J630">
        <v>3</v>
      </c>
    </row>
    <row r="631" spans="1:10" x14ac:dyDescent="0.3">
      <c r="A631" t="s">
        <v>10</v>
      </c>
      <c r="B631">
        <v>45759</v>
      </c>
      <c r="C631" t="s">
        <v>18</v>
      </c>
      <c r="D631" t="s">
        <v>27</v>
      </c>
      <c r="E631" t="s">
        <v>30</v>
      </c>
      <c r="F631">
        <v>66</v>
      </c>
      <c r="G631">
        <v>1</v>
      </c>
      <c r="H631">
        <v>23</v>
      </c>
      <c r="I631" t="s">
        <v>35</v>
      </c>
      <c r="J631">
        <v>2</v>
      </c>
    </row>
    <row r="632" spans="1:10" x14ac:dyDescent="0.3">
      <c r="A632" t="s">
        <v>10</v>
      </c>
      <c r="B632">
        <v>45739</v>
      </c>
      <c r="C632" t="s">
        <v>14</v>
      </c>
      <c r="D632" t="s">
        <v>25</v>
      </c>
      <c r="E632" t="s">
        <v>32</v>
      </c>
      <c r="F632">
        <v>131</v>
      </c>
      <c r="G632">
        <v>2</v>
      </c>
      <c r="H632">
        <v>16</v>
      </c>
      <c r="I632" t="s">
        <v>34</v>
      </c>
      <c r="J632">
        <v>3</v>
      </c>
    </row>
    <row r="633" spans="1:10" x14ac:dyDescent="0.3">
      <c r="A633" t="s">
        <v>10</v>
      </c>
      <c r="B633">
        <v>45756</v>
      </c>
      <c r="C633" t="s">
        <v>15</v>
      </c>
      <c r="D633" t="s">
        <v>25</v>
      </c>
      <c r="E633" t="s">
        <v>29</v>
      </c>
      <c r="F633">
        <v>38</v>
      </c>
      <c r="G633">
        <v>4</v>
      </c>
      <c r="H633">
        <v>10</v>
      </c>
      <c r="I633" t="s">
        <v>35</v>
      </c>
    </row>
    <row r="634" spans="1:10" x14ac:dyDescent="0.3">
      <c r="A634" t="s">
        <v>10</v>
      </c>
      <c r="B634">
        <v>45768</v>
      </c>
      <c r="C634" t="s">
        <v>18</v>
      </c>
      <c r="D634" t="s">
        <v>27</v>
      </c>
      <c r="E634" t="s">
        <v>30</v>
      </c>
      <c r="F634">
        <v>171</v>
      </c>
      <c r="G634">
        <v>2</v>
      </c>
      <c r="H634">
        <v>11</v>
      </c>
      <c r="I634" t="s">
        <v>34</v>
      </c>
      <c r="J634">
        <v>2</v>
      </c>
    </row>
    <row r="635" spans="1:10" x14ac:dyDescent="0.3">
      <c r="A635" t="s">
        <v>10</v>
      </c>
      <c r="B635">
        <v>45759</v>
      </c>
      <c r="C635" t="s">
        <v>17</v>
      </c>
      <c r="D635" t="s">
        <v>24</v>
      </c>
      <c r="E635" t="s">
        <v>28</v>
      </c>
      <c r="F635">
        <v>247</v>
      </c>
      <c r="G635">
        <v>3</v>
      </c>
      <c r="H635">
        <v>10</v>
      </c>
      <c r="I635" t="s">
        <v>34</v>
      </c>
      <c r="J635">
        <v>4</v>
      </c>
    </row>
    <row r="636" spans="1:10" x14ac:dyDescent="0.3">
      <c r="A636" t="s">
        <v>11</v>
      </c>
      <c r="B636">
        <v>45757</v>
      </c>
      <c r="C636" t="s">
        <v>20</v>
      </c>
      <c r="D636" t="s">
        <v>20</v>
      </c>
      <c r="E636" t="s">
        <v>31</v>
      </c>
      <c r="F636">
        <v>157</v>
      </c>
      <c r="G636">
        <v>2</v>
      </c>
      <c r="H636">
        <v>12</v>
      </c>
      <c r="I636" t="s">
        <v>35</v>
      </c>
      <c r="J636">
        <v>4</v>
      </c>
    </row>
    <row r="637" spans="1:10" x14ac:dyDescent="0.3">
      <c r="A637" t="s">
        <v>11</v>
      </c>
      <c r="B637">
        <v>45761</v>
      </c>
      <c r="C637" t="s">
        <v>14</v>
      </c>
      <c r="D637" t="s">
        <v>25</v>
      </c>
      <c r="E637" t="s">
        <v>29</v>
      </c>
      <c r="F637">
        <v>141</v>
      </c>
      <c r="G637">
        <v>2</v>
      </c>
      <c r="H637">
        <v>17</v>
      </c>
      <c r="I637" t="s">
        <v>33</v>
      </c>
      <c r="J637">
        <v>1</v>
      </c>
    </row>
    <row r="638" spans="1:10" x14ac:dyDescent="0.3">
      <c r="A638" t="s">
        <v>11</v>
      </c>
      <c r="B638">
        <v>45743</v>
      </c>
      <c r="C638" t="s">
        <v>22</v>
      </c>
      <c r="D638" t="s">
        <v>25</v>
      </c>
      <c r="E638" t="s">
        <v>29</v>
      </c>
      <c r="F638">
        <v>203</v>
      </c>
      <c r="G638">
        <v>4</v>
      </c>
      <c r="H638">
        <v>18</v>
      </c>
      <c r="I638" t="s">
        <v>33</v>
      </c>
      <c r="J638">
        <v>2</v>
      </c>
    </row>
    <row r="639" spans="1:10" x14ac:dyDescent="0.3">
      <c r="A639" t="s">
        <v>11</v>
      </c>
      <c r="B639">
        <v>45752</v>
      </c>
      <c r="C639" t="s">
        <v>15</v>
      </c>
      <c r="D639" t="s">
        <v>25</v>
      </c>
      <c r="E639" t="s">
        <v>29</v>
      </c>
      <c r="F639">
        <v>55</v>
      </c>
      <c r="G639">
        <v>3</v>
      </c>
      <c r="H639">
        <v>10</v>
      </c>
      <c r="I639" t="s">
        <v>34</v>
      </c>
      <c r="J639">
        <v>2</v>
      </c>
    </row>
    <row r="640" spans="1:10" x14ac:dyDescent="0.3">
      <c r="A640" t="s">
        <v>11</v>
      </c>
      <c r="B640">
        <v>45765</v>
      </c>
      <c r="C640" t="s">
        <v>22</v>
      </c>
      <c r="D640" t="s">
        <v>25</v>
      </c>
      <c r="E640" t="s">
        <v>32</v>
      </c>
      <c r="F640">
        <v>78</v>
      </c>
      <c r="G640">
        <v>2</v>
      </c>
      <c r="H640">
        <v>19</v>
      </c>
      <c r="I640" t="s">
        <v>33</v>
      </c>
      <c r="J640">
        <v>5</v>
      </c>
    </row>
    <row r="641" spans="1:10" x14ac:dyDescent="0.3">
      <c r="A641" t="s">
        <v>11</v>
      </c>
      <c r="B641">
        <v>45750</v>
      </c>
      <c r="C641" t="s">
        <v>14</v>
      </c>
      <c r="D641" t="s">
        <v>25</v>
      </c>
      <c r="E641" t="s">
        <v>32</v>
      </c>
      <c r="F641">
        <v>81</v>
      </c>
      <c r="G641">
        <v>2</v>
      </c>
      <c r="H641">
        <v>9</v>
      </c>
      <c r="I641" t="s">
        <v>34</v>
      </c>
      <c r="J641">
        <v>3</v>
      </c>
    </row>
    <row r="642" spans="1:10" x14ac:dyDescent="0.3">
      <c r="A642" t="s">
        <v>11</v>
      </c>
      <c r="B642">
        <v>45743</v>
      </c>
      <c r="C642" t="s">
        <v>16</v>
      </c>
      <c r="D642" t="s">
        <v>26</v>
      </c>
      <c r="E642" t="s">
        <v>31</v>
      </c>
      <c r="F642">
        <v>46</v>
      </c>
      <c r="G642">
        <v>3</v>
      </c>
      <c r="H642">
        <v>7</v>
      </c>
      <c r="I642" t="s">
        <v>33</v>
      </c>
    </row>
    <row r="643" spans="1:10" x14ac:dyDescent="0.3">
      <c r="A643" t="s">
        <v>10</v>
      </c>
      <c r="B643">
        <v>45765</v>
      </c>
      <c r="C643" t="s">
        <v>18</v>
      </c>
      <c r="D643" t="s">
        <v>27</v>
      </c>
      <c r="E643" t="s">
        <v>32</v>
      </c>
      <c r="F643">
        <v>172</v>
      </c>
      <c r="G643">
        <v>2</v>
      </c>
      <c r="H643">
        <v>25</v>
      </c>
      <c r="I643" t="s">
        <v>35</v>
      </c>
      <c r="J643">
        <v>3</v>
      </c>
    </row>
    <row r="644" spans="1:10" x14ac:dyDescent="0.3">
      <c r="A644" t="s">
        <v>10</v>
      </c>
      <c r="B644">
        <v>45756</v>
      </c>
      <c r="C644" t="s">
        <v>20</v>
      </c>
      <c r="D644" t="s">
        <v>20</v>
      </c>
      <c r="E644" t="s">
        <v>31</v>
      </c>
      <c r="F644">
        <v>131</v>
      </c>
      <c r="G644">
        <v>5</v>
      </c>
      <c r="H644">
        <v>13</v>
      </c>
      <c r="I644" t="s">
        <v>34</v>
      </c>
    </row>
    <row r="645" spans="1:10" x14ac:dyDescent="0.3">
      <c r="A645" t="s">
        <v>10</v>
      </c>
      <c r="B645">
        <v>45746</v>
      </c>
      <c r="C645" t="s">
        <v>17</v>
      </c>
      <c r="D645" t="s">
        <v>24</v>
      </c>
      <c r="E645" t="s">
        <v>28</v>
      </c>
      <c r="F645">
        <v>71</v>
      </c>
      <c r="G645">
        <v>3</v>
      </c>
      <c r="H645">
        <v>13</v>
      </c>
      <c r="I645" t="s">
        <v>33</v>
      </c>
      <c r="J645">
        <v>3</v>
      </c>
    </row>
    <row r="646" spans="1:10" x14ac:dyDescent="0.3">
      <c r="A646" t="s">
        <v>11</v>
      </c>
      <c r="B646">
        <v>45759</v>
      </c>
      <c r="C646" t="s">
        <v>17</v>
      </c>
      <c r="D646" t="s">
        <v>24</v>
      </c>
      <c r="E646" t="s">
        <v>32</v>
      </c>
      <c r="F646">
        <v>159</v>
      </c>
      <c r="G646">
        <v>2</v>
      </c>
      <c r="H646">
        <v>19</v>
      </c>
      <c r="I646" t="s">
        <v>33</v>
      </c>
      <c r="J646">
        <v>4</v>
      </c>
    </row>
    <row r="647" spans="1:10" x14ac:dyDescent="0.3">
      <c r="A647" t="s">
        <v>11</v>
      </c>
      <c r="B647">
        <v>45753</v>
      </c>
      <c r="C647" t="s">
        <v>19</v>
      </c>
      <c r="D647" t="s">
        <v>23</v>
      </c>
      <c r="E647" t="s">
        <v>30</v>
      </c>
      <c r="F647">
        <v>223</v>
      </c>
      <c r="G647">
        <v>3</v>
      </c>
      <c r="H647">
        <v>20</v>
      </c>
      <c r="I647" t="s">
        <v>34</v>
      </c>
      <c r="J647">
        <v>4</v>
      </c>
    </row>
    <row r="648" spans="1:10" x14ac:dyDescent="0.3">
      <c r="A648" t="s">
        <v>10</v>
      </c>
      <c r="B648">
        <v>45758</v>
      </c>
      <c r="C648" t="s">
        <v>17</v>
      </c>
      <c r="D648" t="s">
        <v>24</v>
      </c>
      <c r="E648" t="s">
        <v>29</v>
      </c>
      <c r="F648">
        <v>179</v>
      </c>
      <c r="G648">
        <v>3</v>
      </c>
      <c r="H648">
        <v>17</v>
      </c>
      <c r="I648" t="s">
        <v>35</v>
      </c>
      <c r="J648">
        <v>1</v>
      </c>
    </row>
    <row r="649" spans="1:10" x14ac:dyDescent="0.3">
      <c r="A649" t="s">
        <v>10</v>
      </c>
      <c r="B649">
        <v>45741</v>
      </c>
      <c r="C649" t="s">
        <v>13</v>
      </c>
      <c r="D649" t="s">
        <v>24</v>
      </c>
      <c r="E649" t="s">
        <v>29</v>
      </c>
      <c r="F649">
        <v>68</v>
      </c>
      <c r="G649">
        <v>2</v>
      </c>
      <c r="H649">
        <v>11</v>
      </c>
      <c r="I649" t="s">
        <v>34</v>
      </c>
      <c r="J649">
        <v>5</v>
      </c>
    </row>
    <row r="650" spans="1:10" x14ac:dyDescent="0.3">
      <c r="A650" t="s">
        <v>10</v>
      </c>
      <c r="B650">
        <v>45757</v>
      </c>
      <c r="C650" t="s">
        <v>16</v>
      </c>
      <c r="D650" t="s">
        <v>26</v>
      </c>
      <c r="E650" t="s">
        <v>28</v>
      </c>
      <c r="F650">
        <v>249</v>
      </c>
      <c r="G650">
        <v>5</v>
      </c>
      <c r="H650">
        <v>11</v>
      </c>
      <c r="I650" t="s">
        <v>34</v>
      </c>
      <c r="J650">
        <v>1</v>
      </c>
    </row>
    <row r="651" spans="1:10" x14ac:dyDescent="0.3">
      <c r="A651" t="s">
        <v>10</v>
      </c>
      <c r="B651">
        <v>45765</v>
      </c>
      <c r="C651" t="s">
        <v>16</v>
      </c>
      <c r="D651" t="s">
        <v>26</v>
      </c>
      <c r="E651" t="s">
        <v>30</v>
      </c>
      <c r="F651">
        <v>122</v>
      </c>
      <c r="G651">
        <v>3</v>
      </c>
      <c r="H651">
        <v>20</v>
      </c>
      <c r="I651" t="s">
        <v>34</v>
      </c>
    </row>
    <row r="652" spans="1:10" x14ac:dyDescent="0.3">
      <c r="A652" t="s">
        <v>10</v>
      </c>
      <c r="B652">
        <v>45763</v>
      </c>
      <c r="C652" t="s">
        <v>21</v>
      </c>
      <c r="D652" t="s">
        <v>26</v>
      </c>
      <c r="E652" t="s">
        <v>32</v>
      </c>
      <c r="F652">
        <v>225</v>
      </c>
      <c r="G652">
        <v>5</v>
      </c>
      <c r="H652">
        <v>19</v>
      </c>
      <c r="I652" t="s">
        <v>33</v>
      </c>
      <c r="J652">
        <v>2</v>
      </c>
    </row>
    <row r="653" spans="1:10" x14ac:dyDescent="0.3">
      <c r="A653" t="s">
        <v>10</v>
      </c>
      <c r="B653">
        <v>45757</v>
      </c>
      <c r="C653" t="s">
        <v>12</v>
      </c>
      <c r="D653" t="s">
        <v>23</v>
      </c>
      <c r="E653" t="s">
        <v>28</v>
      </c>
      <c r="F653">
        <v>161</v>
      </c>
      <c r="G653">
        <v>5</v>
      </c>
      <c r="H653">
        <v>16</v>
      </c>
      <c r="I653" t="s">
        <v>34</v>
      </c>
      <c r="J653">
        <v>1</v>
      </c>
    </row>
    <row r="654" spans="1:10" x14ac:dyDescent="0.3">
      <c r="A654" t="s">
        <v>11</v>
      </c>
      <c r="B654">
        <v>45763</v>
      </c>
      <c r="C654" t="s">
        <v>15</v>
      </c>
      <c r="D654" t="s">
        <v>25</v>
      </c>
      <c r="E654" t="s">
        <v>29</v>
      </c>
      <c r="F654">
        <v>52</v>
      </c>
      <c r="G654">
        <v>3</v>
      </c>
      <c r="H654">
        <v>9</v>
      </c>
      <c r="I654" t="s">
        <v>33</v>
      </c>
    </row>
    <row r="655" spans="1:10" x14ac:dyDescent="0.3">
      <c r="A655" t="s">
        <v>10</v>
      </c>
      <c r="B655">
        <v>45751</v>
      </c>
      <c r="C655" t="s">
        <v>14</v>
      </c>
      <c r="D655" t="s">
        <v>25</v>
      </c>
      <c r="E655" t="s">
        <v>31</v>
      </c>
      <c r="F655">
        <v>214</v>
      </c>
      <c r="G655">
        <v>4</v>
      </c>
      <c r="H655">
        <v>13</v>
      </c>
      <c r="I655" t="s">
        <v>33</v>
      </c>
      <c r="J655">
        <v>2</v>
      </c>
    </row>
    <row r="656" spans="1:10" x14ac:dyDescent="0.3">
      <c r="A656" t="s">
        <v>11</v>
      </c>
      <c r="B656">
        <v>45739</v>
      </c>
      <c r="C656" t="s">
        <v>19</v>
      </c>
      <c r="D656" t="s">
        <v>23</v>
      </c>
      <c r="E656" t="s">
        <v>32</v>
      </c>
      <c r="F656">
        <v>247</v>
      </c>
      <c r="G656">
        <v>1</v>
      </c>
      <c r="H656">
        <v>20</v>
      </c>
      <c r="I656" t="s">
        <v>33</v>
      </c>
      <c r="J656">
        <v>4</v>
      </c>
    </row>
    <row r="657" spans="1:10" x14ac:dyDescent="0.3">
      <c r="A657" t="s">
        <v>10</v>
      </c>
      <c r="B657">
        <v>45746</v>
      </c>
      <c r="C657" t="s">
        <v>13</v>
      </c>
      <c r="D657" t="s">
        <v>24</v>
      </c>
      <c r="E657" t="s">
        <v>28</v>
      </c>
      <c r="F657">
        <v>84</v>
      </c>
      <c r="G657">
        <v>2</v>
      </c>
      <c r="H657">
        <v>22</v>
      </c>
      <c r="I657" t="s">
        <v>33</v>
      </c>
      <c r="J657">
        <v>5</v>
      </c>
    </row>
    <row r="658" spans="1:10" x14ac:dyDescent="0.3">
      <c r="A658" t="s">
        <v>10</v>
      </c>
      <c r="B658">
        <v>45748</v>
      </c>
      <c r="C658" t="s">
        <v>13</v>
      </c>
      <c r="D658" t="s">
        <v>24</v>
      </c>
      <c r="E658" t="s">
        <v>32</v>
      </c>
      <c r="F658">
        <v>201</v>
      </c>
      <c r="G658">
        <v>1</v>
      </c>
      <c r="H658">
        <v>22</v>
      </c>
      <c r="I658" t="s">
        <v>33</v>
      </c>
      <c r="J658">
        <v>1</v>
      </c>
    </row>
    <row r="659" spans="1:10" x14ac:dyDescent="0.3">
      <c r="A659" t="s">
        <v>11</v>
      </c>
      <c r="B659">
        <v>45750</v>
      </c>
      <c r="C659" t="s">
        <v>22</v>
      </c>
      <c r="D659" t="s">
        <v>25</v>
      </c>
      <c r="E659" t="s">
        <v>29</v>
      </c>
      <c r="F659">
        <v>50</v>
      </c>
      <c r="G659">
        <v>4</v>
      </c>
      <c r="H659">
        <v>18</v>
      </c>
      <c r="I659" t="s">
        <v>34</v>
      </c>
      <c r="J659">
        <v>1</v>
      </c>
    </row>
    <row r="660" spans="1:10" x14ac:dyDescent="0.3">
      <c r="A660" t="s">
        <v>10</v>
      </c>
      <c r="B660">
        <v>45767</v>
      </c>
      <c r="C660" t="s">
        <v>21</v>
      </c>
      <c r="D660" t="s">
        <v>26</v>
      </c>
      <c r="E660" t="s">
        <v>30</v>
      </c>
      <c r="F660">
        <v>146</v>
      </c>
      <c r="G660">
        <v>4</v>
      </c>
      <c r="H660">
        <v>21</v>
      </c>
      <c r="I660" t="s">
        <v>34</v>
      </c>
      <c r="J660">
        <v>2</v>
      </c>
    </row>
    <row r="661" spans="1:10" x14ac:dyDescent="0.3">
      <c r="A661" t="s">
        <v>11</v>
      </c>
      <c r="B661">
        <v>45760</v>
      </c>
      <c r="C661" t="s">
        <v>18</v>
      </c>
      <c r="D661" t="s">
        <v>27</v>
      </c>
      <c r="E661" t="s">
        <v>30</v>
      </c>
      <c r="F661">
        <v>75</v>
      </c>
      <c r="G661">
        <v>3</v>
      </c>
      <c r="H661">
        <v>7</v>
      </c>
      <c r="I661" t="s">
        <v>34</v>
      </c>
      <c r="J661">
        <v>1</v>
      </c>
    </row>
    <row r="662" spans="1:10" x14ac:dyDescent="0.3">
      <c r="A662" t="s">
        <v>10</v>
      </c>
      <c r="B662">
        <v>45767</v>
      </c>
      <c r="C662" t="s">
        <v>14</v>
      </c>
      <c r="D662" t="s">
        <v>25</v>
      </c>
      <c r="E662" t="s">
        <v>29</v>
      </c>
      <c r="F662">
        <v>211</v>
      </c>
      <c r="G662">
        <v>3</v>
      </c>
      <c r="H662">
        <v>16</v>
      </c>
      <c r="I662" t="s">
        <v>34</v>
      </c>
      <c r="J662">
        <v>5</v>
      </c>
    </row>
    <row r="663" spans="1:10" x14ac:dyDescent="0.3">
      <c r="A663" t="s">
        <v>10</v>
      </c>
      <c r="B663">
        <v>45758</v>
      </c>
      <c r="C663" t="s">
        <v>21</v>
      </c>
      <c r="D663" t="s">
        <v>26</v>
      </c>
      <c r="E663" t="s">
        <v>31</v>
      </c>
      <c r="F663">
        <v>188</v>
      </c>
      <c r="G663">
        <v>2</v>
      </c>
      <c r="H663">
        <v>20</v>
      </c>
      <c r="I663" t="s">
        <v>34</v>
      </c>
      <c r="J663">
        <v>4</v>
      </c>
    </row>
    <row r="664" spans="1:10" x14ac:dyDescent="0.3">
      <c r="A664" t="s">
        <v>11</v>
      </c>
      <c r="B664">
        <v>45766</v>
      </c>
      <c r="C664" t="s">
        <v>13</v>
      </c>
      <c r="D664" t="s">
        <v>24</v>
      </c>
      <c r="E664" t="s">
        <v>29</v>
      </c>
      <c r="F664">
        <v>183</v>
      </c>
      <c r="G664">
        <v>5</v>
      </c>
      <c r="H664">
        <v>11</v>
      </c>
      <c r="I664" t="s">
        <v>33</v>
      </c>
      <c r="J664">
        <v>4</v>
      </c>
    </row>
    <row r="665" spans="1:10" x14ac:dyDescent="0.3">
      <c r="A665" t="s">
        <v>11</v>
      </c>
      <c r="B665">
        <v>45751</v>
      </c>
      <c r="C665" t="s">
        <v>12</v>
      </c>
      <c r="D665" t="s">
        <v>23</v>
      </c>
      <c r="E665" t="s">
        <v>29</v>
      </c>
      <c r="F665">
        <v>148</v>
      </c>
      <c r="G665">
        <v>1</v>
      </c>
      <c r="H665">
        <v>15</v>
      </c>
      <c r="I665" t="s">
        <v>33</v>
      </c>
    </row>
    <row r="666" spans="1:10" x14ac:dyDescent="0.3">
      <c r="A666" t="s">
        <v>11</v>
      </c>
      <c r="B666">
        <v>45760</v>
      </c>
      <c r="C666" t="s">
        <v>15</v>
      </c>
      <c r="D666" t="s">
        <v>25</v>
      </c>
      <c r="E666" t="s">
        <v>31</v>
      </c>
      <c r="F666">
        <v>46</v>
      </c>
      <c r="G666">
        <v>3</v>
      </c>
      <c r="H666">
        <v>12</v>
      </c>
      <c r="I666" t="s">
        <v>35</v>
      </c>
      <c r="J666">
        <v>1</v>
      </c>
    </row>
    <row r="667" spans="1:10" x14ac:dyDescent="0.3">
      <c r="A667" t="s">
        <v>10</v>
      </c>
      <c r="B667">
        <v>45746</v>
      </c>
      <c r="C667" t="s">
        <v>20</v>
      </c>
      <c r="D667" t="s">
        <v>20</v>
      </c>
      <c r="E667" t="s">
        <v>31</v>
      </c>
      <c r="F667">
        <v>189</v>
      </c>
      <c r="G667">
        <v>4</v>
      </c>
      <c r="H667">
        <v>11</v>
      </c>
      <c r="I667" t="s">
        <v>33</v>
      </c>
      <c r="J667">
        <v>2</v>
      </c>
    </row>
    <row r="668" spans="1:10" x14ac:dyDescent="0.3">
      <c r="A668" t="s">
        <v>11</v>
      </c>
      <c r="B668">
        <v>45761</v>
      </c>
      <c r="C668" t="s">
        <v>12</v>
      </c>
      <c r="D668" t="s">
        <v>23</v>
      </c>
      <c r="E668" t="s">
        <v>28</v>
      </c>
      <c r="F668">
        <v>224</v>
      </c>
      <c r="G668">
        <v>4</v>
      </c>
      <c r="H668">
        <v>18</v>
      </c>
      <c r="I668" t="s">
        <v>34</v>
      </c>
      <c r="J668">
        <v>4</v>
      </c>
    </row>
    <row r="669" spans="1:10" x14ac:dyDescent="0.3">
      <c r="A669" t="s">
        <v>11</v>
      </c>
      <c r="B669">
        <v>45746</v>
      </c>
      <c r="C669" t="s">
        <v>22</v>
      </c>
      <c r="D669" t="s">
        <v>25</v>
      </c>
      <c r="E669" t="s">
        <v>28</v>
      </c>
      <c r="F669">
        <v>45</v>
      </c>
      <c r="G669">
        <v>2</v>
      </c>
      <c r="H669">
        <v>20</v>
      </c>
      <c r="I669" t="s">
        <v>35</v>
      </c>
      <c r="J669">
        <v>3</v>
      </c>
    </row>
    <row r="670" spans="1:10" x14ac:dyDescent="0.3">
      <c r="A670" t="s">
        <v>11</v>
      </c>
      <c r="B670">
        <v>45751</v>
      </c>
      <c r="C670" t="s">
        <v>18</v>
      </c>
      <c r="D670" t="s">
        <v>27</v>
      </c>
      <c r="E670" t="s">
        <v>31</v>
      </c>
      <c r="F670">
        <v>246</v>
      </c>
      <c r="G670">
        <v>1</v>
      </c>
      <c r="H670">
        <v>14</v>
      </c>
      <c r="I670" t="s">
        <v>33</v>
      </c>
      <c r="J670">
        <v>2</v>
      </c>
    </row>
    <row r="671" spans="1:10" x14ac:dyDescent="0.3">
      <c r="A671" t="s">
        <v>11</v>
      </c>
      <c r="B671">
        <v>45758</v>
      </c>
      <c r="C671" t="s">
        <v>20</v>
      </c>
      <c r="D671" t="s">
        <v>20</v>
      </c>
      <c r="E671" t="s">
        <v>30</v>
      </c>
      <c r="F671">
        <v>55</v>
      </c>
      <c r="G671">
        <v>1</v>
      </c>
      <c r="H671">
        <v>10</v>
      </c>
      <c r="I671" t="s">
        <v>33</v>
      </c>
      <c r="J671">
        <v>2</v>
      </c>
    </row>
    <row r="672" spans="1:10" x14ac:dyDescent="0.3">
      <c r="A672" t="s">
        <v>11</v>
      </c>
      <c r="B672">
        <v>45765</v>
      </c>
      <c r="C672" t="s">
        <v>19</v>
      </c>
      <c r="D672" t="s">
        <v>23</v>
      </c>
      <c r="E672" t="s">
        <v>29</v>
      </c>
      <c r="F672">
        <v>63</v>
      </c>
      <c r="G672">
        <v>5</v>
      </c>
      <c r="H672">
        <v>10</v>
      </c>
      <c r="I672" t="s">
        <v>35</v>
      </c>
      <c r="J672">
        <v>4</v>
      </c>
    </row>
    <row r="673" spans="1:10" x14ac:dyDescent="0.3">
      <c r="A673" t="s">
        <v>10</v>
      </c>
      <c r="B673">
        <v>45742</v>
      </c>
      <c r="C673" t="s">
        <v>12</v>
      </c>
      <c r="D673" t="s">
        <v>23</v>
      </c>
      <c r="E673" t="s">
        <v>31</v>
      </c>
      <c r="F673">
        <v>163</v>
      </c>
      <c r="G673">
        <v>4</v>
      </c>
      <c r="H673">
        <v>14</v>
      </c>
      <c r="I673" t="s">
        <v>33</v>
      </c>
    </row>
    <row r="674" spans="1:10" x14ac:dyDescent="0.3">
      <c r="A674" t="s">
        <v>11</v>
      </c>
      <c r="B674">
        <v>45747</v>
      </c>
      <c r="C674" t="s">
        <v>15</v>
      </c>
      <c r="D674" t="s">
        <v>25</v>
      </c>
      <c r="E674" t="s">
        <v>31</v>
      </c>
      <c r="F674">
        <v>222</v>
      </c>
      <c r="G674">
        <v>1</v>
      </c>
      <c r="H674">
        <v>8</v>
      </c>
      <c r="I674" t="s">
        <v>33</v>
      </c>
      <c r="J674">
        <v>3</v>
      </c>
    </row>
    <row r="675" spans="1:10" x14ac:dyDescent="0.3">
      <c r="A675" t="s">
        <v>11</v>
      </c>
      <c r="B675">
        <v>45759</v>
      </c>
      <c r="C675" t="s">
        <v>20</v>
      </c>
      <c r="D675" t="s">
        <v>20</v>
      </c>
      <c r="E675" t="s">
        <v>32</v>
      </c>
      <c r="F675">
        <v>197</v>
      </c>
      <c r="G675">
        <v>4</v>
      </c>
      <c r="H675">
        <v>17</v>
      </c>
      <c r="I675" t="s">
        <v>33</v>
      </c>
      <c r="J675">
        <v>4</v>
      </c>
    </row>
    <row r="676" spans="1:10" x14ac:dyDescent="0.3">
      <c r="A676" t="s">
        <v>10</v>
      </c>
      <c r="B676">
        <v>45739</v>
      </c>
      <c r="C676" t="s">
        <v>19</v>
      </c>
      <c r="D676" t="s">
        <v>23</v>
      </c>
      <c r="E676" t="s">
        <v>29</v>
      </c>
      <c r="F676">
        <v>147</v>
      </c>
      <c r="G676">
        <v>5</v>
      </c>
      <c r="H676">
        <v>14</v>
      </c>
      <c r="I676" t="s">
        <v>34</v>
      </c>
      <c r="J676">
        <v>2</v>
      </c>
    </row>
    <row r="677" spans="1:10" x14ac:dyDescent="0.3">
      <c r="A677" t="s">
        <v>10</v>
      </c>
      <c r="B677">
        <v>45752</v>
      </c>
      <c r="C677" t="s">
        <v>20</v>
      </c>
      <c r="D677" t="s">
        <v>20</v>
      </c>
      <c r="E677" t="s">
        <v>32</v>
      </c>
      <c r="F677">
        <v>52</v>
      </c>
      <c r="G677">
        <v>2</v>
      </c>
      <c r="H677">
        <v>19</v>
      </c>
      <c r="I677" t="s">
        <v>35</v>
      </c>
      <c r="J677">
        <v>1</v>
      </c>
    </row>
    <row r="678" spans="1:10" x14ac:dyDescent="0.3">
      <c r="A678" t="s">
        <v>10</v>
      </c>
      <c r="B678">
        <v>45751</v>
      </c>
      <c r="C678" t="s">
        <v>15</v>
      </c>
      <c r="D678" t="s">
        <v>25</v>
      </c>
      <c r="E678" t="s">
        <v>32</v>
      </c>
      <c r="F678">
        <v>135</v>
      </c>
      <c r="G678">
        <v>5</v>
      </c>
      <c r="H678">
        <v>15</v>
      </c>
      <c r="I678" t="s">
        <v>35</v>
      </c>
    </row>
    <row r="679" spans="1:10" x14ac:dyDescent="0.3">
      <c r="A679" t="s">
        <v>10</v>
      </c>
      <c r="B679">
        <v>45766</v>
      </c>
      <c r="C679" t="s">
        <v>21</v>
      </c>
      <c r="D679" t="s">
        <v>26</v>
      </c>
      <c r="E679" t="s">
        <v>31</v>
      </c>
      <c r="F679">
        <v>85</v>
      </c>
      <c r="G679">
        <v>1</v>
      </c>
      <c r="H679">
        <v>19</v>
      </c>
      <c r="I679" t="s">
        <v>33</v>
      </c>
    </row>
    <row r="680" spans="1:10" x14ac:dyDescent="0.3">
      <c r="A680" t="s">
        <v>11</v>
      </c>
      <c r="B680">
        <v>45760</v>
      </c>
      <c r="C680" t="s">
        <v>17</v>
      </c>
      <c r="D680" t="s">
        <v>24</v>
      </c>
      <c r="E680" t="s">
        <v>28</v>
      </c>
      <c r="F680">
        <v>180</v>
      </c>
      <c r="G680">
        <v>5</v>
      </c>
      <c r="H680">
        <v>12</v>
      </c>
      <c r="I680" t="s">
        <v>34</v>
      </c>
    </row>
    <row r="681" spans="1:10" x14ac:dyDescent="0.3">
      <c r="A681" t="s">
        <v>11</v>
      </c>
      <c r="B681">
        <v>45760</v>
      </c>
      <c r="C681" t="s">
        <v>17</v>
      </c>
      <c r="D681" t="s">
        <v>24</v>
      </c>
      <c r="E681" t="s">
        <v>28</v>
      </c>
      <c r="F681">
        <v>209</v>
      </c>
      <c r="G681">
        <v>5</v>
      </c>
      <c r="H681">
        <v>18</v>
      </c>
      <c r="I681" t="s">
        <v>33</v>
      </c>
      <c r="J681">
        <v>3</v>
      </c>
    </row>
    <row r="682" spans="1:10" x14ac:dyDescent="0.3">
      <c r="A682" t="s">
        <v>10</v>
      </c>
      <c r="B682">
        <v>45763</v>
      </c>
      <c r="C682" t="s">
        <v>15</v>
      </c>
      <c r="D682" t="s">
        <v>25</v>
      </c>
      <c r="E682" t="s">
        <v>28</v>
      </c>
      <c r="F682">
        <v>205</v>
      </c>
      <c r="G682">
        <v>2</v>
      </c>
      <c r="H682">
        <v>11</v>
      </c>
      <c r="I682" t="s">
        <v>34</v>
      </c>
    </row>
    <row r="683" spans="1:10" x14ac:dyDescent="0.3">
      <c r="A683" t="s">
        <v>10</v>
      </c>
      <c r="B683">
        <v>45747</v>
      </c>
      <c r="C683" t="s">
        <v>18</v>
      </c>
      <c r="D683" t="s">
        <v>27</v>
      </c>
      <c r="E683" t="s">
        <v>31</v>
      </c>
      <c r="F683">
        <v>104</v>
      </c>
      <c r="G683">
        <v>1</v>
      </c>
      <c r="H683">
        <v>13</v>
      </c>
      <c r="I683" t="s">
        <v>33</v>
      </c>
    </row>
    <row r="684" spans="1:10" x14ac:dyDescent="0.3">
      <c r="A684" t="s">
        <v>10</v>
      </c>
      <c r="B684">
        <v>45746</v>
      </c>
      <c r="C684" t="s">
        <v>13</v>
      </c>
      <c r="D684" t="s">
        <v>24</v>
      </c>
      <c r="E684" t="s">
        <v>28</v>
      </c>
      <c r="F684">
        <v>76</v>
      </c>
      <c r="G684">
        <v>2</v>
      </c>
      <c r="H684">
        <v>12</v>
      </c>
      <c r="I684" t="s">
        <v>34</v>
      </c>
      <c r="J684">
        <v>1</v>
      </c>
    </row>
    <row r="685" spans="1:10" x14ac:dyDescent="0.3">
      <c r="A685" t="s">
        <v>11</v>
      </c>
      <c r="B685">
        <v>45765</v>
      </c>
      <c r="C685" t="s">
        <v>18</v>
      </c>
      <c r="D685" t="s">
        <v>27</v>
      </c>
      <c r="E685" t="s">
        <v>30</v>
      </c>
      <c r="F685">
        <v>142</v>
      </c>
      <c r="G685">
        <v>4</v>
      </c>
      <c r="H685">
        <v>15</v>
      </c>
      <c r="I685" t="s">
        <v>33</v>
      </c>
      <c r="J685">
        <v>5</v>
      </c>
    </row>
    <row r="686" spans="1:10" x14ac:dyDescent="0.3">
      <c r="A686" t="s">
        <v>11</v>
      </c>
      <c r="B686">
        <v>45764</v>
      </c>
      <c r="C686" t="s">
        <v>16</v>
      </c>
      <c r="D686" t="s">
        <v>26</v>
      </c>
      <c r="E686" t="s">
        <v>32</v>
      </c>
      <c r="F686">
        <v>111</v>
      </c>
      <c r="G686">
        <v>1</v>
      </c>
      <c r="H686">
        <v>9</v>
      </c>
      <c r="I686" t="s">
        <v>34</v>
      </c>
      <c r="J686">
        <v>3</v>
      </c>
    </row>
    <row r="687" spans="1:10" x14ac:dyDescent="0.3">
      <c r="A687" t="s">
        <v>10</v>
      </c>
      <c r="B687">
        <v>45748</v>
      </c>
      <c r="C687" t="s">
        <v>22</v>
      </c>
      <c r="D687" t="s">
        <v>25</v>
      </c>
      <c r="E687" t="s">
        <v>31</v>
      </c>
      <c r="F687">
        <v>199</v>
      </c>
      <c r="G687">
        <v>2</v>
      </c>
      <c r="H687">
        <v>14</v>
      </c>
      <c r="I687" t="s">
        <v>34</v>
      </c>
      <c r="J687">
        <v>1</v>
      </c>
    </row>
    <row r="688" spans="1:10" x14ac:dyDescent="0.3">
      <c r="A688" t="s">
        <v>11</v>
      </c>
      <c r="B688">
        <v>45755</v>
      </c>
      <c r="C688" t="s">
        <v>14</v>
      </c>
      <c r="D688" t="s">
        <v>25</v>
      </c>
      <c r="E688" t="s">
        <v>31</v>
      </c>
      <c r="F688">
        <v>109</v>
      </c>
      <c r="G688">
        <v>5</v>
      </c>
      <c r="H688">
        <v>8</v>
      </c>
      <c r="I688" t="s">
        <v>34</v>
      </c>
      <c r="J688">
        <v>2</v>
      </c>
    </row>
    <row r="689" spans="1:10" x14ac:dyDescent="0.3">
      <c r="A689" t="s">
        <v>10</v>
      </c>
      <c r="B689">
        <v>45767</v>
      </c>
      <c r="C689" t="s">
        <v>22</v>
      </c>
      <c r="D689" t="s">
        <v>25</v>
      </c>
      <c r="E689" t="s">
        <v>28</v>
      </c>
      <c r="F689">
        <v>115</v>
      </c>
      <c r="G689">
        <v>4</v>
      </c>
      <c r="H689">
        <v>22</v>
      </c>
      <c r="I689" t="s">
        <v>34</v>
      </c>
    </row>
    <row r="690" spans="1:10" x14ac:dyDescent="0.3">
      <c r="A690" t="s">
        <v>11</v>
      </c>
      <c r="B690">
        <v>45744</v>
      </c>
      <c r="C690" t="s">
        <v>21</v>
      </c>
      <c r="D690" t="s">
        <v>26</v>
      </c>
      <c r="E690" t="s">
        <v>30</v>
      </c>
      <c r="F690">
        <v>212</v>
      </c>
      <c r="G690">
        <v>4</v>
      </c>
      <c r="H690">
        <v>7</v>
      </c>
      <c r="I690" t="s">
        <v>33</v>
      </c>
      <c r="J690">
        <v>1</v>
      </c>
    </row>
    <row r="691" spans="1:10" x14ac:dyDescent="0.3">
      <c r="A691" t="s">
        <v>11</v>
      </c>
      <c r="B691">
        <v>45753</v>
      </c>
      <c r="C691" t="s">
        <v>22</v>
      </c>
      <c r="D691" t="s">
        <v>25</v>
      </c>
      <c r="E691" t="s">
        <v>32</v>
      </c>
      <c r="F691">
        <v>78</v>
      </c>
      <c r="G691">
        <v>3</v>
      </c>
      <c r="H691">
        <v>17</v>
      </c>
      <c r="I691" t="s">
        <v>34</v>
      </c>
    </row>
    <row r="692" spans="1:10" x14ac:dyDescent="0.3">
      <c r="A692" t="s">
        <v>10</v>
      </c>
      <c r="B692">
        <v>45754</v>
      </c>
      <c r="C692" t="s">
        <v>15</v>
      </c>
      <c r="D692" t="s">
        <v>25</v>
      </c>
      <c r="E692" t="s">
        <v>28</v>
      </c>
      <c r="F692">
        <v>77</v>
      </c>
      <c r="G692">
        <v>1</v>
      </c>
      <c r="H692">
        <v>24</v>
      </c>
      <c r="I692" t="s">
        <v>33</v>
      </c>
      <c r="J692">
        <v>5</v>
      </c>
    </row>
    <row r="693" spans="1:10" x14ac:dyDescent="0.3">
      <c r="A693" t="s">
        <v>10</v>
      </c>
      <c r="B693">
        <v>45760</v>
      </c>
      <c r="C693" t="s">
        <v>14</v>
      </c>
      <c r="D693" t="s">
        <v>25</v>
      </c>
      <c r="E693" t="s">
        <v>32</v>
      </c>
      <c r="F693">
        <v>181</v>
      </c>
      <c r="G693">
        <v>2</v>
      </c>
      <c r="H693">
        <v>19</v>
      </c>
      <c r="I693" t="s">
        <v>35</v>
      </c>
      <c r="J693">
        <v>3</v>
      </c>
    </row>
    <row r="694" spans="1:10" x14ac:dyDescent="0.3">
      <c r="A694" t="s">
        <v>10</v>
      </c>
      <c r="B694">
        <v>45765</v>
      </c>
      <c r="C694" t="s">
        <v>14</v>
      </c>
      <c r="D694" t="s">
        <v>25</v>
      </c>
      <c r="E694" t="s">
        <v>30</v>
      </c>
      <c r="F694">
        <v>166</v>
      </c>
      <c r="G694">
        <v>1</v>
      </c>
      <c r="H694">
        <v>24</v>
      </c>
      <c r="I694" t="s">
        <v>33</v>
      </c>
      <c r="J694">
        <v>2</v>
      </c>
    </row>
    <row r="695" spans="1:10" x14ac:dyDescent="0.3">
      <c r="A695" t="s">
        <v>10</v>
      </c>
      <c r="B695">
        <v>45744</v>
      </c>
      <c r="C695" t="s">
        <v>14</v>
      </c>
      <c r="D695" t="s">
        <v>25</v>
      </c>
      <c r="E695" t="s">
        <v>32</v>
      </c>
      <c r="F695">
        <v>158</v>
      </c>
      <c r="G695">
        <v>4</v>
      </c>
      <c r="H695">
        <v>11</v>
      </c>
      <c r="I695" t="s">
        <v>35</v>
      </c>
    </row>
    <row r="696" spans="1:10" x14ac:dyDescent="0.3">
      <c r="A696" t="s">
        <v>10</v>
      </c>
      <c r="B696">
        <v>45762</v>
      </c>
      <c r="C696" t="s">
        <v>12</v>
      </c>
      <c r="D696" t="s">
        <v>23</v>
      </c>
      <c r="E696" t="s">
        <v>29</v>
      </c>
      <c r="F696">
        <v>71</v>
      </c>
      <c r="G696">
        <v>1</v>
      </c>
      <c r="H696">
        <v>12</v>
      </c>
      <c r="I696" t="s">
        <v>33</v>
      </c>
      <c r="J696">
        <v>4</v>
      </c>
    </row>
    <row r="697" spans="1:10" x14ac:dyDescent="0.3">
      <c r="A697" t="s">
        <v>10</v>
      </c>
      <c r="B697">
        <v>45762</v>
      </c>
      <c r="C697" t="s">
        <v>15</v>
      </c>
      <c r="D697" t="s">
        <v>25</v>
      </c>
      <c r="E697" t="s">
        <v>30</v>
      </c>
      <c r="F697">
        <v>218</v>
      </c>
      <c r="G697">
        <v>2</v>
      </c>
      <c r="H697">
        <v>25</v>
      </c>
      <c r="I697" t="s">
        <v>33</v>
      </c>
      <c r="J697">
        <v>2</v>
      </c>
    </row>
    <row r="698" spans="1:10" x14ac:dyDescent="0.3">
      <c r="A698" t="s">
        <v>11</v>
      </c>
      <c r="B698">
        <v>45747</v>
      </c>
      <c r="C698" t="s">
        <v>12</v>
      </c>
      <c r="D698" t="s">
        <v>23</v>
      </c>
      <c r="E698" t="s">
        <v>29</v>
      </c>
      <c r="F698">
        <v>77</v>
      </c>
      <c r="G698">
        <v>3</v>
      </c>
      <c r="H698">
        <v>19</v>
      </c>
      <c r="I698" t="s">
        <v>34</v>
      </c>
      <c r="J698">
        <v>4</v>
      </c>
    </row>
    <row r="699" spans="1:10" x14ac:dyDescent="0.3">
      <c r="A699" t="s">
        <v>10</v>
      </c>
      <c r="B699">
        <v>45749</v>
      </c>
      <c r="C699" t="s">
        <v>21</v>
      </c>
      <c r="D699" t="s">
        <v>26</v>
      </c>
      <c r="E699" t="s">
        <v>30</v>
      </c>
      <c r="F699">
        <v>140</v>
      </c>
      <c r="G699">
        <v>2</v>
      </c>
      <c r="H699">
        <v>23</v>
      </c>
      <c r="I699" t="s">
        <v>33</v>
      </c>
      <c r="J699">
        <v>4</v>
      </c>
    </row>
    <row r="700" spans="1:10" x14ac:dyDescent="0.3">
      <c r="A700" t="s">
        <v>11</v>
      </c>
      <c r="B700">
        <v>45754</v>
      </c>
      <c r="C700" t="s">
        <v>20</v>
      </c>
      <c r="D700" t="s">
        <v>20</v>
      </c>
      <c r="E700" t="s">
        <v>28</v>
      </c>
      <c r="F700">
        <v>30</v>
      </c>
      <c r="G700">
        <v>2</v>
      </c>
      <c r="H700">
        <v>7</v>
      </c>
      <c r="I700" t="s">
        <v>33</v>
      </c>
      <c r="J700">
        <v>5</v>
      </c>
    </row>
    <row r="701" spans="1:10" x14ac:dyDescent="0.3">
      <c r="A701" t="s">
        <v>11</v>
      </c>
      <c r="B701">
        <v>45745</v>
      </c>
      <c r="C701" t="s">
        <v>19</v>
      </c>
      <c r="D701" t="s">
        <v>23</v>
      </c>
      <c r="E701" t="s">
        <v>29</v>
      </c>
      <c r="F701">
        <v>149</v>
      </c>
      <c r="G701">
        <v>2</v>
      </c>
      <c r="H701">
        <v>17</v>
      </c>
      <c r="I701" t="s">
        <v>35</v>
      </c>
      <c r="J701">
        <v>4</v>
      </c>
    </row>
    <row r="702" spans="1:10" x14ac:dyDescent="0.3">
      <c r="A702" t="s">
        <v>10</v>
      </c>
      <c r="B702">
        <v>45746</v>
      </c>
      <c r="C702" t="s">
        <v>19</v>
      </c>
      <c r="D702" t="s">
        <v>23</v>
      </c>
      <c r="E702" t="s">
        <v>29</v>
      </c>
      <c r="F702">
        <v>175</v>
      </c>
      <c r="G702">
        <v>3</v>
      </c>
      <c r="H702">
        <v>10</v>
      </c>
      <c r="I702" t="s">
        <v>34</v>
      </c>
      <c r="J702">
        <v>1</v>
      </c>
    </row>
    <row r="703" spans="1:10" x14ac:dyDescent="0.3">
      <c r="A703" t="s">
        <v>10</v>
      </c>
      <c r="B703">
        <v>45747</v>
      </c>
      <c r="C703" t="s">
        <v>15</v>
      </c>
      <c r="D703" t="s">
        <v>25</v>
      </c>
      <c r="E703" t="s">
        <v>28</v>
      </c>
      <c r="F703">
        <v>171</v>
      </c>
      <c r="G703">
        <v>4</v>
      </c>
      <c r="H703">
        <v>18</v>
      </c>
      <c r="I703" t="s">
        <v>34</v>
      </c>
      <c r="J703">
        <v>5</v>
      </c>
    </row>
    <row r="704" spans="1:10" x14ac:dyDescent="0.3">
      <c r="A704" t="s">
        <v>11</v>
      </c>
      <c r="B704">
        <v>45748</v>
      </c>
      <c r="C704" t="s">
        <v>15</v>
      </c>
      <c r="D704" t="s">
        <v>25</v>
      </c>
      <c r="E704" t="s">
        <v>29</v>
      </c>
      <c r="F704">
        <v>151</v>
      </c>
      <c r="G704">
        <v>2</v>
      </c>
      <c r="H704">
        <v>20</v>
      </c>
      <c r="I704" t="s">
        <v>35</v>
      </c>
    </row>
    <row r="705" spans="1:10" x14ac:dyDescent="0.3">
      <c r="A705" t="s">
        <v>10</v>
      </c>
      <c r="B705">
        <v>45741</v>
      </c>
      <c r="C705" t="s">
        <v>12</v>
      </c>
      <c r="D705" t="s">
        <v>23</v>
      </c>
      <c r="E705" t="s">
        <v>31</v>
      </c>
      <c r="F705">
        <v>87</v>
      </c>
      <c r="G705">
        <v>1</v>
      </c>
      <c r="H705">
        <v>20</v>
      </c>
      <c r="I705" t="s">
        <v>33</v>
      </c>
      <c r="J705">
        <v>3</v>
      </c>
    </row>
    <row r="706" spans="1:10" x14ac:dyDescent="0.3">
      <c r="A706" t="s">
        <v>11</v>
      </c>
      <c r="B706">
        <v>45743</v>
      </c>
      <c r="C706" t="s">
        <v>13</v>
      </c>
      <c r="D706" t="s">
        <v>24</v>
      </c>
      <c r="E706" t="s">
        <v>31</v>
      </c>
      <c r="F706">
        <v>240</v>
      </c>
      <c r="G706">
        <v>1</v>
      </c>
      <c r="H706">
        <v>9</v>
      </c>
      <c r="I706" t="s">
        <v>34</v>
      </c>
      <c r="J706">
        <v>2</v>
      </c>
    </row>
    <row r="707" spans="1:10" x14ac:dyDescent="0.3">
      <c r="A707" t="s">
        <v>11</v>
      </c>
      <c r="B707">
        <v>45742</v>
      </c>
      <c r="C707" t="s">
        <v>19</v>
      </c>
      <c r="D707" t="s">
        <v>23</v>
      </c>
      <c r="E707" t="s">
        <v>31</v>
      </c>
      <c r="F707">
        <v>128</v>
      </c>
      <c r="G707">
        <v>2</v>
      </c>
      <c r="H707">
        <v>14</v>
      </c>
      <c r="I707" t="s">
        <v>35</v>
      </c>
      <c r="J707">
        <v>5</v>
      </c>
    </row>
    <row r="708" spans="1:10" x14ac:dyDescent="0.3">
      <c r="A708" t="s">
        <v>11</v>
      </c>
      <c r="B708">
        <v>45755</v>
      </c>
      <c r="C708" t="s">
        <v>15</v>
      </c>
      <c r="D708" t="s">
        <v>25</v>
      </c>
      <c r="E708" t="s">
        <v>31</v>
      </c>
      <c r="F708">
        <v>221</v>
      </c>
      <c r="G708">
        <v>5</v>
      </c>
      <c r="H708">
        <v>17</v>
      </c>
      <c r="I708" t="s">
        <v>33</v>
      </c>
    </row>
    <row r="709" spans="1:10" x14ac:dyDescent="0.3">
      <c r="A709" t="s">
        <v>10</v>
      </c>
      <c r="B709">
        <v>45746</v>
      </c>
      <c r="C709" t="s">
        <v>12</v>
      </c>
      <c r="D709" t="s">
        <v>23</v>
      </c>
      <c r="E709" t="s">
        <v>32</v>
      </c>
      <c r="F709">
        <v>30</v>
      </c>
      <c r="G709">
        <v>2</v>
      </c>
      <c r="H709">
        <v>25</v>
      </c>
      <c r="I709" t="s">
        <v>33</v>
      </c>
      <c r="J709">
        <v>2</v>
      </c>
    </row>
    <row r="710" spans="1:10" x14ac:dyDescent="0.3">
      <c r="A710" t="s">
        <v>11</v>
      </c>
      <c r="B710">
        <v>45755</v>
      </c>
      <c r="C710" t="s">
        <v>22</v>
      </c>
      <c r="D710" t="s">
        <v>25</v>
      </c>
      <c r="E710" t="s">
        <v>30</v>
      </c>
      <c r="F710">
        <v>178</v>
      </c>
      <c r="G710">
        <v>5</v>
      </c>
      <c r="H710">
        <v>12</v>
      </c>
      <c r="I710" t="s">
        <v>35</v>
      </c>
      <c r="J710">
        <v>5</v>
      </c>
    </row>
    <row r="711" spans="1:10" x14ac:dyDescent="0.3">
      <c r="A711" t="s">
        <v>10</v>
      </c>
      <c r="B711">
        <v>45761</v>
      </c>
      <c r="C711" t="s">
        <v>18</v>
      </c>
      <c r="D711" t="s">
        <v>27</v>
      </c>
      <c r="E711" t="s">
        <v>28</v>
      </c>
      <c r="F711">
        <v>147</v>
      </c>
      <c r="G711">
        <v>3</v>
      </c>
      <c r="H711">
        <v>12</v>
      </c>
      <c r="I711" t="s">
        <v>35</v>
      </c>
      <c r="J711">
        <v>2</v>
      </c>
    </row>
    <row r="712" spans="1:10" x14ac:dyDescent="0.3">
      <c r="A712" t="s">
        <v>10</v>
      </c>
      <c r="B712">
        <v>45754</v>
      </c>
      <c r="C712" t="s">
        <v>20</v>
      </c>
      <c r="D712" t="s">
        <v>20</v>
      </c>
      <c r="E712" t="s">
        <v>31</v>
      </c>
      <c r="F712">
        <v>137</v>
      </c>
      <c r="G712">
        <v>4</v>
      </c>
      <c r="H712">
        <v>25</v>
      </c>
      <c r="I712" t="s">
        <v>35</v>
      </c>
      <c r="J712">
        <v>3</v>
      </c>
    </row>
    <row r="713" spans="1:10" x14ac:dyDescent="0.3">
      <c r="A713" t="s">
        <v>11</v>
      </c>
      <c r="B713">
        <v>45747</v>
      </c>
      <c r="C713" t="s">
        <v>20</v>
      </c>
      <c r="D713" t="s">
        <v>20</v>
      </c>
      <c r="E713" t="s">
        <v>29</v>
      </c>
      <c r="F713">
        <v>227</v>
      </c>
      <c r="G713">
        <v>1</v>
      </c>
      <c r="H713">
        <v>13</v>
      </c>
      <c r="I713" t="s">
        <v>35</v>
      </c>
      <c r="J713">
        <v>2</v>
      </c>
    </row>
    <row r="714" spans="1:10" x14ac:dyDescent="0.3">
      <c r="A714" t="s">
        <v>11</v>
      </c>
      <c r="B714">
        <v>45761</v>
      </c>
      <c r="C714" t="s">
        <v>12</v>
      </c>
      <c r="D714" t="s">
        <v>23</v>
      </c>
      <c r="E714" t="s">
        <v>31</v>
      </c>
      <c r="F714">
        <v>33</v>
      </c>
      <c r="G714">
        <v>4</v>
      </c>
      <c r="H714">
        <v>7</v>
      </c>
      <c r="I714" t="s">
        <v>33</v>
      </c>
    </row>
    <row r="715" spans="1:10" x14ac:dyDescent="0.3">
      <c r="A715" t="s">
        <v>11</v>
      </c>
      <c r="B715">
        <v>45763</v>
      </c>
      <c r="C715" t="s">
        <v>12</v>
      </c>
      <c r="D715" t="s">
        <v>23</v>
      </c>
      <c r="E715" t="s">
        <v>31</v>
      </c>
      <c r="F715">
        <v>184</v>
      </c>
      <c r="G715">
        <v>5</v>
      </c>
      <c r="H715">
        <v>16</v>
      </c>
      <c r="I715" t="s">
        <v>33</v>
      </c>
      <c r="J715">
        <v>3</v>
      </c>
    </row>
    <row r="716" spans="1:10" x14ac:dyDescent="0.3">
      <c r="A716" t="s">
        <v>11</v>
      </c>
      <c r="B716">
        <v>45754</v>
      </c>
      <c r="C716" t="s">
        <v>22</v>
      </c>
      <c r="D716" t="s">
        <v>25</v>
      </c>
      <c r="E716" t="s">
        <v>30</v>
      </c>
      <c r="F716">
        <v>47</v>
      </c>
      <c r="G716">
        <v>3</v>
      </c>
      <c r="H716">
        <v>18</v>
      </c>
      <c r="I716" t="s">
        <v>35</v>
      </c>
    </row>
    <row r="717" spans="1:10" x14ac:dyDescent="0.3">
      <c r="A717" t="s">
        <v>11</v>
      </c>
      <c r="B717">
        <v>45742</v>
      </c>
      <c r="C717" t="s">
        <v>14</v>
      </c>
      <c r="D717" t="s">
        <v>25</v>
      </c>
      <c r="E717" t="s">
        <v>31</v>
      </c>
      <c r="F717">
        <v>150</v>
      </c>
      <c r="G717">
        <v>5</v>
      </c>
      <c r="H717">
        <v>11</v>
      </c>
      <c r="I717" t="s">
        <v>35</v>
      </c>
    </row>
    <row r="718" spans="1:10" x14ac:dyDescent="0.3">
      <c r="A718" t="s">
        <v>11</v>
      </c>
      <c r="B718">
        <v>45742</v>
      </c>
      <c r="C718" t="s">
        <v>13</v>
      </c>
      <c r="D718" t="s">
        <v>24</v>
      </c>
      <c r="E718" t="s">
        <v>31</v>
      </c>
      <c r="F718">
        <v>54</v>
      </c>
      <c r="G718">
        <v>4</v>
      </c>
      <c r="H718">
        <v>20</v>
      </c>
      <c r="I718" t="s">
        <v>35</v>
      </c>
      <c r="J718">
        <v>2</v>
      </c>
    </row>
    <row r="719" spans="1:10" x14ac:dyDescent="0.3">
      <c r="A719" t="s">
        <v>10</v>
      </c>
      <c r="B719">
        <v>45763</v>
      </c>
      <c r="C719" t="s">
        <v>19</v>
      </c>
      <c r="D719" t="s">
        <v>23</v>
      </c>
      <c r="E719" t="s">
        <v>30</v>
      </c>
      <c r="F719">
        <v>212</v>
      </c>
      <c r="G719">
        <v>4</v>
      </c>
      <c r="H719">
        <v>15</v>
      </c>
      <c r="I719" t="s">
        <v>33</v>
      </c>
      <c r="J719">
        <v>2</v>
      </c>
    </row>
    <row r="720" spans="1:10" x14ac:dyDescent="0.3">
      <c r="A720" t="s">
        <v>10</v>
      </c>
      <c r="B720">
        <v>45764</v>
      </c>
      <c r="C720" t="s">
        <v>19</v>
      </c>
      <c r="D720" t="s">
        <v>23</v>
      </c>
      <c r="E720" t="s">
        <v>29</v>
      </c>
      <c r="F720">
        <v>128</v>
      </c>
      <c r="G720">
        <v>4</v>
      </c>
      <c r="H720">
        <v>24</v>
      </c>
      <c r="I720" t="s">
        <v>34</v>
      </c>
      <c r="J720">
        <v>5</v>
      </c>
    </row>
    <row r="721" spans="1:10" x14ac:dyDescent="0.3">
      <c r="A721" t="s">
        <v>11</v>
      </c>
      <c r="B721">
        <v>45762</v>
      </c>
      <c r="C721" t="s">
        <v>21</v>
      </c>
      <c r="D721" t="s">
        <v>26</v>
      </c>
      <c r="E721" t="s">
        <v>28</v>
      </c>
      <c r="F721">
        <v>66</v>
      </c>
      <c r="G721">
        <v>4</v>
      </c>
      <c r="H721">
        <v>16</v>
      </c>
      <c r="I721" t="s">
        <v>34</v>
      </c>
    </row>
    <row r="722" spans="1:10" x14ac:dyDescent="0.3">
      <c r="A722" t="s">
        <v>11</v>
      </c>
      <c r="B722">
        <v>45740</v>
      </c>
      <c r="C722" t="s">
        <v>18</v>
      </c>
      <c r="D722" t="s">
        <v>27</v>
      </c>
      <c r="E722" t="s">
        <v>29</v>
      </c>
      <c r="F722">
        <v>104</v>
      </c>
      <c r="G722">
        <v>3</v>
      </c>
      <c r="H722">
        <v>9</v>
      </c>
      <c r="I722" t="s">
        <v>34</v>
      </c>
      <c r="J722">
        <v>4</v>
      </c>
    </row>
    <row r="723" spans="1:10" x14ac:dyDescent="0.3">
      <c r="A723" t="s">
        <v>11</v>
      </c>
      <c r="B723">
        <v>45768</v>
      </c>
      <c r="C723" t="s">
        <v>22</v>
      </c>
      <c r="D723" t="s">
        <v>25</v>
      </c>
      <c r="E723" t="s">
        <v>32</v>
      </c>
      <c r="F723">
        <v>181</v>
      </c>
      <c r="G723">
        <v>4</v>
      </c>
      <c r="H723">
        <v>17</v>
      </c>
      <c r="I723" t="s">
        <v>34</v>
      </c>
      <c r="J723">
        <v>5</v>
      </c>
    </row>
    <row r="724" spans="1:10" x14ac:dyDescent="0.3">
      <c r="A724" t="s">
        <v>11</v>
      </c>
      <c r="B724">
        <v>45751</v>
      </c>
      <c r="C724" t="s">
        <v>21</v>
      </c>
      <c r="D724" t="s">
        <v>26</v>
      </c>
      <c r="E724" t="s">
        <v>31</v>
      </c>
      <c r="F724">
        <v>235</v>
      </c>
      <c r="G724">
        <v>2</v>
      </c>
      <c r="H724">
        <v>20</v>
      </c>
      <c r="I724" t="s">
        <v>33</v>
      </c>
    </row>
    <row r="725" spans="1:10" x14ac:dyDescent="0.3">
      <c r="A725" t="s">
        <v>11</v>
      </c>
      <c r="B725">
        <v>45747</v>
      </c>
      <c r="C725" t="s">
        <v>19</v>
      </c>
      <c r="D725" t="s">
        <v>23</v>
      </c>
      <c r="E725" t="s">
        <v>30</v>
      </c>
      <c r="F725">
        <v>78</v>
      </c>
      <c r="G725">
        <v>3</v>
      </c>
      <c r="H725">
        <v>11</v>
      </c>
      <c r="I725" t="s">
        <v>33</v>
      </c>
    </row>
    <row r="726" spans="1:10" x14ac:dyDescent="0.3">
      <c r="A726" t="s">
        <v>10</v>
      </c>
      <c r="B726">
        <v>45745</v>
      </c>
      <c r="C726" t="s">
        <v>18</v>
      </c>
      <c r="D726" t="s">
        <v>27</v>
      </c>
      <c r="E726" t="s">
        <v>29</v>
      </c>
      <c r="F726">
        <v>120</v>
      </c>
      <c r="G726">
        <v>2</v>
      </c>
      <c r="H726">
        <v>19</v>
      </c>
      <c r="I726" t="s">
        <v>33</v>
      </c>
      <c r="J726">
        <v>2</v>
      </c>
    </row>
    <row r="727" spans="1:10" x14ac:dyDescent="0.3">
      <c r="A727" t="s">
        <v>11</v>
      </c>
      <c r="B727">
        <v>45766</v>
      </c>
      <c r="C727" t="s">
        <v>19</v>
      </c>
      <c r="D727" t="s">
        <v>23</v>
      </c>
      <c r="E727" t="s">
        <v>32</v>
      </c>
      <c r="F727">
        <v>108</v>
      </c>
      <c r="G727">
        <v>5</v>
      </c>
      <c r="H727">
        <v>19</v>
      </c>
      <c r="I727" t="s">
        <v>34</v>
      </c>
      <c r="J727">
        <v>3</v>
      </c>
    </row>
    <row r="728" spans="1:10" x14ac:dyDescent="0.3">
      <c r="A728" t="s">
        <v>11</v>
      </c>
      <c r="B728">
        <v>45747</v>
      </c>
      <c r="C728" t="s">
        <v>21</v>
      </c>
      <c r="D728" t="s">
        <v>26</v>
      </c>
      <c r="E728" t="s">
        <v>31</v>
      </c>
      <c r="F728">
        <v>238</v>
      </c>
      <c r="G728">
        <v>4</v>
      </c>
      <c r="H728">
        <v>20</v>
      </c>
      <c r="I728" t="s">
        <v>34</v>
      </c>
      <c r="J728">
        <v>5</v>
      </c>
    </row>
    <row r="729" spans="1:10" x14ac:dyDescent="0.3">
      <c r="A729" t="s">
        <v>10</v>
      </c>
      <c r="B729">
        <v>45747</v>
      </c>
      <c r="C729" t="s">
        <v>21</v>
      </c>
      <c r="D729" t="s">
        <v>26</v>
      </c>
      <c r="E729" t="s">
        <v>31</v>
      </c>
      <c r="F729">
        <v>69</v>
      </c>
      <c r="G729">
        <v>2</v>
      </c>
      <c r="H729">
        <v>11</v>
      </c>
      <c r="I729" t="s">
        <v>33</v>
      </c>
      <c r="J729">
        <v>2</v>
      </c>
    </row>
    <row r="730" spans="1:10" x14ac:dyDescent="0.3">
      <c r="A730" t="s">
        <v>11</v>
      </c>
      <c r="B730">
        <v>45761</v>
      </c>
      <c r="C730" t="s">
        <v>12</v>
      </c>
      <c r="D730" t="s">
        <v>23</v>
      </c>
      <c r="E730" t="s">
        <v>30</v>
      </c>
      <c r="F730">
        <v>123</v>
      </c>
      <c r="G730">
        <v>1</v>
      </c>
      <c r="H730">
        <v>15</v>
      </c>
      <c r="I730" t="s">
        <v>35</v>
      </c>
      <c r="J730">
        <v>5</v>
      </c>
    </row>
    <row r="731" spans="1:10" x14ac:dyDescent="0.3">
      <c r="A731" t="s">
        <v>10</v>
      </c>
      <c r="B731">
        <v>45747</v>
      </c>
      <c r="C731" t="s">
        <v>15</v>
      </c>
      <c r="D731" t="s">
        <v>25</v>
      </c>
      <c r="E731" t="s">
        <v>29</v>
      </c>
      <c r="F731">
        <v>209</v>
      </c>
      <c r="G731">
        <v>3</v>
      </c>
      <c r="H731">
        <v>25</v>
      </c>
      <c r="I731" t="s">
        <v>33</v>
      </c>
      <c r="J731">
        <v>3</v>
      </c>
    </row>
    <row r="732" spans="1:10" x14ac:dyDescent="0.3">
      <c r="A732" t="s">
        <v>10</v>
      </c>
      <c r="B732">
        <v>45759</v>
      </c>
      <c r="C732" t="s">
        <v>15</v>
      </c>
      <c r="D732" t="s">
        <v>25</v>
      </c>
      <c r="E732" t="s">
        <v>30</v>
      </c>
      <c r="F732">
        <v>182</v>
      </c>
      <c r="G732">
        <v>3</v>
      </c>
      <c r="H732">
        <v>17</v>
      </c>
      <c r="I732" t="s">
        <v>34</v>
      </c>
    </row>
    <row r="733" spans="1:10" x14ac:dyDescent="0.3">
      <c r="A733" t="s">
        <v>10</v>
      </c>
      <c r="B733">
        <v>45767</v>
      </c>
      <c r="C733" t="s">
        <v>12</v>
      </c>
      <c r="D733" t="s">
        <v>23</v>
      </c>
      <c r="E733" t="s">
        <v>29</v>
      </c>
      <c r="F733">
        <v>131</v>
      </c>
      <c r="G733">
        <v>2</v>
      </c>
      <c r="H733">
        <v>11</v>
      </c>
      <c r="I733" t="s">
        <v>34</v>
      </c>
      <c r="J733">
        <v>5</v>
      </c>
    </row>
    <row r="734" spans="1:10" x14ac:dyDescent="0.3">
      <c r="A734" t="s">
        <v>10</v>
      </c>
      <c r="B734">
        <v>45755</v>
      </c>
      <c r="C734" t="s">
        <v>14</v>
      </c>
      <c r="D734" t="s">
        <v>25</v>
      </c>
      <c r="E734" t="s">
        <v>32</v>
      </c>
      <c r="F734">
        <v>205</v>
      </c>
      <c r="G734">
        <v>3</v>
      </c>
      <c r="H734">
        <v>10</v>
      </c>
      <c r="I734" t="s">
        <v>35</v>
      </c>
      <c r="J734">
        <v>3</v>
      </c>
    </row>
    <row r="735" spans="1:10" x14ac:dyDescent="0.3">
      <c r="A735" t="s">
        <v>10</v>
      </c>
      <c r="B735">
        <v>45763</v>
      </c>
      <c r="C735" t="s">
        <v>13</v>
      </c>
      <c r="D735" t="s">
        <v>24</v>
      </c>
      <c r="E735" t="s">
        <v>31</v>
      </c>
      <c r="F735">
        <v>158</v>
      </c>
      <c r="G735">
        <v>4</v>
      </c>
      <c r="H735">
        <v>24</v>
      </c>
      <c r="I735" t="s">
        <v>35</v>
      </c>
      <c r="J735">
        <v>4</v>
      </c>
    </row>
    <row r="736" spans="1:10" x14ac:dyDescent="0.3">
      <c r="A736" t="s">
        <v>11</v>
      </c>
      <c r="B736">
        <v>45739</v>
      </c>
      <c r="C736" t="s">
        <v>22</v>
      </c>
      <c r="D736" t="s">
        <v>25</v>
      </c>
      <c r="E736" t="s">
        <v>29</v>
      </c>
      <c r="F736">
        <v>54</v>
      </c>
      <c r="G736">
        <v>2</v>
      </c>
      <c r="H736">
        <v>19</v>
      </c>
      <c r="I736" t="s">
        <v>33</v>
      </c>
      <c r="J736">
        <v>5</v>
      </c>
    </row>
    <row r="737" spans="1:10" x14ac:dyDescent="0.3">
      <c r="A737" t="s">
        <v>11</v>
      </c>
      <c r="B737">
        <v>45742</v>
      </c>
      <c r="C737" t="s">
        <v>13</v>
      </c>
      <c r="D737" t="s">
        <v>24</v>
      </c>
      <c r="E737" t="s">
        <v>32</v>
      </c>
      <c r="F737">
        <v>40</v>
      </c>
      <c r="G737">
        <v>1</v>
      </c>
      <c r="H737">
        <v>15</v>
      </c>
      <c r="I737" t="s">
        <v>33</v>
      </c>
      <c r="J737">
        <v>3</v>
      </c>
    </row>
    <row r="738" spans="1:10" x14ac:dyDescent="0.3">
      <c r="A738" t="s">
        <v>10</v>
      </c>
      <c r="B738">
        <v>45761</v>
      </c>
      <c r="C738" t="s">
        <v>22</v>
      </c>
      <c r="D738" t="s">
        <v>25</v>
      </c>
      <c r="E738" t="s">
        <v>31</v>
      </c>
      <c r="F738">
        <v>216</v>
      </c>
      <c r="G738">
        <v>4</v>
      </c>
      <c r="H738">
        <v>12</v>
      </c>
      <c r="I738" t="s">
        <v>34</v>
      </c>
      <c r="J738">
        <v>1</v>
      </c>
    </row>
    <row r="739" spans="1:10" x14ac:dyDescent="0.3">
      <c r="A739" t="s">
        <v>11</v>
      </c>
      <c r="B739">
        <v>45767</v>
      </c>
      <c r="C739" t="s">
        <v>13</v>
      </c>
      <c r="D739" t="s">
        <v>24</v>
      </c>
      <c r="E739" t="s">
        <v>29</v>
      </c>
      <c r="F739">
        <v>236</v>
      </c>
      <c r="G739">
        <v>2</v>
      </c>
      <c r="H739">
        <v>15</v>
      </c>
      <c r="I739" t="s">
        <v>33</v>
      </c>
      <c r="J739">
        <v>5</v>
      </c>
    </row>
    <row r="740" spans="1:10" x14ac:dyDescent="0.3">
      <c r="A740" t="s">
        <v>11</v>
      </c>
      <c r="B740">
        <v>45765</v>
      </c>
      <c r="C740" t="s">
        <v>12</v>
      </c>
      <c r="D740" t="s">
        <v>23</v>
      </c>
      <c r="E740" t="s">
        <v>32</v>
      </c>
      <c r="F740">
        <v>166</v>
      </c>
      <c r="G740">
        <v>1</v>
      </c>
      <c r="H740">
        <v>7</v>
      </c>
      <c r="I740" t="s">
        <v>33</v>
      </c>
      <c r="J740">
        <v>3</v>
      </c>
    </row>
    <row r="741" spans="1:10" x14ac:dyDescent="0.3">
      <c r="A741" t="s">
        <v>10</v>
      </c>
      <c r="B741">
        <v>45754</v>
      </c>
      <c r="C741" t="s">
        <v>16</v>
      </c>
      <c r="D741" t="s">
        <v>26</v>
      </c>
      <c r="E741" t="s">
        <v>31</v>
      </c>
      <c r="F741">
        <v>77</v>
      </c>
      <c r="G741">
        <v>1</v>
      </c>
      <c r="H741">
        <v>21</v>
      </c>
      <c r="I741" t="s">
        <v>34</v>
      </c>
      <c r="J741">
        <v>5</v>
      </c>
    </row>
    <row r="742" spans="1:10" x14ac:dyDescent="0.3">
      <c r="A742" t="s">
        <v>11</v>
      </c>
      <c r="B742">
        <v>45742</v>
      </c>
      <c r="C742" t="s">
        <v>17</v>
      </c>
      <c r="D742" t="s">
        <v>24</v>
      </c>
      <c r="E742" t="s">
        <v>31</v>
      </c>
      <c r="F742">
        <v>243</v>
      </c>
      <c r="G742">
        <v>5</v>
      </c>
      <c r="H742">
        <v>12</v>
      </c>
      <c r="I742" t="s">
        <v>33</v>
      </c>
    </row>
    <row r="743" spans="1:10" x14ac:dyDescent="0.3">
      <c r="A743" t="s">
        <v>10</v>
      </c>
      <c r="B743">
        <v>45739</v>
      </c>
      <c r="C743" t="s">
        <v>12</v>
      </c>
      <c r="D743" t="s">
        <v>23</v>
      </c>
      <c r="E743" t="s">
        <v>28</v>
      </c>
      <c r="F743">
        <v>42</v>
      </c>
      <c r="G743">
        <v>4</v>
      </c>
      <c r="H743">
        <v>20</v>
      </c>
      <c r="I743" t="s">
        <v>33</v>
      </c>
      <c r="J743">
        <v>3</v>
      </c>
    </row>
    <row r="744" spans="1:10" x14ac:dyDescent="0.3">
      <c r="A744" t="s">
        <v>10</v>
      </c>
      <c r="B744">
        <v>45742</v>
      </c>
      <c r="C744" t="s">
        <v>17</v>
      </c>
      <c r="D744" t="s">
        <v>24</v>
      </c>
      <c r="E744" t="s">
        <v>31</v>
      </c>
      <c r="F744">
        <v>100</v>
      </c>
      <c r="G744">
        <v>2</v>
      </c>
      <c r="H744">
        <v>15</v>
      </c>
      <c r="I744" t="s">
        <v>33</v>
      </c>
    </row>
    <row r="745" spans="1:10" x14ac:dyDescent="0.3">
      <c r="A745" t="s">
        <v>10</v>
      </c>
      <c r="B745">
        <v>45753</v>
      </c>
      <c r="C745" t="s">
        <v>12</v>
      </c>
      <c r="D745" t="s">
        <v>23</v>
      </c>
      <c r="E745" t="s">
        <v>29</v>
      </c>
      <c r="F745">
        <v>190</v>
      </c>
      <c r="G745">
        <v>3</v>
      </c>
      <c r="H745">
        <v>12</v>
      </c>
      <c r="I745" t="s">
        <v>35</v>
      </c>
      <c r="J745">
        <v>3</v>
      </c>
    </row>
    <row r="746" spans="1:10" x14ac:dyDescent="0.3">
      <c r="A746" t="s">
        <v>10</v>
      </c>
      <c r="B746">
        <v>45755</v>
      </c>
      <c r="C746" t="s">
        <v>12</v>
      </c>
      <c r="D746" t="s">
        <v>23</v>
      </c>
      <c r="E746" t="s">
        <v>30</v>
      </c>
      <c r="F746">
        <v>144</v>
      </c>
      <c r="G746">
        <v>4</v>
      </c>
      <c r="H746">
        <v>19</v>
      </c>
      <c r="I746" t="s">
        <v>34</v>
      </c>
      <c r="J746">
        <v>2</v>
      </c>
    </row>
    <row r="747" spans="1:10" x14ac:dyDescent="0.3">
      <c r="A747" t="s">
        <v>11</v>
      </c>
      <c r="B747">
        <v>45750</v>
      </c>
      <c r="C747" t="s">
        <v>14</v>
      </c>
      <c r="D747" t="s">
        <v>25</v>
      </c>
      <c r="E747" t="s">
        <v>30</v>
      </c>
      <c r="F747">
        <v>122</v>
      </c>
      <c r="G747">
        <v>5</v>
      </c>
      <c r="H747">
        <v>10</v>
      </c>
      <c r="I747" t="s">
        <v>33</v>
      </c>
    </row>
    <row r="748" spans="1:10" x14ac:dyDescent="0.3">
      <c r="A748" t="s">
        <v>10</v>
      </c>
      <c r="B748">
        <v>45751</v>
      </c>
      <c r="C748" t="s">
        <v>16</v>
      </c>
      <c r="D748" t="s">
        <v>26</v>
      </c>
      <c r="E748" t="s">
        <v>29</v>
      </c>
      <c r="F748">
        <v>196</v>
      </c>
      <c r="G748">
        <v>2</v>
      </c>
      <c r="H748">
        <v>23</v>
      </c>
      <c r="I748" t="s">
        <v>33</v>
      </c>
      <c r="J748">
        <v>1</v>
      </c>
    </row>
    <row r="749" spans="1:10" x14ac:dyDescent="0.3">
      <c r="A749" t="s">
        <v>10</v>
      </c>
      <c r="B749">
        <v>45745</v>
      </c>
      <c r="C749" t="s">
        <v>17</v>
      </c>
      <c r="D749" t="s">
        <v>24</v>
      </c>
      <c r="E749" t="s">
        <v>28</v>
      </c>
      <c r="F749">
        <v>180</v>
      </c>
      <c r="G749">
        <v>1</v>
      </c>
      <c r="H749">
        <v>22</v>
      </c>
      <c r="I749" t="s">
        <v>33</v>
      </c>
      <c r="J749">
        <v>2</v>
      </c>
    </row>
    <row r="750" spans="1:10" x14ac:dyDescent="0.3">
      <c r="A750" t="s">
        <v>10</v>
      </c>
      <c r="B750">
        <v>45739</v>
      </c>
      <c r="C750" t="s">
        <v>18</v>
      </c>
      <c r="D750" t="s">
        <v>27</v>
      </c>
      <c r="E750" t="s">
        <v>28</v>
      </c>
      <c r="F750">
        <v>39</v>
      </c>
      <c r="G750">
        <v>5</v>
      </c>
      <c r="H750">
        <v>14</v>
      </c>
      <c r="I750" t="s">
        <v>33</v>
      </c>
      <c r="J750">
        <v>5</v>
      </c>
    </row>
    <row r="751" spans="1:10" x14ac:dyDescent="0.3">
      <c r="A751" t="s">
        <v>10</v>
      </c>
      <c r="B751">
        <v>45760</v>
      </c>
      <c r="C751" t="s">
        <v>15</v>
      </c>
      <c r="D751" t="s">
        <v>25</v>
      </c>
      <c r="E751" t="s">
        <v>32</v>
      </c>
      <c r="F751">
        <v>115</v>
      </c>
      <c r="G751">
        <v>5</v>
      </c>
      <c r="H751">
        <v>11</v>
      </c>
      <c r="I751" t="s">
        <v>34</v>
      </c>
      <c r="J751">
        <v>5</v>
      </c>
    </row>
    <row r="752" spans="1:10" x14ac:dyDescent="0.3">
      <c r="A752" t="s">
        <v>11</v>
      </c>
      <c r="B752">
        <v>45745</v>
      </c>
      <c r="C752" t="s">
        <v>21</v>
      </c>
      <c r="D752" t="s">
        <v>26</v>
      </c>
      <c r="E752" t="s">
        <v>31</v>
      </c>
      <c r="F752">
        <v>151</v>
      </c>
      <c r="G752">
        <v>5</v>
      </c>
      <c r="H752">
        <v>14</v>
      </c>
      <c r="I752" t="s">
        <v>33</v>
      </c>
    </row>
    <row r="753" spans="1:10" x14ac:dyDescent="0.3">
      <c r="A753" t="s">
        <v>11</v>
      </c>
      <c r="B753">
        <v>45749</v>
      </c>
      <c r="C753" t="s">
        <v>21</v>
      </c>
      <c r="D753" t="s">
        <v>26</v>
      </c>
      <c r="E753" t="s">
        <v>28</v>
      </c>
      <c r="F753">
        <v>193</v>
      </c>
      <c r="G753">
        <v>5</v>
      </c>
      <c r="H753">
        <v>12</v>
      </c>
      <c r="I753" t="s">
        <v>34</v>
      </c>
      <c r="J753">
        <v>4</v>
      </c>
    </row>
    <row r="754" spans="1:10" x14ac:dyDescent="0.3">
      <c r="A754" t="s">
        <v>10</v>
      </c>
      <c r="B754">
        <v>45755</v>
      </c>
      <c r="C754" t="s">
        <v>22</v>
      </c>
      <c r="D754" t="s">
        <v>25</v>
      </c>
      <c r="E754" t="s">
        <v>30</v>
      </c>
      <c r="F754">
        <v>184</v>
      </c>
      <c r="G754">
        <v>2</v>
      </c>
      <c r="H754">
        <v>15</v>
      </c>
      <c r="I754" t="s">
        <v>34</v>
      </c>
      <c r="J754">
        <v>2</v>
      </c>
    </row>
    <row r="755" spans="1:10" x14ac:dyDescent="0.3">
      <c r="A755" t="s">
        <v>10</v>
      </c>
      <c r="B755">
        <v>45755</v>
      </c>
      <c r="C755" t="s">
        <v>22</v>
      </c>
      <c r="D755" t="s">
        <v>25</v>
      </c>
      <c r="E755" t="s">
        <v>31</v>
      </c>
      <c r="F755">
        <v>151</v>
      </c>
      <c r="G755">
        <v>3</v>
      </c>
      <c r="H755">
        <v>20</v>
      </c>
      <c r="I755" t="s">
        <v>34</v>
      </c>
      <c r="J755">
        <v>5</v>
      </c>
    </row>
    <row r="756" spans="1:10" x14ac:dyDescent="0.3">
      <c r="A756" t="s">
        <v>10</v>
      </c>
      <c r="B756">
        <v>45746</v>
      </c>
      <c r="C756" t="s">
        <v>14</v>
      </c>
      <c r="D756" t="s">
        <v>25</v>
      </c>
      <c r="E756" t="s">
        <v>30</v>
      </c>
      <c r="F756">
        <v>213</v>
      </c>
      <c r="G756">
        <v>3</v>
      </c>
      <c r="H756">
        <v>25</v>
      </c>
      <c r="I756" t="s">
        <v>33</v>
      </c>
      <c r="J756">
        <v>2</v>
      </c>
    </row>
    <row r="757" spans="1:10" x14ac:dyDescent="0.3">
      <c r="A757" t="s">
        <v>11</v>
      </c>
      <c r="B757">
        <v>45744</v>
      </c>
      <c r="C757" t="s">
        <v>14</v>
      </c>
      <c r="D757" t="s">
        <v>25</v>
      </c>
      <c r="E757" t="s">
        <v>30</v>
      </c>
      <c r="F757">
        <v>194</v>
      </c>
      <c r="G757">
        <v>5</v>
      </c>
      <c r="H757">
        <v>17</v>
      </c>
      <c r="I757" t="s">
        <v>33</v>
      </c>
      <c r="J757">
        <v>4</v>
      </c>
    </row>
    <row r="758" spans="1:10" x14ac:dyDescent="0.3">
      <c r="A758" t="s">
        <v>11</v>
      </c>
      <c r="B758">
        <v>45745</v>
      </c>
      <c r="C758" t="s">
        <v>16</v>
      </c>
      <c r="D758" t="s">
        <v>26</v>
      </c>
      <c r="E758" t="s">
        <v>30</v>
      </c>
      <c r="F758">
        <v>162</v>
      </c>
      <c r="G758">
        <v>3</v>
      </c>
      <c r="H758">
        <v>20</v>
      </c>
      <c r="I758" t="s">
        <v>34</v>
      </c>
      <c r="J758">
        <v>4</v>
      </c>
    </row>
    <row r="759" spans="1:10" x14ac:dyDescent="0.3">
      <c r="A759" t="s">
        <v>11</v>
      </c>
      <c r="B759">
        <v>45763</v>
      </c>
      <c r="C759" t="s">
        <v>18</v>
      </c>
      <c r="D759" t="s">
        <v>27</v>
      </c>
      <c r="E759" t="s">
        <v>32</v>
      </c>
      <c r="F759">
        <v>213</v>
      </c>
      <c r="G759">
        <v>3</v>
      </c>
      <c r="H759">
        <v>12</v>
      </c>
      <c r="I759" t="s">
        <v>34</v>
      </c>
      <c r="J759">
        <v>1</v>
      </c>
    </row>
    <row r="760" spans="1:10" x14ac:dyDescent="0.3">
      <c r="A760" t="s">
        <v>10</v>
      </c>
      <c r="B760">
        <v>45765</v>
      </c>
      <c r="C760" t="s">
        <v>21</v>
      </c>
      <c r="D760" t="s">
        <v>26</v>
      </c>
      <c r="E760" t="s">
        <v>28</v>
      </c>
      <c r="F760">
        <v>219</v>
      </c>
      <c r="G760">
        <v>1</v>
      </c>
      <c r="H760">
        <v>25</v>
      </c>
      <c r="I760" t="s">
        <v>33</v>
      </c>
      <c r="J760">
        <v>1</v>
      </c>
    </row>
    <row r="761" spans="1:10" x14ac:dyDescent="0.3">
      <c r="A761" t="s">
        <v>11</v>
      </c>
      <c r="B761">
        <v>45756</v>
      </c>
      <c r="C761" t="s">
        <v>21</v>
      </c>
      <c r="D761" t="s">
        <v>26</v>
      </c>
      <c r="E761" t="s">
        <v>29</v>
      </c>
      <c r="F761">
        <v>248</v>
      </c>
      <c r="G761">
        <v>4</v>
      </c>
      <c r="H761">
        <v>16</v>
      </c>
      <c r="I761" t="s">
        <v>35</v>
      </c>
      <c r="J761">
        <v>2</v>
      </c>
    </row>
    <row r="762" spans="1:10" x14ac:dyDescent="0.3">
      <c r="A762" t="s">
        <v>11</v>
      </c>
      <c r="B762">
        <v>45745</v>
      </c>
      <c r="C762" t="s">
        <v>22</v>
      </c>
      <c r="D762" t="s">
        <v>25</v>
      </c>
      <c r="E762" t="s">
        <v>28</v>
      </c>
      <c r="F762">
        <v>152</v>
      </c>
      <c r="G762">
        <v>1</v>
      </c>
      <c r="H762">
        <v>12</v>
      </c>
      <c r="I762" t="s">
        <v>33</v>
      </c>
      <c r="J762">
        <v>5</v>
      </c>
    </row>
    <row r="763" spans="1:10" x14ac:dyDescent="0.3">
      <c r="A763" t="s">
        <v>11</v>
      </c>
      <c r="B763">
        <v>45757</v>
      </c>
      <c r="C763" t="s">
        <v>12</v>
      </c>
      <c r="D763" t="s">
        <v>23</v>
      </c>
      <c r="E763" t="s">
        <v>29</v>
      </c>
      <c r="F763">
        <v>47</v>
      </c>
      <c r="G763">
        <v>5</v>
      </c>
      <c r="H763">
        <v>8</v>
      </c>
      <c r="I763" t="s">
        <v>33</v>
      </c>
      <c r="J763">
        <v>2</v>
      </c>
    </row>
    <row r="764" spans="1:10" x14ac:dyDescent="0.3">
      <c r="A764" t="s">
        <v>11</v>
      </c>
      <c r="B764">
        <v>45741</v>
      </c>
      <c r="C764" t="s">
        <v>22</v>
      </c>
      <c r="D764" t="s">
        <v>25</v>
      </c>
      <c r="E764" t="s">
        <v>31</v>
      </c>
      <c r="F764">
        <v>63</v>
      </c>
      <c r="G764">
        <v>1</v>
      </c>
      <c r="H764">
        <v>15</v>
      </c>
      <c r="I764" t="s">
        <v>34</v>
      </c>
    </row>
    <row r="765" spans="1:10" x14ac:dyDescent="0.3">
      <c r="A765" t="s">
        <v>11</v>
      </c>
      <c r="B765">
        <v>45745</v>
      </c>
      <c r="C765" t="s">
        <v>13</v>
      </c>
      <c r="D765" t="s">
        <v>24</v>
      </c>
      <c r="E765" t="s">
        <v>30</v>
      </c>
      <c r="F765">
        <v>224</v>
      </c>
      <c r="G765">
        <v>1</v>
      </c>
      <c r="H765">
        <v>8</v>
      </c>
      <c r="I765" t="s">
        <v>34</v>
      </c>
      <c r="J765">
        <v>3</v>
      </c>
    </row>
    <row r="766" spans="1:10" x14ac:dyDescent="0.3">
      <c r="A766" t="s">
        <v>11</v>
      </c>
      <c r="B766">
        <v>45743</v>
      </c>
      <c r="C766" t="s">
        <v>13</v>
      </c>
      <c r="D766" t="s">
        <v>24</v>
      </c>
      <c r="E766" t="s">
        <v>28</v>
      </c>
      <c r="F766">
        <v>49</v>
      </c>
      <c r="G766">
        <v>4</v>
      </c>
      <c r="H766">
        <v>9</v>
      </c>
      <c r="I766" t="s">
        <v>33</v>
      </c>
      <c r="J766">
        <v>4</v>
      </c>
    </row>
    <row r="767" spans="1:10" x14ac:dyDescent="0.3">
      <c r="A767" t="s">
        <v>11</v>
      </c>
      <c r="B767">
        <v>45752</v>
      </c>
      <c r="C767" t="s">
        <v>20</v>
      </c>
      <c r="D767" t="s">
        <v>20</v>
      </c>
      <c r="E767" t="s">
        <v>30</v>
      </c>
      <c r="F767">
        <v>53</v>
      </c>
      <c r="G767">
        <v>2</v>
      </c>
      <c r="H767">
        <v>18</v>
      </c>
      <c r="I767" t="s">
        <v>34</v>
      </c>
      <c r="J767">
        <v>2</v>
      </c>
    </row>
    <row r="768" spans="1:10" x14ac:dyDescent="0.3">
      <c r="A768" t="s">
        <v>11</v>
      </c>
      <c r="B768">
        <v>45755</v>
      </c>
      <c r="C768" t="s">
        <v>15</v>
      </c>
      <c r="D768" t="s">
        <v>25</v>
      </c>
      <c r="E768" t="s">
        <v>31</v>
      </c>
      <c r="F768">
        <v>247</v>
      </c>
      <c r="G768">
        <v>2</v>
      </c>
      <c r="H768">
        <v>13</v>
      </c>
      <c r="I768" t="s">
        <v>33</v>
      </c>
      <c r="J768">
        <v>1</v>
      </c>
    </row>
    <row r="769" spans="1:10" x14ac:dyDescent="0.3">
      <c r="A769" t="s">
        <v>10</v>
      </c>
      <c r="B769">
        <v>45762</v>
      </c>
      <c r="C769" t="s">
        <v>15</v>
      </c>
      <c r="D769" t="s">
        <v>25</v>
      </c>
      <c r="E769" t="s">
        <v>28</v>
      </c>
      <c r="F769">
        <v>143</v>
      </c>
      <c r="G769">
        <v>2</v>
      </c>
      <c r="H769">
        <v>24</v>
      </c>
      <c r="I769" t="s">
        <v>34</v>
      </c>
      <c r="J769">
        <v>3</v>
      </c>
    </row>
    <row r="770" spans="1:10" x14ac:dyDescent="0.3">
      <c r="A770" t="s">
        <v>11</v>
      </c>
      <c r="B770">
        <v>45752</v>
      </c>
      <c r="C770" t="s">
        <v>18</v>
      </c>
      <c r="D770" t="s">
        <v>27</v>
      </c>
      <c r="E770" t="s">
        <v>29</v>
      </c>
      <c r="F770">
        <v>192</v>
      </c>
      <c r="G770">
        <v>4</v>
      </c>
      <c r="H770">
        <v>10</v>
      </c>
      <c r="I770" t="s">
        <v>35</v>
      </c>
      <c r="J770">
        <v>1</v>
      </c>
    </row>
    <row r="771" spans="1:10" x14ac:dyDescent="0.3">
      <c r="A771" t="s">
        <v>11</v>
      </c>
      <c r="B771">
        <v>45761</v>
      </c>
      <c r="C771" t="s">
        <v>16</v>
      </c>
      <c r="D771" t="s">
        <v>26</v>
      </c>
      <c r="E771" t="s">
        <v>28</v>
      </c>
      <c r="F771">
        <v>248</v>
      </c>
      <c r="G771">
        <v>1</v>
      </c>
      <c r="H771">
        <v>18</v>
      </c>
      <c r="I771" t="s">
        <v>35</v>
      </c>
      <c r="J771">
        <v>1</v>
      </c>
    </row>
    <row r="772" spans="1:10" x14ac:dyDescent="0.3">
      <c r="A772" t="s">
        <v>11</v>
      </c>
      <c r="B772">
        <v>45744</v>
      </c>
      <c r="C772" t="s">
        <v>12</v>
      </c>
      <c r="D772" t="s">
        <v>23</v>
      </c>
      <c r="E772" t="s">
        <v>29</v>
      </c>
      <c r="F772">
        <v>88</v>
      </c>
      <c r="G772">
        <v>2</v>
      </c>
      <c r="H772">
        <v>15</v>
      </c>
      <c r="I772" t="s">
        <v>35</v>
      </c>
      <c r="J772">
        <v>4</v>
      </c>
    </row>
    <row r="773" spans="1:10" x14ac:dyDescent="0.3">
      <c r="A773" t="s">
        <v>11</v>
      </c>
      <c r="B773">
        <v>45757</v>
      </c>
      <c r="C773" t="s">
        <v>15</v>
      </c>
      <c r="D773" t="s">
        <v>25</v>
      </c>
      <c r="E773" t="s">
        <v>29</v>
      </c>
      <c r="F773">
        <v>45</v>
      </c>
      <c r="G773">
        <v>2</v>
      </c>
      <c r="H773">
        <v>11</v>
      </c>
      <c r="I773" t="s">
        <v>34</v>
      </c>
      <c r="J773">
        <v>5</v>
      </c>
    </row>
    <row r="774" spans="1:10" x14ac:dyDescent="0.3">
      <c r="A774" t="s">
        <v>10</v>
      </c>
      <c r="B774">
        <v>45741</v>
      </c>
      <c r="C774" t="s">
        <v>22</v>
      </c>
      <c r="D774" t="s">
        <v>25</v>
      </c>
      <c r="E774" t="s">
        <v>29</v>
      </c>
      <c r="F774">
        <v>226</v>
      </c>
      <c r="G774">
        <v>4</v>
      </c>
      <c r="H774">
        <v>15</v>
      </c>
      <c r="I774" t="s">
        <v>34</v>
      </c>
      <c r="J774">
        <v>3</v>
      </c>
    </row>
    <row r="775" spans="1:10" x14ac:dyDescent="0.3">
      <c r="A775" t="s">
        <v>10</v>
      </c>
      <c r="B775">
        <v>45752</v>
      </c>
      <c r="C775" t="s">
        <v>20</v>
      </c>
      <c r="D775" t="s">
        <v>20</v>
      </c>
      <c r="E775" t="s">
        <v>32</v>
      </c>
      <c r="F775">
        <v>74</v>
      </c>
      <c r="G775">
        <v>2</v>
      </c>
      <c r="H775">
        <v>23</v>
      </c>
      <c r="I775" t="s">
        <v>33</v>
      </c>
    </row>
    <row r="776" spans="1:10" x14ac:dyDescent="0.3">
      <c r="A776" t="s">
        <v>11</v>
      </c>
      <c r="B776">
        <v>45760</v>
      </c>
      <c r="C776" t="s">
        <v>21</v>
      </c>
      <c r="D776" t="s">
        <v>26</v>
      </c>
      <c r="E776" t="s">
        <v>28</v>
      </c>
      <c r="F776">
        <v>118</v>
      </c>
      <c r="G776">
        <v>5</v>
      </c>
      <c r="H776">
        <v>16</v>
      </c>
      <c r="I776" t="s">
        <v>34</v>
      </c>
      <c r="J776">
        <v>5</v>
      </c>
    </row>
    <row r="777" spans="1:10" x14ac:dyDescent="0.3">
      <c r="A777" t="s">
        <v>10</v>
      </c>
      <c r="B777">
        <v>45755</v>
      </c>
      <c r="C777" t="s">
        <v>21</v>
      </c>
      <c r="D777" t="s">
        <v>26</v>
      </c>
      <c r="E777" t="s">
        <v>29</v>
      </c>
      <c r="F777">
        <v>111</v>
      </c>
      <c r="G777">
        <v>4</v>
      </c>
      <c r="H777">
        <v>17</v>
      </c>
      <c r="I777" t="s">
        <v>34</v>
      </c>
      <c r="J777">
        <v>4</v>
      </c>
    </row>
    <row r="778" spans="1:10" x14ac:dyDescent="0.3">
      <c r="A778" t="s">
        <v>10</v>
      </c>
      <c r="B778">
        <v>45757</v>
      </c>
      <c r="C778" t="s">
        <v>18</v>
      </c>
      <c r="D778" t="s">
        <v>27</v>
      </c>
      <c r="E778" t="s">
        <v>32</v>
      </c>
      <c r="F778">
        <v>241</v>
      </c>
      <c r="G778">
        <v>5</v>
      </c>
      <c r="H778">
        <v>15</v>
      </c>
      <c r="I778" t="s">
        <v>35</v>
      </c>
      <c r="J778">
        <v>5</v>
      </c>
    </row>
    <row r="779" spans="1:10" x14ac:dyDescent="0.3">
      <c r="A779" t="s">
        <v>11</v>
      </c>
      <c r="B779">
        <v>45746</v>
      </c>
      <c r="C779" t="s">
        <v>19</v>
      </c>
      <c r="D779" t="s">
        <v>23</v>
      </c>
      <c r="E779" t="s">
        <v>31</v>
      </c>
      <c r="F779">
        <v>155</v>
      </c>
      <c r="G779">
        <v>4</v>
      </c>
      <c r="H779">
        <v>7</v>
      </c>
      <c r="I779" t="s">
        <v>33</v>
      </c>
    </row>
    <row r="780" spans="1:10" x14ac:dyDescent="0.3">
      <c r="A780" t="s">
        <v>10</v>
      </c>
      <c r="B780">
        <v>45753</v>
      </c>
      <c r="C780" t="s">
        <v>20</v>
      </c>
      <c r="D780" t="s">
        <v>20</v>
      </c>
      <c r="E780" t="s">
        <v>28</v>
      </c>
      <c r="F780">
        <v>161</v>
      </c>
      <c r="G780">
        <v>3</v>
      </c>
      <c r="H780">
        <v>20</v>
      </c>
      <c r="I780" t="s">
        <v>33</v>
      </c>
      <c r="J780">
        <v>3</v>
      </c>
    </row>
    <row r="781" spans="1:10" x14ac:dyDescent="0.3">
      <c r="A781" t="s">
        <v>11</v>
      </c>
      <c r="B781">
        <v>45752</v>
      </c>
      <c r="C781" t="s">
        <v>18</v>
      </c>
      <c r="D781" t="s">
        <v>27</v>
      </c>
      <c r="E781" t="s">
        <v>28</v>
      </c>
      <c r="F781">
        <v>236</v>
      </c>
      <c r="G781">
        <v>4</v>
      </c>
      <c r="H781">
        <v>16</v>
      </c>
      <c r="I781" t="s">
        <v>33</v>
      </c>
      <c r="J781">
        <v>4</v>
      </c>
    </row>
    <row r="782" spans="1:10" x14ac:dyDescent="0.3">
      <c r="A782" t="s">
        <v>11</v>
      </c>
      <c r="B782">
        <v>45760</v>
      </c>
      <c r="C782" t="s">
        <v>12</v>
      </c>
      <c r="D782" t="s">
        <v>23</v>
      </c>
      <c r="E782" t="s">
        <v>30</v>
      </c>
      <c r="F782">
        <v>117</v>
      </c>
      <c r="G782">
        <v>5</v>
      </c>
      <c r="H782">
        <v>19</v>
      </c>
      <c r="I782" t="s">
        <v>34</v>
      </c>
      <c r="J782">
        <v>5</v>
      </c>
    </row>
    <row r="783" spans="1:10" x14ac:dyDescent="0.3">
      <c r="A783" t="s">
        <v>10</v>
      </c>
      <c r="B783">
        <v>45742</v>
      </c>
      <c r="C783" t="s">
        <v>12</v>
      </c>
      <c r="D783" t="s">
        <v>23</v>
      </c>
      <c r="E783" t="s">
        <v>32</v>
      </c>
      <c r="F783">
        <v>36</v>
      </c>
      <c r="G783">
        <v>5</v>
      </c>
      <c r="H783">
        <v>19</v>
      </c>
      <c r="I783" t="s">
        <v>35</v>
      </c>
      <c r="J783">
        <v>3</v>
      </c>
    </row>
    <row r="784" spans="1:10" x14ac:dyDescent="0.3">
      <c r="A784" t="s">
        <v>11</v>
      </c>
      <c r="B784">
        <v>45761</v>
      </c>
      <c r="C784" t="s">
        <v>12</v>
      </c>
      <c r="D784" t="s">
        <v>23</v>
      </c>
      <c r="E784" t="s">
        <v>31</v>
      </c>
      <c r="F784">
        <v>115</v>
      </c>
      <c r="G784">
        <v>2</v>
      </c>
      <c r="H784">
        <v>9</v>
      </c>
      <c r="I784" t="s">
        <v>35</v>
      </c>
      <c r="J784">
        <v>2</v>
      </c>
    </row>
    <row r="785" spans="1:10" x14ac:dyDescent="0.3">
      <c r="A785" t="s">
        <v>11</v>
      </c>
      <c r="B785">
        <v>45740</v>
      </c>
      <c r="C785" t="s">
        <v>14</v>
      </c>
      <c r="D785" t="s">
        <v>25</v>
      </c>
      <c r="E785" t="s">
        <v>29</v>
      </c>
      <c r="F785">
        <v>137</v>
      </c>
      <c r="G785">
        <v>3</v>
      </c>
      <c r="H785">
        <v>12</v>
      </c>
      <c r="I785" t="s">
        <v>34</v>
      </c>
      <c r="J785">
        <v>2</v>
      </c>
    </row>
    <row r="786" spans="1:10" x14ac:dyDescent="0.3">
      <c r="A786" t="s">
        <v>11</v>
      </c>
      <c r="B786">
        <v>45740</v>
      </c>
      <c r="C786" t="s">
        <v>21</v>
      </c>
      <c r="D786" t="s">
        <v>26</v>
      </c>
      <c r="E786" t="s">
        <v>30</v>
      </c>
      <c r="F786">
        <v>203</v>
      </c>
      <c r="G786">
        <v>3</v>
      </c>
      <c r="H786">
        <v>15</v>
      </c>
      <c r="I786" t="s">
        <v>33</v>
      </c>
      <c r="J786">
        <v>2</v>
      </c>
    </row>
    <row r="787" spans="1:10" x14ac:dyDescent="0.3">
      <c r="A787" t="s">
        <v>10</v>
      </c>
      <c r="B787">
        <v>45762</v>
      </c>
      <c r="C787" t="s">
        <v>15</v>
      </c>
      <c r="D787" t="s">
        <v>25</v>
      </c>
      <c r="E787" t="s">
        <v>32</v>
      </c>
      <c r="F787">
        <v>40</v>
      </c>
      <c r="G787">
        <v>5</v>
      </c>
      <c r="H787">
        <v>18</v>
      </c>
      <c r="I787" t="s">
        <v>33</v>
      </c>
      <c r="J787">
        <v>1</v>
      </c>
    </row>
    <row r="788" spans="1:10" x14ac:dyDescent="0.3">
      <c r="A788" t="s">
        <v>10</v>
      </c>
      <c r="B788">
        <v>45758</v>
      </c>
      <c r="C788" t="s">
        <v>21</v>
      </c>
      <c r="D788" t="s">
        <v>26</v>
      </c>
      <c r="E788" t="s">
        <v>31</v>
      </c>
      <c r="F788">
        <v>132</v>
      </c>
      <c r="G788">
        <v>5</v>
      </c>
      <c r="H788">
        <v>21</v>
      </c>
      <c r="I788" t="s">
        <v>33</v>
      </c>
      <c r="J788">
        <v>4</v>
      </c>
    </row>
    <row r="789" spans="1:10" x14ac:dyDescent="0.3">
      <c r="A789" t="s">
        <v>11</v>
      </c>
      <c r="B789">
        <v>45763</v>
      </c>
      <c r="C789" t="s">
        <v>21</v>
      </c>
      <c r="D789" t="s">
        <v>26</v>
      </c>
      <c r="E789" t="s">
        <v>28</v>
      </c>
      <c r="F789">
        <v>145</v>
      </c>
      <c r="G789">
        <v>4</v>
      </c>
      <c r="H789">
        <v>8</v>
      </c>
      <c r="I789" t="s">
        <v>34</v>
      </c>
      <c r="J789">
        <v>4</v>
      </c>
    </row>
    <row r="790" spans="1:10" x14ac:dyDescent="0.3">
      <c r="A790" t="s">
        <v>11</v>
      </c>
      <c r="B790">
        <v>45740</v>
      </c>
      <c r="C790" t="s">
        <v>14</v>
      </c>
      <c r="D790" t="s">
        <v>25</v>
      </c>
      <c r="E790" t="s">
        <v>29</v>
      </c>
      <c r="F790">
        <v>73</v>
      </c>
      <c r="G790">
        <v>3</v>
      </c>
      <c r="H790">
        <v>8</v>
      </c>
      <c r="I790" t="s">
        <v>34</v>
      </c>
    </row>
    <row r="791" spans="1:10" x14ac:dyDescent="0.3">
      <c r="A791" t="s">
        <v>11</v>
      </c>
      <c r="B791">
        <v>45744</v>
      </c>
      <c r="C791" t="s">
        <v>22</v>
      </c>
      <c r="D791" t="s">
        <v>25</v>
      </c>
      <c r="E791" t="s">
        <v>28</v>
      </c>
      <c r="F791">
        <v>108</v>
      </c>
      <c r="G791">
        <v>4</v>
      </c>
      <c r="H791">
        <v>8</v>
      </c>
      <c r="I791" t="s">
        <v>35</v>
      </c>
      <c r="J791">
        <v>3</v>
      </c>
    </row>
    <row r="792" spans="1:10" x14ac:dyDescent="0.3">
      <c r="A792" t="s">
        <v>11</v>
      </c>
      <c r="B792">
        <v>45750</v>
      </c>
      <c r="C792" t="s">
        <v>14</v>
      </c>
      <c r="D792" t="s">
        <v>25</v>
      </c>
      <c r="E792" t="s">
        <v>31</v>
      </c>
      <c r="F792">
        <v>127</v>
      </c>
      <c r="G792">
        <v>2</v>
      </c>
      <c r="H792">
        <v>11</v>
      </c>
      <c r="I792" t="s">
        <v>34</v>
      </c>
      <c r="J792">
        <v>2</v>
      </c>
    </row>
    <row r="793" spans="1:10" x14ac:dyDescent="0.3">
      <c r="A793" t="s">
        <v>11</v>
      </c>
      <c r="B793">
        <v>45763</v>
      </c>
      <c r="C793" t="s">
        <v>13</v>
      </c>
      <c r="D793" t="s">
        <v>24</v>
      </c>
      <c r="E793" t="s">
        <v>30</v>
      </c>
      <c r="F793">
        <v>236</v>
      </c>
      <c r="G793">
        <v>2</v>
      </c>
      <c r="H793">
        <v>8</v>
      </c>
      <c r="I793" t="s">
        <v>33</v>
      </c>
    </row>
    <row r="794" spans="1:10" x14ac:dyDescent="0.3">
      <c r="A794" t="s">
        <v>11</v>
      </c>
      <c r="B794">
        <v>45753</v>
      </c>
      <c r="C794" t="s">
        <v>21</v>
      </c>
      <c r="D794" t="s">
        <v>26</v>
      </c>
      <c r="E794" t="s">
        <v>31</v>
      </c>
      <c r="F794">
        <v>50</v>
      </c>
      <c r="G794">
        <v>1</v>
      </c>
      <c r="H794">
        <v>13</v>
      </c>
      <c r="I794" t="s">
        <v>33</v>
      </c>
    </row>
    <row r="795" spans="1:10" x14ac:dyDescent="0.3">
      <c r="A795" t="s">
        <v>10</v>
      </c>
      <c r="B795">
        <v>45767</v>
      </c>
      <c r="C795" t="s">
        <v>12</v>
      </c>
      <c r="D795" t="s">
        <v>23</v>
      </c>
      <c r="E795" t="s">
        <v>31</v>
      </c>
      <c r="F795">
        <v>82</v>
      </c>
      <c r="G795">
        <v>4</v>
      </c>
      <c r="H795">
        <v>25</v>
      </c>
      <c r="I795" t="s">
        <v>34</v>
      </c>
    </row>
    <row r="796" spans="1:10" x14ac:dyDescent="0.3">
      <c r="A796" t="s">
        <v>10</v>
      </c>
      <c r="B796">
        <v>45748</v>
      </c>
      <c r="C796" t="s">
        <v>14</v>
      </c>
      <c r="D796" t="s">
        <v>25</v>
      </c>
      <c r="E796" t="s">
        <v>31</v>
      </c>
      <c r="F796">
        <v>148</v>
      </c>
      <c r="G796">
        <v>1</v>
      </c>
      <c r="H796">
        <v>14</v>
      </c>
      <c r="I796" t="s">
        <v>35</v>
      </c>
      <c r="J796">
        <v>5</v>
      </c>
    </row>
    <row r="797" spans="1:10" x14ac:dyDescent="0.3">
      <c r="A797" t="s">
        <v>11</v>
      </c>
      <c r="B797">
        <v>45753</v>
      </c>
      <c r="C797" t="s">
        <v>18</v>
      </c>
      <c r="D797" t="s">
        <v>27</v>
      </c>
      <c r="E797" t="s">
        <v>31</v>
      </c>
      <c r="F797">
        <v>53</v>
      </c>
      <c r="G797">
        <v>4</v>
      </c>
      <c r="H797">
        <v>17</v>
      </c>
      <c r="I797" t="s">
        <v>33</v>
      </c>
    </row>
    <row r="798" spans="1:10" x14ac:dyDescent="0.3">
      <c r="A798" t="s">
        <v>11</v>
      </c>
      <c r="B798">
        <v>45767</v>
      </c>
      <c r="C798" t="s">
        <v>17</v>
      </c>
      <c r="D798" t="s">
        <v>24</v>
      </c>
      <c r="E798" t="s">
        <v>31</v>
      </c>
      <c r="F798">
        <v>127</v>
      </c>
      <c r="G798">
        <v>4</v>
      </c>
      <c r="H798">
        <v>11</v>
      </c>
      <c r="I798" t="s">
        <v>33</v>
      </c>
      <c r="J798">
        <v>2</v>
      </c>
    </row>
    <row r="799" spans="1:10" x14ac:dyDescent="0.3">
      <c r="A799" t="s">
        <v>10</v>
      </c>
      <c r="B799">
        <v>45753</v>
      </c>
      <c r="C799" t="s">
        <v>22</v>
      </c>
      <c r="D799" t="s">
        <v>25</v>
      </c>
      <c r="E799" t="s">
        <v>29</v>
      </c>
      <c r="F799">
        <v>59</v>
      </c>
      <c r="G799">
        <v>2</v>
      </c>
      <c r="H799">
        <v>12</v>
      </c>
      <c r="I799" t="s">
        <v>35</v>
      </c>
      <c r="J799">
        <v>4</v>
      </c>
    </row>
    <row r="800" spans="1:10" x14ac:dyDescent="0.3">
      <c r="A800" t="s">
        <v>11</v>
      </c>
      <c r="B800">
        <v>45759</v>
      </c>
      <c r="C800" t="s">
        <v>19</v>
      </c>
      <c r="D800" t="s">
        <v>23</v>
      </c>
      <c r="E800" t="s">
        <v>30</v>
      </c>
      <c r="F800">
        <v>228</v>
      </c>
      <c r="G800">
        <v>4</v>
      </c>
      <c r="H800">
        <v>19</v>
      </c>
      <c r="I800" t="s">
        <v>34</v>
      </c>
      <c r="J800">
        <v>3</v>
      </c>
    </row>
    <row r="801" spans="1:10" x14ac:dyDescent="0.3">
      <c r="A801" t="s">
        <v>10</v>
      </c>
      <c r="B801">
        <v>45767</v>
      </c>
      <c r="C801" t="s">
        <v>17</v>
      </c>
      <c r="D801" t="s">
        <v>24</v>
      </c>
      <c r="E801" t="s">
        <v>28</v>
      </c>
      <c r="F801">
        <v>157</v>
      </c>
      <c r="G801">
        <v>3</v>
      </c>
      <c r="H801">
        <v>21</v>
      </c>
      <c r="I801" t="s">
        <v>34</v>
      </c>
      <c r="J801">
        <v>5</v>
      </c>
    </row>
    <row r="802" spans="1:10" x14ac:dyDescent="0.3">
      <c r="A802" t="s">
        <v>10</v>
      </c>
      <c r="B802">
        <v>45766</v>
      </c>
      <c r="C802" t="s">
        <v>14</v>
      </c>
      <c r="D802" t="s">
        <v>25</v>
      </c>
      <c r="E802" t="s">
        <v>30</v>
      </c>
      <c r="F802">
        <v>146</v>
      </c>
      <c r="G802">
        <v>2</v>
      </c>
      <c r="H802">
        <v>14</v>
      </c>
      <c r="I802" t="s">
        <v>34</v>
      </c>
      <c r="J802">
        <v>3</v>
      </c>
    </row>
    <row r="803" spans="1:10" x14ac:dyDescent="0.3">
      <c r="A803" t="s">
        <v>10</v>
      </c>
      <c r="B803">
        <v>45749</v>
      </c>
      <c r="C803" t="s">
        <v>12</v>
      </c>
      <c r="D803" t="s">
        <v>23</v>
      </c>
      <c r="E803" t="s">
        <v>28</v>
      </c>
      <c r="F803">
        <v>175</v>
      </c>
      <c r="G803">
        <v>2</v>
      </c>
      <c r="H803">
        <v>23</v>
      </c>
      <c r="I803" t="s">
        <v>33</v>
      </c>
      <c r="J803">
        <v>2</v>
      </c>
    </row>
    <row r="804" spans="1:10" x14ac:dyDescent="0.3">
      <c r="A804" t="s">
        <v>10</v>
      </c>
      <c r="B804">
        <v>45741</v>
      </c>
      <c r="C804" t="s">
        <v>17</v>
      </c>
      <c r="D804" t="s">
        <v>24</v>
      </c>
      <c r="E804" t="s">
        <v>28</v>
      </c>
      <c r="F804">
        <v>236</v>
      </c>
      <c r="G804">
        <v>1</v>
      </c>
      <c r="H804">
        <v>10</v>
      </c>
      <c r="I804" t="s">
        <v>34</v>
      </c>
    </row>
    <row r="805" spans="1:10" x14ac:dyDescent="0.3">
      <c r="A805" t="s">
        <v>10</v>
      </c>
      <c r="B805">
        <v>45742</v>
      </c>
      <c r="C805" t="s">
        <v>16</v>
      </c>
      <c r="D805" t="s">
        <v>26</v>
      </c>
      <c r="E805" t="s">
        <v>28</v>
      </c>
      <c r="F805">
        <v>171</v>
      </c>
      <c r="G805">
        <v>4</v>
      </c>
      <c r="H805">
        <v>21</v>
      </c>
      <c r="I805" t="s">
        <v>34</v>
      </c>
      <c r="J805">
        <v>4</v>
      </c>
    </row>
    <row r="806" spans="1:10" x14ac:dyDescent="0.3">
      <c r="A806" t="s">
        <v>11</v>
      </c>
      <c r="B806">
        <v>45745</v>
      </c>
      <c r="C806" t="s">
        <v>22</v>
      </c>
      <c r="D806" t="s">
        <v>25</v>
      </c>
      <c r="E806" t="s">
        <v>28</v>
      </c>
      <c r="F806">
        <v>30</v>
      </c>
      <c r="G806">
        <v>3</v>
      </c>
      <c r="H806">
        <v>16</v>
      </c>
      <c r="I806" t="s">
        <v>34</v>
      </c>
      <c r="J806">
        <v>3</v>
      </c>
    </row>
    <row r="807" spans="1:10" x14ac:dyDescent="0.3">
      <c r="A807" t="s">
        <v>10</v>
      </c>
      <c r="B807">
        <v>45761</v>
      </c>
      <c r="C807" t="s">
        <v>15</v>
      </c>
      <c r="D807" t="s">
        <v>25</v>
      </c>
      <c r="E807" t="s">
        <v>32</v>
      </c>
      <c r="F807">
        <v>39</v>
      </c>
      <c r="G807">
        <v>5</v>
      </c>
      <c r="H807">
        <v>25</v>
      </c>
      <c r="I807" t="s">
        <v>35</v>
      </c>
      <c r="J807">
        <v>2</v>
      </c>
    </row>
    <row r="808" spans="1:10" x14ac:dyDescent="0.3">
      <c r="A808" t="s">
        <v>10</v>
      </c>
      <c r="B808">
        <v>45754</v>
      </c>
      <c r="C808" t="s">
        <v>17</v>
      </c>
      <c r="D808" t="s">
        <v>24</v>
      </c>
      <c r="E808" t="s">
        <v>29</v>
      </c>
      <c r="F808">
        <v>165</v>
      </c>
      <c r="G808">
        <v>3</v>
      </c>
      <c r="H808">
        <v>13</v>
      </c>
      <c r="I808" t="s">
        <v>35</v>
      </c>
    </row>
    <row r="809" spans="1:10" x14ac:dyDescent="0.3">
      <c r="A809" t="s">
        <v>10</v>
      </c>
      <c r="B809">
        <v>45740</v>
      </c>
      <c r="C809" t="s">
        <v>15</v>
      </c>
      <c r="D809" t="s">
        <v>25</v>
      </c>
      <c r="E809" t="s">
        <v>31</v>
      </c>
      <c r="F809">
        <v>40</v>
      </c>
      <c r="G809">
        <v>2</v>
      </c>
      <c r="H809">
        <v>14</v>
      </c>
      <c r="I809" t="s">
        <v>33</v>
      </c>
      <c r="J809">
        <v>5</v>
      </c>
    </row>
    <row r="810" spans="1:10" x14ac:dyDescent="0.3">
      <c r="A810" t="s">
        <v>10</v>
      </c>
      <c r="B810">
        <v>45743</v>
      </c>
      <c r="C810" t="s">
        <v>17</v>
      </c>
      <c r="D810" t="s">
        <v>24</v>
      </c>
      <c r="E810" t="s">
        <v>28</v>
      </c>
      <c r="F810">
        <v>164</v>
      </c>
      <c r="G810">
        <v>2</v>
      </c>
      <c r="H810">
        <v>19</v>
      </c>
      <c r="I810" t="s">
        <v>33</v>
      </c>
      <c r="J810">
        <v>2</v>
      </c>
    </row>
    <row r="811" spans="1:10" x14ac:dyDescent="0.3">
      <c r="A811" t="s">
        <v>10</v>
      </c>
      <c r="B811">
        <v>45749</v>
      </c>
      <c r="C811" t="s">
        <v>13</v>
      </c>
      <c r="D811" t="s">
        <v>24</v>
      </c>
      <c r="E811" t="s">
        <v>30</v>
      </c>
      <c r="F811">
        <v>94</v>
      </c>
      <c r="G811">
        <v>5</v>
      </c>
      <c r="H811">
        <v>18</v>
      </c>
      <c r="I811" t="s">
        <v>33</v>
      </c>
      <c r="J811">
        <v>1</v>
      </c>
    </row>
    <row r="812" spans="1:10" x14ac:dyDescent="0.3">
      <c r="A812" t="s">
        <v>10</v>
      </c>
      <c r="B812">
        <v>45745</v>
      </c>
      <c r="C812" t="s">
        <v>15</v>
      </c>
      <c r="D812" t="s">
        <v>25</v>
      </c>
      <c r="E812" t="s">
        <v>30</v>
      </c>
      <c r="F812">
        <v>52</v>
      </c>
      <c r="G812">
        <v>4</v>
      </c>
      <c r="H812">
        <v>24</v>
      </c>
      <c r="I812" t="s">
        <v>34</v>
      </c>
      <c r="J812">
        <v>4</v>
      </c>
    </row>
    <row r="813" spans="1:10" x14ac:dyDescent="0.3">
      <c r="A813" t="s">
        <v>10</v>
      </c>
      <c r="B813">
        <v>45747</v>
      </c>
      <c r="C813" t="s">
        <v>21</v>
      </c>
      <c r="D813" t="s">
        <v>26</v>
      </c>
      <c r="E813" t="s">
        <v>31</v>
      </c>
      <c r="F813">
        <v>135</v>
      </c>
      <c r="G813">
        <v>5</v>
      </c>
      <c r="H813">
        <v>23</v>
      </c>
      <c r="I813" t="s">
        <v>34</v>
      </c>
      <c r="J813">
        <v>4</v>
      </c>
    </row>
    <row r="814" spans="1:10" x14ac:dyDescent="0.3">
      <c r="A814" t="s">
        <v>10</v>
      </c>
      <c r="B814">
        <v>45744</v>
      </c>
      <c r="C814" t="s">
        <v>18</v>
      </c>
      <c r="D814" t="s">
        <v>27</v>
      </c>
      <c r="E814" t="s">
        <v>31</v>
      </c>
      <c r="F814">
        <v>210</v>
      </c>
      <c r="G814">
        <v>2</v>
      </c>
      <c r="H814">
        <v>21</v>
      </c>
      <c r="I814" t="s">
        <v>34</v>
      </c>
      <c r="J814">
        <v>1</v>
      </c>
    </row>
    <row r="815" spans="1:10" x14ac:dyDescent="0.3">
      <c r="A815" t="s">
        <v>10</v>
      </c>
      <c r="B815">
        <v>45758</v>
      </c>
      <c r="C815" t="s">
        <v>12</v>
      </c>
      <c r="D815" t="s">
        <v>23</v>
      </c>
      <c r="E815" t="s">
        <v>31</v>
      </c>
      <c r="F815">
        <v>160</v>
      </c>
      <c r="G815">
        <v>2</v>
      </c>
      <c r="H815">
        <v>10</v>
      </c>
      <c r="I815" t="s">
        <v>33</v>
      </c>
      <c r="J815">
        <v>5</v>
      </c>
    </row>
    <row r="816" spans="1:10" x14ac:dyDescent="0.3">
      <c r="A816" t="s">
        <v>10</v>
      </c>
      <c r="B816">
        <v>45740</v>
      </c>
      <c r="C816" t="s">
        <v>16</v>
      </c>
      <c r="D816" t="s">
        <v>26</v>
      </c>
      <c r="E816" t="s">
        <v>31</v>
      </c>
      <c r="F816">
        <v>199</v>
      </c>
      <c r="G816">
        <v>1</v>
      </c>
      <c r="H816">
        <v>24</v>
      </c>
      <c r="I816" t="s">
        <v>34</v>
      </c>
      <c r="J816">
        <v>4</v>
      </c>
    </row>
    <row r="817" spans="1:10" x14ac:dyDescent="0.3">
      <c r="A817" t="s">
        <v>10</v>
      </c>
      <c r="B817">
        <v>45744</v>
      </c>
      <c r="C817" t="s">
        <v>21</v>
      </c>
      <c r="D817" t="s">
        <v>26</v>
      </c>
      <c r="E817" t="s">
        <v>32</v>
      </c>
      <c r="F817">
        <v>188</v>
      </c>
      <c r="G817">
        <v>4</v>
      </c>
      <c r="H817">
        <v>21</v>
      </c>
      <c r="I817" t="s">
        <v>34</v>
      </c>
      <c r="J817">
        <v>2</v>
      </c>
    </row>
    <row r="818" spans="1:10" x14ac:dyDescent="0.3">
      <c r="A818" t="s">
        <v>10</v>
      </c>
      <c r="B818">
        <v>45757</v>
      </c>
      <c r="C818" t="s">
        <v>13</v>
      </c>
      <c r="D818" t="s">
        <v>24</v>
      </c>
      <c r="E818" t="s">
        <v>32</v>
      </c>
      <c r="F818">
        <v>152</v>
      </c>
      <c r="G818">
        <v>1</v>
      </c>
      <c r="H818">
        <v>23</v>
      </c>
      <c r="I818" t="s">
        <v>34</v>
      </c>
      <c r="J818">
        <v>2</v>
      </c>
    </row>
    <row r="819" spans="1:10" x14ac:dyDescent="0.3">
      <c r="A819" t="s">
        <v>11</v>
      </c>
      <c r="B819">
        <v>45756</v>
      </c>
      <c r="C819" t="s">
        <v>18</v>
      </c>
      <c r="D819" t="s">
        <v>27</v>
      </c>
      <c r="E819" t="s">
        <v>31</v>
      </c>
      <c r="F819">
        <v>139</v>
      </c>
      <c r="G819">
        <v>4</v>
      </c>
      <c r="H819">
        <v>15</v>
      </c>
      <c r="I819" t="s">
        <v>35</v>
      </c>
    </row>
    <row r="820" spans="1:10" x14ac:dyDescent="0.3">
      <c r="A820" t="s">
        <v>10</v>
      </c>
      <c r="B820">
        <v>45762</v>
      </c>
      <c r="C820" t="s">
        <v>12</v>
      </c>
      <c r="D820" t="s">
        <v>23</v>
      </c>
      <c r="E820" t="s">
        <v>29</v>
      </c>
      <c r="F820">
        <v>74</v>
      </c>
      <c r="G820">
        <v>3</v>
      </c>
      <c r="H820">
        <v>22</v>
      </c>
      <c r="I820" t="s">
        <v>35</v>
      </c>
    </row>
    <row r="821" spans="1:10" x14ac:dyDescent="0.3">
      <c r="A821" t="s">
        <v>11</v>
      </c>
      <c r="B821">
        <v>45760</v>
      </c>
      <c r="C821" t="s">
        <v>15</v>
      </c>
      <c r="D821" t="s">
        <v>25</v>
      </c>
      <c r="E821" t="s">
        <v>28</v>
      </c>
      <c r="F821">
        <v>235</v>
      </c>
      <c r="G821">
        <v>4</v>
      </c>
      <c r="H821">
        <v>7</v>
      </c>
      <c r="I821" t="s">
        <v>35</v>
      </c>
      <c r="J821">
        <v>2</v>
      </c>
    </row>
    <row r="822" spans="1:10" x14ac:dyDescent="0.3">
      <c r="A822" t="s">
        <v>10</v>
      </c>
      <c r="B822">
        <v>45754</v>
      </c>
      <c r="C822" t="s">
        <v>13</v>
      </c>
      <c r="D822" t="s">
        <v>24</v>
      </c>
      <c r="E822" t="s">
        <v>31</v>
      </c>
      <c r="F822">
        <v>204</v>
      </c>
      <c r="G822">
        <v>4</v>
      </c>
      <c r="H822">
        <v>21</v>
      </c>
      <c r="I822" t="s">
        <v>34</v>
      </c>
      <c r="J822">
        <v>1</v>
      </c>
    </row>
    <row r="823" spans="1:10" x14ac:dyDescent="0.3">
      <c r="A823" t="s">
        <v>10</v>
      </c>
      <c r="B823">
        <v>45747</v>
      </c>
      <c r="C823" t="s">
        <v>13</v>
      </c>
      <c r="D823" t="s">
        <v>24</v>
      </c>
      <c r="E823" t="s">
        <v>28</v>
      </c>
      <c r="F823">
        <v>234</v>
      </c>
      <c r="G823">
        <v>3</v>
      </c>
      <c r="H823">
        <v>17</v>
      </c>
      <c r="I823" t="s">
        <v>35</v>
      </c>
      <c r="J823">
        <v>5</v>
      </c>
    </row>
    <row r="824" spans="1:10" x14ac:dyDescent="0.3">
      <c r="A824" t="s">
        <v>11</v>
      </c>
      <c r="B824">
        <v>45739</v>
      </c>
      <c r="C824" t="s">
        <v>13</v>
      </c>
      <c r="D824" t="s">
        <v>24</v>
      </c>
      <c r="E824" t="s">
        <v>31</v>
      </c>
      <c r="F824">
        <v>208</v>
      </c>
      <c r="G824">
        <v>5</v>
      </c>
      <c r="H824">
        <v>17</v>
      </c>
      <c r="I824" t="s">
        <v>35</v>
      </c>
      <c r="J824">
        <v>4</v>
      </c>
    </row>
    <row r="825" spans="1:10" x14ac:dyDescent="0.3">
      <c r="A825" t="s">
        <v>10</v>
      </c>
      <c r="B825">
        <v>45760</v>
      </c>
      <c r="C825" t="s">
        <v>16</v>
      </c>
      <c r="D825" t="s">
        <v>26</v>
      </c>
      <c r="E825" t="s">
        <v>28</v>
      </c>
      <c r="F825">
        <v>117</v>
      </c>
      <c r="G825">
        <v>1</v>
      </c>
      <c r="H825">
        <v>21</v>
      </c>
      <c r="I825" t="s">
        <v>34</v>
      </c>
      <c r="J825">
        <v>4</v>
      </c>
    </row>
    <row r="826" spans="1:10" x14ac:dyDescent="0.3">
      <c r="A826" t="s">
        <v>10</v>
      </c>
      <c r="B826">
        <v>45742</v>
      </c>
      <c r="C826" t="s">
        <v>18</v>
      </c>
      <c r="D826" t="s">
        <v>27</v>
      </c>
      <c r="E826" t="s">
        <v>29</v>
      </c>
      <c r="F826">
        <v>137</v>
      </c>
      <c r="G826">
        <v>4</v>
      </c>
      <c r="H826">
        <v>11</v>
      </c>
      <c r="I826" t="s">
        <v>35</v>
      </c>
      <c r="J826">
        <v>2</v>
      </c>
    </row>
    <row r="827" spans="1:10" x14ac:dyDescent="0.3">
      <c r="A827" t="s">
        <v>11</v>
      </c>
      <c r="B827">
        <v>45744</v>
      </c>
      <c r="C827" t="s">
        <v>16</v>
      </c>
      <c r="D827" t="s">
        <v>26</v>
      </c>
      <c r="E827" t="s">
        <v>28</v>
      </c>
      <c r="F827">
        <v>93</v>
      </c>
      <c r="G827">
        <v>1</v>
      </c>
      <c r="H827">
        <v>12</v>
      </c>
      <c r="I827" t="s">
        <v>33</v>
      </c>
      <c r="J827">
        <v>1</v>
      </c>
    </row>
    <row r="828" spans="1:10" x14ac:dyDescent="0.3">
      <c r="A828" t="s">
        <v>10</v>
      </c>
      <c r="B828">
        <v>45755</v>
      </c>
      <c r="C828" t="s">
        <v>12</v>
      </c>
      <c r="D828" t="s">
        <v>23</v>
      </c>
      <c r="E828" t="s">
        <v>32</v>
      </c>
      <c r="F828">
        <v>160</v>
      </c>
      <c r="G828">
        <v>4</v>
      </c>
      <c r="H828">
        <v>15</v>
      </c>
      <c r="I828" t="s">
        <v>35</v>
      </c>
    </row>
    <row r="829" spans="1:10" x14ac:dyDescent="0.3">
      <c r="A829" t="s">
        <v>10</v>
      </c>
      <c r="B829">
        <v>45749</v>
      </c>
      <c r="C829" t="s">
        <v>20</v>
      </c>
      <c r="D829" t="s">
        <v>20</v>
      </c>
      <c r="E829" t="s">
        <v>30</v>
      </c>
      <c r="F829">
        <v>199</v>
      </c>
      <c r="G829">
        <v>4</v>
      </c>
      <c r="H829">
        <v>13</v>
      </c>
      <c r="I829" t="s">
        <v>34</v>
      </c>
      <c r="J829">
        <v>1</v>
      </c>
    </row>
    <row r="830" spans="1:10" x14ac:dyDescent="0.3">
      <c r="A830" t="s">
        <v>10</v>
      </c>
      <c r="B830">
        <v>45746</v>
      </c>
      <c r="C830" t="s">
        <v>19</v>
      </c>
      <c r="D830" t="s">
        <v>23</v>
      </c>
      <c r="E830" t="s">
        <v>31</v>
      </c>
      <c r="F830">
        <v>168</v>
      </c>
      <c r="G830">
        <v>1</v>
      </c>
      <c r="H830">
        <v>23</v>
      </c>
      <c r="I830" t="s">
        <v>34</v>
      </c>
      <c r="J830">
        <v>5</v>
      </c>
    </row>
    <row r="831" spans="1:10" x14ac:dyDescent="0.3">
      <c r="A831" t="s">
        <v>10</v>
      </c>
      <c r="B831">
        <v>45765</v>
      </c>
      <c r="C831" t="s">
        <v>22</v>
      </c>
      <c r="D831" t="s">
        <v>25</v>
      </c>
      <c r="E831" t="s">
        <v>31</v>
      </c>
      <c r="F831">
        <v>87</v>
      </c>
      <c r="G831">
        <v>1</v>
      </c>
      <c r="H831">
        <v>11</v>
      </c>
      <c r="I831" t="s">
        <v>33</v>
      </c>
      <c r="J831">
        <v>1</v>
      </c>
    </row>
    <row r="832" spans="1:10" x14ac:dyDescent="0.3">
      <c r="A832" t="s">
        <v>10</v>
      </c>
      <c r="B832">
        <v>45766</v>
      </c>
      <c r="C832" t="s">
        <v>18</v>
      </c>
      <c r="D832" t="s">
        <v>27</v>
      </c>
      <c r="E832" t="s">
        <v>30</v>
      </c>
      <c r="F832">
        <v>156</v>
      </c>
      <c r="G832">
        <v>5</v>
      </c>
      <c r="H832">
        <v>14</v>
      </c>
      <c r="I832" t="s">
        <v>34</v>
      </c>
      <c r="J832">
        <v>4</v>
      </c>
    </row>
    <row r="833" spans="1:10" x14ac:dyDescent="0.3">
      <c r="A833" t="s">
        <v>11</v>
      </c>
      <c r="B833">
        <v>45760</v>
      </c>
      <c r="C833" t="s">
        <v>20</v>
      </c>
      <c r="D833" t="s">
        <v>20</v>
      </c>
      <c r="E833" t="s">
        <v>29</v>
      </c>
      <c r="F833">
        <v>232</v>
      </c>
      <c r="G833">
        <v>2</v>
      </c>
      <c r="H833">
        <v>15</v>
      </c>
      <c r="I833" t="s">
        <v>34</v>
      </c>
      <c r="J833">
        <v>5</v>
      </c>
    </row>
    <row r="834" spans="1:10" x14ac:dyDescent="0.3">
      <c r="A834" t="s">
        <v>10</v>
      </c>
      <c r="B834">
        <v>45754</v>
      </c>
      <c r="C834" t="s">
        <v>18</v>
      </c>
      <c r="D834" t="s">
        <v>27</v>
      </c>
      <c r="E834" t="s">
        <v>29</v>
      </c>
      <c r="F834">
        <v>151</v>
      </c>
      <c r="G834">
        <v>1</v>
      </c>
      <c r="H834">
        <v>19</v>
      </c>
      <c r="I834" t="s">
        <v>35</v>
      </c>
      <c r="J834">
        <v>3</v>
      </c>
    </row>
    <row r="835" spans="1:10" x14ac:dyDescent="0.3">
      <c r="A835" t="s">
        <v>11</v>
      </c>
      <c r="B835">
        <v>45742</v>
      </c>
      <c r="C835" t="s">
        <v>14</v>
      </c>
      <c r="D835" t="s">
        <v>25</v>
      </c>
      <c r="E835" t="s">
        <v>32</v>
      </c>
      <c r="F835">
        <v>110</v>
      </c>
      <c r="G835">
        <v>3</v>
      </c>
      <c r="H835">
        <v>17</v>
      </c>
      <c r="I835" t="s">
        <v>33</v>
      </c>
      <c r="J835">
        <v>2</v>
      </c>
    </row>
    <row r="836" spans="1:10" x14ac:dyDescent="0.3">
      <c r="A836" t="s">
        <v>10</v>
      </c>
      <c r="B836">
        <v>45757</v>
      </c>
      <c r="C836" t="s">
        <v>17</v>
      </c>
      <c r="D836" t="s">
        <v>24</v>
      </c>
      <c r="E836" t="s">
        <v>29</v>
      </c>
      <c r="F836">
        <v>100</v>
      </c>
      <c r="G836">
        <v>5</v>
      </c>
      <c r="H836">
        <v>23</v>
      </c>
      <c r="I836" t="s">
        <v>33</v>
      </c>
    </row>
    <row r="837" spans="1:10" x14ac:dyDescent="0.3">
      <c r="A837" t="s">
        <v>11</v>
      </c>
      <c r="B837">
        <v>45763</v>
      </c>
      <c r="C837" t="s">
        <v>14</v>
      </c>
      <c r="D837" t="s">
        <v>25</v>
      </c>
      <c r="E837" t="s">
        <v>31</v>
      </c>
      <c r="F837">
        <v>227</v>
      </c>
      <c r="G837">
        <v>5</v>
      </c>
      <c r="H837">
        <v>13</v>
      </c>
      <c r="I837" t="s">
        <v>33</v>
      </c>
    </row>
    <row r="838" spans="1:10" x14ac:dyDescent="0.3">
      <c r="A838" t="s">
        <v>10</v>
      </c>
      <c r="B838">
        <v>45757</v>
      </c>
      <c r="C838" t="s">
        <v>15</v>
      </c>
      <c r="D838" t="s">
        <v>25</v>
      </c>
      <c r="E838" t="s">
        <v>31</v>
      </c>
      <c r="F838">
        <v>154</v>
      </c>
      <c r="G838">
        <v>2</v>
      </c>
      <c r="H838">
        <v>15</v>
      </c>
      <c r="I838" t="s">
        <v>34</v>
      </c>
      <c r="J838">
        <v>1</v>
      </c>
    </row>
    <row r="839" spans="1:10" x14ac:dyDescent="0.3">
      <c r="A839" t="s">
        <v>11</v>
      </c>
      <c r="B839">
        <v>45757</v>
      </c>
      <c r="C839" t="s">
        <v>19</v>
      </c>
      <c r="D839" t="s">
        <v>23</v>
      </c>
      <c r="E839" t="s">
        <v>30</v>
      </c>
      <c r="F839">
        <v>83</v>
      </c>
      <c r="G839">
        <v>2</v>
      </c>
      <c r="H839">
        <v>18</v>
      </c>
      <c r="I839" t="s">
        <v>34</v>
      </c>
      <c r="J839">
        <v>1</v>
      </c>
    </row>
    <row r="840" spans="1:10" x14ac:dyDescent="0.3">
      <c r="A840" t="s">
        <v>11</v>
      </c>
      <c r="B840">
        <v>45741</v>
      </c>
      <c r="C840" t="s">
        <v>13</v>
      </c>
      <c r="D840" t="s">
        <v>24</v>
      </c>
      <c r="E840" t="s">
        <v>31</v>
      </c>
      <c r="F840">
        <v>45</v>
      </c>
      <c r="G840">
        <v>2</v>
      </c>
      <c r="H840">
        <v>11</v>
      </c>
      <c r="I840" t="s">
        <v>35</v>
      </c>
      <c r="J840">
        <v>5</v>
      </c>
    </row>
    <row r="841" spans="1:10" x14ac:dyDescent="0.3">
      <c r="A841" t="s">
        <v>10</v>
      </c>
      <c r="B841">
        <v>45754</v>
      </c>
      <c r="C841" t="s">
        <v>13</v>
      </c>
      <c r="D841" t="s">
        <v>24</v>
      </c>
      <c r="E841" t="s">
        <v>32</v>
      </c>
      <c r="F841">
        <v>216</v>
      </c>
      <c r="G841">
        <v>1</v>
      </c>
      <c r="H841">
        <v>13</v>
      </c>
      <c r="I841" t="s">
        <v>34</v>
      </c>
      <c r="J841">
        <v>4</v>
      </c>
    </row>
    <row r="842" spans="1:10" x14ac:dyDescent="0.3">
      <c r="A842" t="s">
        <v>10</v>
      </c>
      <c r="B842">
        <v>45742</v>
      </c>
      <c r="C842" t="s">
        <v>19</v>
      </c>
      <c r="D842" t="s">
        <v>23</v>
      </c>
      <c r="E842" t="s">
        <v>32</v>
      </c>
      <c r="F842">
        <v>199</v>
      </c>
      <c r="G842">
        <v>4</v>
      </c>
      <c r="H842">
        <v>12</v>
      </c>
      <c r="I842" t="s">
        <v>34</v>
      </c>
      <c r="J842">
        <v>2</v>
      </c>
    </row>
    <row r="843" spans="1:10" x14ac:dyDescent="0.3">
      <c r="A843" t="s">
        <v>10</v>
      </c>
      <c r="B843">
        <v>45740</v>
      </c>
      <c r="C843" t="s">
        <v>14</v>
      </c>
      <c r="D843" t="s">
        <v>25</v>
      </c>
      <c r="E843" t="s">
        <v>28</v>
      </c>
      <c r="F843">
        <v>192</v>
      </c>
      <c r="G843">
        <v>5</v>
      </c>
      <c r="H843">
        <v>17</v>
      </c>
      <c r="I843" t="s">
        <v>33</v>
      </c>
      <c r="J843">
        <v>5</v>
      </c>
    </row>
    <row r="844" spans="1:10" x14ac:dyDescent="0.3">
      <c r="A844" t="s">
        <v>10</v>
      </c>
      <c r="B844">
        <v>45749</v>
      </c>
      <c r="C844" t="s">
        <v>21</v>
      </c>
      <c r="D844" t="s">
        <v>26</v>
      </c>
      <c r="E844" t="s">
        <v>32</v>
      </c>
      <c r="F844">
        <v>198</v>
      </c>
      <c r="G844">
        <v>1</v>
      </c>
      <c r="H844">
        <v>17</v>
      </c>
      <c r="I844" t="s">
        <v>34</v>
      </c>
      <c r="J844">
        <v>4</v>
      </c>
    </row>
    <row r="845" spans="1:10" x14ac:dyDescent="0.3">
      <c r="A845" t="s">
        <v>10</v>
      </c>
      <c r="B845">
        <v>45756</v>
      </c>
      <c r="C845" t="s">
        <v>12</v>
      </c>
      <c r="D845" t="s">
        <v>23</v>
      </c>
      <c r="E845" t="s">
        <v>30</v>
      </c>
      <c r="F845">
        <v>198</v>
      </c>
      <c r="G845">
        <v>1</v>
      </c>
      <c r="H845">
        <v>22</v>
      </c>
      <c r="I845" t="s">
        <v>34</v>
      </c>
    </row>
    <row r="846" spans="1:10" x14ac:dyDescent="0.3">
      <c r="A846" t="s">
        <v>10</v>
      </c>
      <c r="B846">
        <v>45754</v>
      </c>
      <c r="C846" t="s">
        <v>15</v>
      </c>
      <c r="D846" t="s">
        <v>25</v>
      </c>
      <c r="E846" t="s">
        <v>30</v>
      </c>
      <c r="F846">
        <v>248</v>
      </c>
      <c r="G846">
        <v>5</v>
      </c>
      <c r="H846">
        <v>12</v>
      </c>
      <c r="I846" t="s">
        <v>34</v>
      </c>
      <c r="J846">
        <v>1</v>
      </c>
    </row>
    <row r="847" spans="1:10" x14ac:dyDescent="0.3">
      <c r="A847" t="s">
        <v>11</v>
      </c>
      <c r="B847">
        <v>45752</v>
      </c>
      <c r="C847" t="s">
        <v>15</v>
      </c>
      <c r="D847" t="s">
        <v>25</v>
      </c>
      <c r="E847" t="s">
        <v>31</v>
      </c>
      <c r="F847">
        <v>83</v>
      </c>
      <c r="G847">
        <v>5</v>
      </c>
      <c r="H847">
        <v>20</v>
      </c>
      <c r="I847" t="s">
        <v>35</v>
      </c>
    </row>
    <row r="848" spans="1:10" x14ac:dyDescent="0.3">
      <c r="A848" t="s">
        <v>11</v>
      </c>
      <c r="B848">
        <v>45750</v>
      </c>
      <c r="C848" t="s">
        <v>18</v>
      </c>
      <c r="D848" t="s">
        <v>27</v>
      </c>
      <c r="E848" t="s">
        <v>29</v>
      </c>
      <c r="F848">
        <v>146</v>
      </c>
      <c r="G848">
        <v>4</v>
      </c>
      <c r="H848">
        <v>17</v>
      </c>
      <c r="I848" t="s">
        <v>34</v>
      </c>
      <c r="J848">
        <v>5</v>
      </c>
    </row>
    <row r="849" spans="1:10" x14ac:dyDescent="0.3">
      <c r="A849" t="s">
        <v>10</v>
      </c>
      <c r="B849">
        <v>45764</v>
      </c>
      <c r="C849" t="s">
        <v>15</v>
      </c>
      <c r="D849" t="s">
        <v>25</v>
      </c>
      <c r="E849" t="s">
        <v>31</v>
      </c>
      <c r="F849">
        <v>180</v>
      </c>
      <c r="G849">
        <v>2</v>
      </c>
      <c r="H849">
        <v>16</v>
      </c>
      <c r="I849" t="s">
        <v>35</v>
      </c>
      <c r="J849">
        <v>1</v>
      </c>
    </row>
    <row r="850" spans="1:10" x14ac:dyDescent="0.3">
      <c r="A850" t="s">
        <v>10</v>
      </c>
      <c r="B850">
        <v>45764</v>
      </c>
      <c r="C850" t="s">
        <v>16</v>
      </c>
      <c r="D850" t="s">
        <v>26</v>
      </c>
      <c r="E850" t="s">
        <v>29</v>
      </c>
      <c r="F850">
        <v>106</v>
      </c>
      <c r="G850">
        <v>3</v>
      </c>
      <c r="H850">
        <v>23</v>
      </c>
      <c r="I850" t="s">
        <v>33</v>
      </c>
      <c r="J850">
        <v>2</v>
      </c>
    </row>
    <row r="851" spans="1:10" x14ac:dyDescent="0.3">
      <c r="A851" t="s">
        <v>11</v>
      </c>
      <c r="B851">
        <v>45760</v>
      </c>
      <c r="C851" t="s">
        <v>20</v>
      </c>
      <c r="D851" t="s">
        <v>20</v>
      </c>
      <c r="E851" t="s">
        <v>30</v>
      </c>
      <c r="F851">
        <v>68</v>
      </c>
      <c r="G851">
        <v>5</v>
      </c>
      <c r="H851">
        <v>19</v>
      </c>
      <c r="I851" t="s">
        <v>35</v>
      </c>
      <c r="J851">
        <v>2</v>
      </c>
    </row>
    <row r="852" spans="1:10" x14ac:dyDescent="0.3">
      <c r="A852" t="s">
        <v>10</v>
      </c>
      <c r="B852">
        <v>45752</v>
      </c>
      <c r="C852" t="s">
        <v>12</v>
      </c>
      <c r="D852" t="s">
        <v>23</v>
      </c>
      <c r="E852" t="s">
        <v>28</v>
      </c>
      <c r="F852">
        <v>65</v>
      </c>
      <c r="G852">
        <v>4</v>
      </c>
      <c r="H852">
        <v>12</v>
      </c>
      <c r="I852" t="s">
        <v>35</v>
      </c>
      <c r="J852">
        <v>3</v>
      </c>
    </row>
    <row r="853" spans="1:10" x14ac:dyDescent="0.3">
      <c r="A853" t="s">
        <v>10</v>
      </c>
      <c r="B853">
        <v>45765</v>
      </c>
      <c r="C853" t="s">
        <v>19</v>
      </c>
      <c r="D853" t="s">
        <v>23</v>
      </c>
      <c r="E853" t="s">
        <v>30</v>
      </c>
      <c r="F853">
        <v>167</v>
      </c>
      <c r="G853">
        <v>2</v>
      </c>
      <c r="H853">
        <v>12</v>
      </c>
      <c r="I853" t="s">
        <v>33</v>
      </c>
      <c r="J853">
        <v>5</v>
      </c>
    </row>
    <row r="854" spans="1:10" x14ac:dyDescent="0.3">
      <c r="A854" t="s">
        <v>11</v>
      </c>
      <c r="B854">
        <v>45740</v>
      </c>
      <c r="C854" t="s">
        <v>22</v>
      </c>
      <c r="D854" t="s">
        <v>25</v>
      </c>
      <c r="E854" t="s">
        <v>31</v>
      </c>
      <c r="F854">
        <v>221</v>
      </c>
      <c r="G854">
        <v>2</v>
      </c>
      <c r="H854">
        <v>16</v>
      </c>
      <c r="I854" t="s">
        <v>33</v>
      </c>
      <c r="J854">
        <v>4</v>
      </c>
    </row>
    <row r="855" spans="1:10" x14ac:dyDescent="0.3">
      <c r="A855" t="s">
        <v>11</v>
      </c>
      <c r="B855">
        <v>45740</v>
      </c>
      <c r="C855" t="s">
        <v>19</v>
      </c>
      <c r="D855" t="s">
        <v>23</v>
      </c>
      <c r="E855" t="s">
        <v>29</v>
      </c>
      <c r="F855">
        <v>245</v>
      </c>
      <c r="G855">
        <v>5</v>
      </c>
      <c r="H855">
        <v>12</v>
      </c>
      <c r="I855" t="s">
        <v>34</v>
      </c>
    </row>
    <row r="856" spans="1:10" x14ac:dyDescent="0.3">
      <c r="A856" t="s">
        <v>10</v>
      </c>
      <c r="B856">
        <v>45757</v>
      </c>
      <c r="C856" t="s">
        <v>17</v>
      </c>
      <c r="D856" t="s">
        <v>24</v>
      </c>
      <c r="E856" t="s">
        <v>29</v>
      </c>
      <c r="F856">
        <v>189</v>
      </c>
      <c r="G856">
        <v>1</v>
      </c>
      <c r="H856">
        <v>20</v>
      </c>
      <c r="I856" t="s">
        <v>35</v>
      </c>
      <c r="J856">
        <v>4</v>
      </c>
    </row>
    <row r="857" spans="1:10" x14ac:dyDescent="0.3">
      <c r="A857" t="s">
        <v>10</v>
      </c>
      <c r="B857">
        <v>45754</v>
      </c>
      <c r="C857" t="s">
        <v>22</v>
      </c>
      <c r="D857" t="s">
        <v>25</v>
      </c>
      <c r="E857" t="s">
        <v>31</v>
      </c>
      <c r="F857">
        <v>181</v>
      </c>
      <c r="G857">
        <v>5</v>
      </c>
      <c r="H857">
        <v>17</v>
      </c>
      <c r="I857" t="s">
        <v>33</v>
      </c>
      <c r="J857">
        <v>1</v>
      </c>
    </row>
    <row r="858" spans="1:10" x14ac:dyDescent="0.3">
      <c r="A858" t="s">
        <v>10</v>
      </c>
      <c r="B858">
        <v>45764</v>
      </c>
      <c r="C858" t="s">
        <v>21</v>
      </c>
      <c r="D858" t="s">
        <v>26</v>
      </c>
      <c r="E858" t="s">
        <v>29</v>
      </c>
      <c r="F858">
        <v>202</v>
      </c>
      <c r="G858">
        <v>4</v>
      </c>
      <c r="H858">
        <v>15</v>
      </c>
      <c r="I858" t="s">
        <v>35</v>
      </c>
    </row>
    <row r="859" spans="1:10" x14ac:dyDescent="0.3">
      <c r="A859" t="s">
        <v>11</v>
      </c>
      <c r="B859">
        <v>45749</v>
      </c>
      <c r="C859" t="s">
        <v>22</v>
      </c>
      <c r="D859" t="s">
        <v>25</v>
      </c>
      <c r="E859" t="s">
        <v>31</v>
      </c>
      <c r="F859">
        <v>150</v>
      </c>
      <c r="G859">
        <v>5</v>
      </c>
      <c r="H859">
        <v>8</v>
      </c>
      <c r="I859" t="s">
        <v>33</v>
      </c>
      <c r="J859">
        <v>3</v>
      </c>
    </row>
    <row r="860" spans="1:10" x14ac:dyDescent="0.3">
      <c r="A860" t="s">
        <v>11</v>
      </c>
      <c r="B860">
        <v>45759</v>
      </c>
      <c r="C860" t="s">
        <v>22</v>
      </c>
      <c r="D860" t="s">
        <v>25</v>
      </c>
      <c r="E860" t="s">
        <v>32</v>
      </c>
      <c r="F860">
        <v>177</v>
      </c>
      <c r="G860">
        <v>1</v>
      </c>
      <c r="H860">
        <v>20</v>
      </c>
      <c r="I860" t="s">
        <v>34</v>
      </c>
      <c r="J860">
        <v>1</v>
      </c>
    </row>
    <row r="861" spans="1:10" x14ac:dyDescent="0.3">
      <c r="A861" t="s">
        <v>11</v>
      </c>
      <c r="B861">
        <v>45750</v>
      </c>
      <c r="C861" t="s">
        <v>20</v>
      </c>
      <c r="D861" t="s">
        <v>20</v>
      </c>
      <c r="E861" t="s">
        <v>29</v>
      </c>
      <c r="F861">
        <v>188</v>
      </c>
      <c r="G861">
        <v>4</v>
      </c>
      <c r="H861">
        <v>8</v>
      </c>
      <c r="I861" t="s">
        <v>35</v>
      </c>
    </row>
    <row r="862" spans="1:10" x14ac:dyDescent="0.3">
      <c r="A862" t="s">
        <v>10</v>
      </c>
      <c r="B862">
        <v>45742</v>
      </c>
      <c r="C862" t="s">
        <v>13</v>
      </c>
      <c r="D862" t="s">
        <v>24</v>
      </c>
      <c r="E862" t="s">
        <v>32</v>
      </c>
      <c r="F862">
        <v>141</v>
      </c>
      <c r="G862">
        <v>2</v>
      </c>
      <c r="H862">
        <v>21</v>
      </c>
      <c r="I862" t="s">
        <v>35</v>
      </c>
      <c r="J862">
        <v>5</v>
      </c>
    </row>
    <row r="863" spans="1:10" x14ac:dyDescent="0.3">
      <c r="A863" t="s">
        <v>11</v>
      </c>
      <c r="B863">
        <v>45763</v>
      </c>
      <c r="C863" t="s">
        <v>17</v>
      </c>
      <c r="D863" t="s">
        <v>24</v>
      </c>
      <c r="E863" t="s">
        <v>28</v>
      </c>
      <c r="F863">
        <v>114</v>
      </c>
      <c r="G863">
        <v>2</v>
      </c>
      <c r="H863">
        <v>7</v>
      </c>
      <c r="I863" t="s">
        <v>35</v>
      </c>
    </row>
    <row r="864" spans="1:10" x14ac:dyDescent="0.3">
      <c r="A864" t="s">
        <v>11</v>
      </c>
      <c r="B864">
        <v>45754</v>
      </c>
      <c r="C864" t="s">
        <v>20</v>
      </c>
      <c r="D864" t="s">
        <v>20</v>
      </c>
      <c r="E864" t="s">
        <v>30</v>
      </c>
      <c r="F864">
        <v>116</v>
      </c>
      <c r="G864">
        <v>2</v>
      </c>
      <c r="H864">
        <v>14</v>
      </c>
      <c r="I864" t="s">
        <v>33</v>
      </c>
      <c r="J864">
        <v>5</v>
      </c>
    </row>
    <row r="865" spans="1:10" x14ac:dyDescent="0.3">
      <c r="A865" t="s">
        <v>10</v>
      </c>
      <c r="B865">
        <v>45755</v>
      </c>
      <c r="C865" t="s">
        <v>19</v>
      </c>
      <c r="D865" t="s">
        <v>23</v>
      </c>
      <c r="E865" t="s">
        <v>29</v>
      </c>
      <c r="F865">
        <v>178</v>
      </c>
      <c r="G865">
        <v>5</v>
      </c>
      <c r="H865">
        <v>10</v>
      </c>
      <c r="I865" t="s">
        <v>34</v>
      </c>
      <c r="J865">
        <v>3</v>
      </c>
    </row>
    <row r="866" spans="1:10" x14ac:dyDescent="0.3">
      <c r="A866" t="s">
        <v>11</v>
      </c>
      <c r="B866">
        <v>45759</v>
      </c>
      <c r="C866" t="s">
        <v>14</v>
      </c>
      <c r="D866" t="s">
        <v>25</v>
      </c>
      <c r="E866" t="s">
        <v>31</v>
      </c>
      <c r="F866">
        <v>249</v>
      </c>
      <c r="G866">
        <v>5</v>
      </c>
      <c r="H866">
        <v>9</v>
      </c>
      <c r="I866" t="s">
        <v>33</v>
      </c>
      <c r="J866">
        <v>5</v>
      </c>
    </row>
    <row r="867" spans="1:10" x14ac:dyDescent="0.3">
      <c r="A867" t="s">
        <v>10</v>
      </c>
      <c r="B867">
        <v>45751</v>
      </c>
      <c r="C867" t="s">
        <v>18</v>
      </c>
      <c r="D867" t="s">
        <v>27</v>
      </c>
      <c r="E867" t="s">
        <v>32</v>
      </c>
      <c r="F867">
        <v>193</v>
      </c>
      <c r="G867">
        <v>2</v>
      </c>
      <c r="H867">
        <v>12</v>
      </c>
      <c r="I867" t="s">
        <v>34</v>
      </c>
    </row>
    <row r="868" spans="1:10" x14ac:dyDescent="0.3">
      <c r="A868" t="s">
        <v>11</v>
      </c>
      <c r="B868">
        <v>45765</v>
      </c>
      <c r="C868" t="s">
        <v>14</v>
      </c>
      <c r="D868" t="s">
        <v>25</v>
      </c>
      <c r="E868" t="s">
        <v>30</v>
      </c>
      <c r="F868">
        <v>68</v>
      </c>
      <c r="G868">
        <v>2</v>
      </c>
      <c r="H868">
        <v>18</v>
      </c>
      <c r="I868" t="s">
        <v>33</v>
      </c>
    </row>
    <row r="869" spans="1:10" x14ac:dyDescent="0.3">
      <c r="A869" t="s">
        <v>11</v>
      </c>
      <c r="B869">
        <v>45743</v>
      </c>
      <c r="C869" t="s">
        <v>20</v>
      </c>
      <c r="D869" t="s">
        <v>20</v>
      </c>
      <c r="E869" t="s">
        <v>30</v>
      </c>
      <c r="F869">
        <v>152</v>
      </c>
      <c r="G869">
        <v>1</v>
      </c>
      <c r="H869">
        <v>12</v>
      </c>
      <c r="I869" t="s">
        <v>35</v>
      </c>
      <c r="J869">
        <v>3</v>
      </c>
    </row>
    <row r="870" spans="1:10" x14ac:dyDescent="0.3">
      <c r="A870" t="s">
        <v>10</v>
      </c>
      <c r="B870">
        <v>45760</v>
      </c>
      <c r="C870" t="s">
        <v>14</v>
      </c>
      <c r="D870" t="s">
        <v>25</v>
      </c>
      <c r="E870" t="s">
        <v>29</v>
      </c>
      <c r="F870">
        <v>236</v>
      </c>
      <c r="G870">
        <v>4</v>
      </c>
      <c r="H870">
        <v>23</v>
      </c>
      <c r="I870" t="s">
        <v>33</v>
      </c>
    </row>
    <row r="871" spans="1:10" x14ac:dyDescent="0.3">
      <c r="A871" t="s">
        <v>11</v>
      </c>
      <c r="B871">
        <v>45740</v>
      </c>
      <c r="C871" t="s">
        <v>17</v>
      </c>
      <c r="D871" t="s">
        <v>24</v>
      </c>
      <c r="E871" t="s">
        <v>28</v>
      </c>
      <c r="F871">
        <v>234</v>
      </c>
      <c r="G871">
        <v>4</v>
      </c>
      <c r="H871">
        <v>17</v>
      </c>
      <c r="I871" t="s">
        <v>34</v>
      </c>
      <c r="J871">
        <v>3</v>
      </c>
    </row>
    <row r="872" spans="1:10" x14ac:dyDescent="0.3">
      <c r="A872" t="s">
        <v>11</v>
      </c>
      <c r="B872">
        <v>45763</v>
      </c>
      <c r="C872" t="s">
        <v>16</v>
      </c>
      <c r="D872" t="s">
        <v>26</v>
      </c>
      <c r="E872" t="s">
        <v>31</v>
      </c>
      <c r="F872">
        <v>154</v>
      </c>
      <c r="G872">
        <v>3</v>
      </c>
      <c r="H872">
        <v>20</v>
      </c>
      <c r="I872" t="s">
        <v>33</v>
      </c>
      <c r="J872">
        <v>5</v>
      </c>
    </row>
    <row r="873" spans="1:10" x14ac:dyDescent="0.3">
      <c r="A873" t="s">
        <v>10</v>
      </c>
      <c r="B873">
        <v>45753</v>
      </c>
      <c r="C873" t="s">
        <v>22</v>
      </c>
      <c r="D873" t="s">
        <v>25</v>
      </c>
      <c r="E873" t="s">
        <v>29</v>
      </c>
      <c r="F873">
        <v>211</v>
      </c>
      <c r="G873">
        <v>3</v>
      </c>
      <c r="H873">
        <v>20</v>
      </c>
      <c r="I873" t="s">
        <v>33</v>
      </c>
      <c r="J873">
        <v>4</v>
      </c>
    </row>
    <row r="874" spans="1:10" x14ac:dyDescent="0.3">
      <c r="A874" t="s">
        <v>10</v>
      </c>
      <c r="B874">
        <v>45757</v>
      </c>
      <c r="C874" t="s">
        <v>15</v>
      </c>
      <c r="D874" t="s">
        <v>25</v>
      </c>
      <c r="E874" t="s">
        <v>28</v>
      </c>
      <c r="F874">
        <v>146</v>
      </c>
      <c r="G874">
        <v>5</v>
      </c>
      <c r="H874">
        <v>23</v>
      </c>
      <c r="I874" t="s">
        <v>35</v>
      </c>
      <c r="J874">
        <v>5</v>
      </c>
    </row>
    <row r="875" spans="1:10" x14ac:dyDescent="0.3">
      <c r="A875" t="s">
        <v>11</v>
      </c>
      <c r="B875">
        <v>45746</v>
      </c>
      <c r="C875" t="s">
        <v>12</v>
      </c>
      <c r="D875" t="s">
        <v>23</v>
      </c>
      <c r="E875" t="s">
        <v>32</v>
      </c>
      <c r="F875">
        <v>32</v>
      </c>
      <c r="G875">
        <v>1</v>
      </c>
      <c r="H875">
        <v>18</v>
      </c>
      <c r="I875" t="s">
        <v>33</v>
      </c>
      <c r="J875">
        <v>4</v>
      </c>
    </row>
    <row r="876" spans="1:10" x14ac:dyDescent="0.3">
      <c r="A876" t="s">
        <v>11</v>
      </c>
      <c r="B876">
        <v>45768</v>
      </c>
      <c r="C876" t="s">
        <v>20</v>
      </c>
      <c r="D876" t="s">
        <v>20</v>
      </c>
      <c r="E876" t="s">
        <v>31</v>
      </c>
      <c r="F876">
        <v>228</v>
      </c>
      <c r="G876">
        <v>4</v>
      </c>
      <c r="H876">
        <v>16</v>
      </c>
      <c r="I876" t="s">
        <v>35</v>
      </c>
      <c r="J876">
        <v>2</v>
      </c>
    </row>
    <row r="877" spans="1:10" x14ac:dyDescent="0.3">
      <c r="A877" t="s">
        <v>11</v>
      </c>
      <c r="B877">
        <v>45768</v>
      </c>
      <c r="C877" t="s">
        <v>15</v>
      </c>
      <c r="D877" t="s">
        <v>25</v>
      </c>
      <c r="E877" t="s">
        <v>30</v>
      </c>
      <c r="F877">
        <v>173</v>
      </c>
      <c r="G877">
        <v>4</v>
      </c>
      <c r="H877">
        <v>18</v>
      </c>
      <c r="I877" t="s">
        <v>33</v>
      </c>
      <c r="J877">
        <v>2</v>
      </c>
    </row>
    <row r="878" spans="1:10" x14ac:dyDescent="0.3">
      <c r="A878" t="s">
        <v>11</v>
      </c>
      <c r="B878">
        <v>45764</v>
      </c>
      <c r="C878" t="s">
        <v>22</v>
      </c>
      <c r="D878" t="s">
        <v>25</v>
      </c>
      <c r="E878" t="s">
        <v>29</v>
      </c>
      <c r="F878">
        <v>136</v>
      </c>
      <c r="G878">
        <v>4</v>
      </c>
      <c r="H878">
        <v>11</v>
      </c>
      <c r="I878" t="s">
        <v>34</v>
      </c>
    </row>
    <row r="879" spans="1:10" x14ac:dyDescent="0.3">
      <c r="A879" t="s">
        <v>11</v>
      </c>
      <c r="B879">
        <v>45750</v>
      </c>
      <c r="C879" t="s">
        <v>19</v>
      </c>
      <c r="D879" t="s">
        <v>23</v>
      </c>
      <c r="E879" t="s">
        <v>32</v>
      </c>
      <c r="F879">
        <v>81</v>
      </c>
      <c r="G879">
        <v>1</v>
      </c>
      <c r="H879">
        <v>8</v>
      </c>
      <c r="I879" t="s">
        <v>34</v>
      </c>
      <c r="J879">
        <v>2</v>
      </c>
    </row>
    <row r="880" spans="1:10" x14ac:dyDescent="0.3">
      <c r="A880" t="s">
        <v>10</v>
      </c>
      <c r="B880">
        <v>45747</v>
      </c>
      <c r="C880" t="s">
        <v>12</v>
      </c>
      <c r="D880" t="s">
        <v>23</v>
      </c>
      <c r="E880" t="s">
        <v>32</v>
      </c>
      <c r="F880">
        <v>122</v>
      </c>
      <c r="G880">
        <v>1</v>
      </c>
      <c r="H880">
        <v>24</v>
      </c>
      <c r="I880" t="s">
        <v>34</v>
      </c>
      <c r="J880">
        <v>1</v>
      </c>
    </row>
    <row r="881" spans="1:10" x14ac:dyDescent="0.3">
      <c r="A881" t="s">
        <v>11</v>
      </c>
      <c r="B881">
        <v>45748</v>
      </c>
      <c r="C881" t="s">
        <v>22</v>
      </c>
      <c r="D881" t="s">
        <v>25</v>
      </c>
      <c r="E881" t="s">
        <v>31</v>
      </c>
      <c r="F881">
        <v>54</v>
      </c>
      <c r="G881">
        <v>5</v>
      </c>
      <c r="H881">
        <v>9</v>
      </c>
      <c r="I881" t="s">
        <v>35</v>
      </c>
      <c r="J881">
        <v>1</v>
      </c>
    </row>
    <row r="882" spans="1:10" x14ac:dyDescent="0.3">
      <c r="A882" t="s">
        <v>11</v>
      </c>
      <c r="B882">
        <v>45751</v>
      </c>
      <c r="C882" t="s">
        <v>15</v>
      </c>
      <c r="D882" t="s">
        <v>25</v>
      </c>
      <c r="E882" t="s">
        <v>32</v>
      </c>
      <c r="F882">
        <v>213</v>
      </c>
      <c r="G882">
        <v>4</v>
      </c>
      <c r="H882">
        <v>9</v>
      </c>
      <c r="I882" t="s">
        <v>35</v>
      </c>
      <c r="J882">
        <v>3</v>
      </c>
    </row>
    <row r="883" spans="1:10" x14ac:dyDescent="0.3">
      <c r="A883" t="s">
        <v>11</v>
      </c>
      <c r="B883">
        <v>45741</v>
      </c>
      <c r="C883" t="s">
        <v>19</v>
      </c>
      <c r="D883" t="s">
        <v>23</v>
      </c>
      <c r="E883" t="s">
        <v>29</v>
      </c>
      <c r="F883">
        <v>183</v>
      </c>
      <c r="G883">
        <v>5</v>
      </c>
      <c r="H883">
        <v>20</v>
      </c>
      <c r="I883" t="s">
        <v>34</v>
      </c>
      <c r="J883">
        <v>3</v>
      </c>
    </row>
    <row r="884" spans="1:10" x14ac:dyDescent="0.3">
      <c r="A884" t="s">
        <v>10</v>
      </c>
      <c r="B884">
        <v>45745</v>
      </c>
      <c r="C884" t="s">
        <v>17</v>
      </c>
      <c r="D884" t="s">
        <v>24</v>
      </c>
      <c r="E884" t="s">
        <v>32</v>
      </c>
      <c r="F884">
        <v>131</v>
      </c>
      <c r="G884">
        <v>3</v>
      </c>
      <c r="H884">
        <v>18</v>
      </c>
      <c r="I884" t="s">
        <v>34</v>
      </c>
      <c r="J884">
        <v>3</v>
      </c>
    </row>
    <row r="885" spans="1:10" x14ac:dyDescent="0.3">
      <c r="A885" t="s">
        <v>11</v>
      </c>
      <c r="B885">
        <v>45742</v>
      </c>
      <c r="C885" t="s">
        <v>16</v>
      </c>
      <c r="D885" t="s">
        <v>26</v>
      </c>
      <c r="E885" t="s">
        <v>28</v>
      </c>
      <c r="F885">
        <v>45</v>
      </c>
      <c r="G885">
        <v>5</v>
      </c>
      <c r="H885">
        <v>16</v>
      </c>
      <c r="I885" t="s">
        <v>35</v>
      </c>
      <c r="J885">
        <v>2</v>
      </c>
    </row>
    <row r="886" spans="1:10" x14ac:dyDescent="0.3">
      <c r="A886" t="s">
        <v>11</v>
      </c>
      <c r="B886">
        <v>45763</v>
      </c>
      <c r="C886" t="s">
        <v>18</v>
      </c>
      <c r="D886" t="s">
        <v>27</v>
      </c>
      <c r="E886" t="s">
        <v>28</v>
      </c>
      <c r="F886">
        <v>138</v>
      </c>
      <c r="G886">
        <v>4</v>
      </c>
      <c r="H886">
        <v>18</v>
      </c>
      <c r="I886" t="s">
        <v>35</v>
      </c>
      <c r="J886">
        <v>4</v>
      </c>
    </row>
    <row r="887" spans="1:10" x14ac:dyDescent="0.3">
      <c r="A887" t="s">
        <v>11</v>
      </c>
      <c r="B887">
        <v>45754</v>
      </c>
      <c r="C887" t="s">
        <v>22</v>
      </c>
      <c r="D887" t="s">
        <v>25</v>
      </c>
      <c r="E887" t="s">
        <v>29</v>
      </c>
      <c r="F887">
        <v>162</v>
      </c>
      <c r="G887">
        <v>5</v>
      </c>
      <c r="H887">
        <v>14</v>
      </c>
      <c r="I887" t="s">
        <v>35</v>
      </c>
      <c r="J887">
        <v>2</v>
      </c>
    </row>
    <row r="888" spans="1:10" x14ac:dyDescent="0.3">
      <c r="A888" t="s">
        <v>11</v>
      </c>
      <c r="B888">
        <v>45767</v>
      </c>
      <c r="C888" t="s">
        <v>17</v>
      </c>
      <c r="D888" t="s">
        <v>24</v>
      </c>
      <c r="E888" t="s">
        <v>31</v>
      </c>
      <c r="F888">
        <v>243</v>
      </c>
      <c r="G888">
        <v>5</v>
      </c>
      <c r="H888">
        <v>16</v>
      </c>
      <c r="I888" t="s">
        <v>33</v>
      </c>
      <c r="J888">
        <v>1</v>
      </c>
    </row>
    <row r="889" spans="1:10" x14ac:dyDescent="0.3">
      <c r="A889" t="s">
        <v>10</v>
      </c>
      <c r="B889">
        <v>45754</v>
      </c>
      <c r="C889" t="s">
        <v>15</v>
      </c>
      <c r="D889" t="s">
        <v>25</v>
      </c>
      <c r="E889" t="s">
        <v>32</v>
      </c>
      <c r="F889">
        <v>162</v>
      </c>
      <c r="G889">
        <v>2</v>
      </c>
      <c r="H889">
        <v>12</v>
      </c>
      <c r="I889" t="s">
        <v>33</v>
      </c>
      <c r="J889">
        <v>3</v>
      </c>
    </row>
    <row r="890" spans="1:10" x14ac:dyDescent="0.3">
      <c r="A890" t="s">
        <v>10</v>
      </c>
      <c r="B890">
        <v>45758</v>
      </c>
      <c r="C890" t="s">
        <v>18</v>
      </c>
      <c r="D890" t="s">
        <v>27</v>
      </c>
      <c r="E890" t="s">
        <v>30</v>
      </c>
      <c r="F890">
        <v>232</v>
      </c>
      <c r="G890">
        <v>3</v>
      </c>
      <c r="H890">
        <v>13</v>
      </c>
      <c r="I890" t="s">
        <v>34</v>
      </c>
      <c r="J890">
        <v>1</v>
      </c>
    </row>
    <row r="891" spans="1:10" x14ac:dyDescent="0.3">
      <c r="A891" t="s">
        <v>11</v>
      </c>
      <c r="B891">
        <v>45744</v>
      </c>
      <c r="C891" t="s">
        <v>21</v>
      </c>
      <c r="D891" t="s">
        <v>26</v>
      </c>
      <c r="E891" t="s">
        <v>28</v>
      </c>
      <c r="F891">
        <v>187</v>
      </c>
      <c r="G891">
        <v>3</v>
      </c>
      <c r="H891">
        <v>13</v>
      </c>
      <c r="I891" t="s">
        <v>34</v>
      </c>
      <c r="J891">
        <v>5</v>
      </c>
    </row>
    <row r="892" spans="1:10" x14ac:dyDescent="0.3">
      <c r="A892" t="s">
        <v>10</v>
      </c>
      <c r="B892">
        <v>45751</v>
      </c>
      <c r="C892" t="s">
        <v>13</v>
      </c>
      <c r="D892" t="s">
        <v>24</v>
      </c>
      <c r="E892" t="s">
        <v>32</v>
      </c>
      <c r="F892">
        <v>124</v>
      </c>
      <c r="G892">
        <v>1</v>
      </c>
      <c r="H892">
        <v>19</v>
      </c>
      <c r="I892" t="s">
        <v>34</v>
      </c>
      <c r="J892">
        <v>2</v>
      </c>
    </row>
    <row r="893" spans="1:10" x14ac:dyDescent="0.3">
      <c r="A893" t="s">
        <v>10</v>
      </c>
      <c r="B893">
        <v>45767</v>
      </c>
      <c r="C893" t="s">
        <v>17</v>
      </c>
      <c r="D893" t="s">
        <v>24</v>
      </c>
      <c r="E893" t="s">
        <v>31</v>
      </c>
      <c r="F893">
        <v>177</v>
      </c>
      <c r="G893">
        <v>5</v>
      </c>
      <c r="H893">
        <v>25</v>
      </c>
      <c r="I893" t="s">
        <v>34</v>
      </c>
      <c r="J893">
        <v>2</v>
      </c>
    </row>
    <row r="894" spans="1:10" x14ac:dyDescent="0.3">
      <c r="A894" t="s">
        <v>10</v>
      </c>
      <c r="B894">
        <v>45742</v>
      </c>
      <c r="C894" t="s">
        <v>22</v>
      </c>
      <c r="D894" t="s">
        <v>25</v>
      </c>
      <c r="E894" t="s">
        <v>29</v>
      </c>
      <c r="F894">
        <v>104</v>
      </c>
      <c r="G894">
        <v>3</v>
      </c>
      <c r="H894">
        <v>23</v>
      </c>
      <c r="I894" t="s">
        <v>34</v>
      </c>
      <c r="J894">
        <v>2</v>
      </c>
    </row>
    <row r="895" spans="1:10" x14ac:dyDescent="0.3">
      <c r="A895" t="s">
        <v>10</v>
      </c>
      <c r="B895">
        <v>45753</v>
      </c>
      <c r="C895" t="s">
        <v>12</v>
      </c>
      <c r="D895" t="s">
        <v>23</v>
      </c>
      <c r="E895" t="s">
        <v>28</v>
      </c>
      <c r="F895">
        <v>223</v>
      </c>
      <c r="G895">
        <v>2</v>
      </c>
      <c r="H895">
        <v>13</v>
      </c>
      <c r="I895" t="s">
        <v>34</v>
      </c>
    </row>
    <row r="896" spans="1:10" x14ac:dyDescent="0.3">
      <c r="A896" t="s">
        <v>10</v>
      </c>
      <c r="B896">
        <v>45742</v>
      </c>
      <c r="C896" t="s">
        <v>18</v>
      </c>
      <c r="D896" t="s">
        <v>27</v>
      </c>
      <c r="E896" t="s">
        <v>30</v>
      </c>
      <c r="F896">
        <v>139</v>
      </c>
      <c r="G896">
        <v>3</v>
      </c>
      <c r="H896">
        <v>16</v>
      </c>
      <c r="I896" t="s">
        <v>35</v>
      </c>
      <c r="J896">
        <v>2</v>
      </c>
    </row>
    <row r="897" spans="1:10" x14ac:dyDescent="0.3">
      <c r="A897" t="s">
        <v>11</v>
      </c>
      <c r="B897">
        <v>45763</v>
      </c>
      <c r="C897" t="s">
        <v>12</v>
      </c>
      <c r="D897" t="s">
        <v>23</v>
      </c>
      <c r="E897" t="s">
        <v>29</v>
      </c>
      <c r="F897">
        <v>44</v>
      </c>
      <c r="G897">
        <v>4</v>
      </c>
      <c r="H897">
        <v>8</v>
      </c>
      <c r="I897" t="s">
        <v>35</v>
      </c>
      <c r="J897">
        <v>1</v>
      </c>
    </row>
    <row r="898" spans="1:10" x14ac:dyDescent="0.3">
      <c r="A898" t="s">
        <v>10</v>
      </c>
      <c r="B898">
        <v>45755</v>
      </c>
      <c r="C898" t="s">
        <v>18</v>
      </c>
      <c r="D898" t="s">
        <v>27</v>
      </c>
      <c r="E898" t="s">
        <v>31</v>
      </c>
      <c r="F898">
        <v>244</v>
      </c>
      <c r="G898">
        <v>1</v>
      </c>
      <c r="H898">
        <v>22</v>
      </c>
      <c r="I898" t="s">
        <v>33</v>
      </c>
      <c r="J898">
        <v>1</v>
      </c>
    </row>
    <row r="899" spans="1:10" x14ac:dyDescent="0.3">
      <c r="A899" t="s">
        <v>11</v>
      </c>
      <c r="B899">
        <v>45759</v>
      </c>
      <c r="C899" t="s">
        <v>16</v>
      </c>
      <c r="D899" t="s">
        <v>26</v>
      </c>
      <c r="E899" t="s">
        <v>29</v>
      </c>
      <c r="F899">
        <v>191</v>
      </c>
      <c r="G899">
        <v>5</v>
      </c>
      <c r="H899">
        <v>18</v>
      </c>
      <c r="I899" t="s">
        <v>35</v>
      </c>
      <c r="J899">
        <v>4</v>
      </c>
    </row>
    <row r="900" spans="1:10" x14ac:dyDescent="0.3">
      <c r="A900" t="s">
        <v>10</v>
      </c>
      <c r="B900">
        <v>45761</v>
      </c>
      <c r="C900" t="s">
        <v>12</v>
      </c>
      <c r="D900" t="s">
        <v>23</v>
      </c>
      <c r="E900" t="s">
        <v>32</v>
      </c>
      <c r="F900">
        <v>75</v>
      </c>
      <c r="G900">
        <v>1</v>
      </c>
      <c r="H900">
        <v>23</v>
      </c>
      <c r="I900" t="s">
        <v>34</v>
      </c>
      <c r="J900">
        <v>1</v>
      </c>
    </row>
    <row r="901" spans="1:10" x14ac:dyDescent="0.3">
      <c r="A901" t="s">
        <v>11</v>
      </c>
      <c r="B901">
        <v>45739</v>
      </c>
      <c r="C901" t="s">
        <v>21</v>
      </c>
      <c r="D901" t="s">
        <v>26</v>
      </c>
      <c r="E901" t="s">
        <v>28</v>
      </c>
      <c r="F901">
        <v>152</v>
      </c>
      <c r="G901">
        <v>2</v>
      </c>
      <c r="H901">
        <v>15</v>
      </c>
      <c r="I901" t="s">
        <v>34</v>
      </c>
      <c r="J901">
        <v>1</v>
      </c>
    </row>
    <row r="902" spans="1:10" x14ac:dyDescent="0.3">
      <c r="A902" t="s">
        <v>10</v>
      </c>
      <c r="B902">
        <v>45762</v>
      </c>
      <c r="C902" t="s">
        <v>12</v>
      </c>
      <c r="D902" t="s">
        <v>23</v>
      </c>
      <c r="E902" t="s">
        <v>32</v>
      </c>
      <c r="F902">
        <v>173</v>
      </c>
      <c r="G902">
        <v>3</v>
      </c>
      <c r="H902">
        <v>16</v>
      </c>
      <c r="I902" t="s">
        <v>33</v>
      </c>
      <c r="J902">
        <v>2</v>
      </c>
    </row>
    <row r="903" spans="1:10" x14ac:dyDescent="0.3">
      <c r="A903" t="s">
        <v>11</v>
      </c>
      <c r="B903">
        <v>45758</v>
      </c>
      <c r="C903" t="s">
        <v>21</v>
      </c>
      <c r="D903" t="s">
        <v>26</v>
      </c>
      <c r="E903" t="s">
        <v>28</v>
      </c>
      <c r="F903">
        <v>246</v>
      </c>
      <c r="G903">
        <v>4</v>
      </c>
      <c r="H903">
        <v>20</v>
      </c>
      <c r="I903" t="s">
        <v>35</v>
      </c>
      <c r="J903">
        <v>1</v>
      </c>
    </row>
    <row r="904" spans="1:10" x14ac:dyDescent="0.3">
      <c r="A904" t="s">
        <v>11</v>
      </c>
      <c r="B904">
        <v>45751</v>
      </c>
      <c r="C904" t="s">
        <v>16</v>
      </c>
      <c r="D904" t="s">
        <v>26</v>
      </c>
      <c r="E904" t="s">
        <v>30</v>
      </c>
      <c r="F904">
        <v>99</v>
      </c>
      <c r="G904">
        <v>4</v>
      </c>
      <c r="H904">
        <v>7</v>
      </c>
      <c r="I904" t="s">
        <v>34</v>
      </c>
      <c r="J904">
        <v>4</v>
      </c>
    </row>
    <row r="905" spans="1:10" x14ac:dyDescent="0.3">
      <c r="A905" t="s">
        <v>10</v>
      </c>
      <c r="B905">
        <v>45750</v>
      </c>
      <c r="C905" t="s">
        <v>13</v>
      </c>
      <c r="D905" t="s">
        <v>24</v>
      </c>
      <c r="E905" t="s">
        <v>31</v>
      </c>
      <c r="F905">
        <v>221</v>
      </c>
      <c r="G905">
        <v>3</v>
      </c>
      <c r="H905">
        <v>18</v>
      </c>
      <c r="I905" t="s">
        <v>34</v>
      </c>
      <c r="J905">
        <v>1</v>
      </c>
    </row>
    <row r="906" spans="1:10" x14ac:dyDescent="0.3">
      <c r="A906" t="s">
        <v>11</v>
      </c>
      <c r="B906">
        <v>45755</v>
      </c>
      <c r="C906" t="s">
        <v>14</v>
      </c>
      <c r="D906" t="s">
        <v>25</v>
      </c>
      <c r="E906" t="s">
        <v>30</v>
      </c>
      <c r="F906">
        <v>197</v>
      </c>
      <c r="G906">
        <v>1</v>
      </c>
      <c r="H906">
        <v>17</v>
      </c>
      <c r="I906" t="s">
        <v>34</v>
      </c>
    </row>
    <row r="907" spans="1:10" x14ac:dyDescent="0.3">
      <c r="A907" t="s">
        <v>11</v>
      </c>
      <c r="B907">
        <v>45755</v>
      </c>
      <c r="C907" t="s">
        <v>18</v>
      </c>
      <c r="D907" t="s">
        <v>27</v>
      </c>
      <c r="E907" t="s">
        <v>29</v>
      </c>
      <c r="F907">
        <v>227</v>
      </c>
      <c r="G907">
        <v>2</v>
      </c>
      <c r="H907">
        <v>19</v>
      </c>
      <c r="I907" t="s">
        <v>34</v>
      </c>
      <c r="J907">
        <v>2</v>
      </c>
    </row>
    <row r="908" spans="1:10" x14ac:dyDescent="0.3">
      <c r="A908" t="s">
        <v>10</v>
      </c>
      <c r="B908">
        <v>45748</v>
      </c>
      <c r="C908" t="s">
        <v>12</v>
      </c>
      <c r="D908" t="s">
        <v>23</v>
      </c>
      <c r="E908" t="s">
        <v>28</v>
      </c>
      <c r="F908">
        <v>166</v>
      </c>
      <c r="G908">
        <v>1</v>
      </c>
      <c r="H908">
        <v>20</v>
      </c>
      <c r="I908" t="s">
        <v>33</v>
      </c>
      <c r="J908">
        <v>2</v>
      </c>
    </row>
    <row r="909" spans="1:10" x14ac:dyDescent="0.3">
      <c r="A909" t="s">
        <v>11</v>
      </c>
      <c r="B909">
        <v>45739</v>
      </c>
      <c r="C909" t="s">
        <v>20</v>
      </c>
      <c r="D909" t="s">
        <v>20</v>
      </c>
      <c r="E909" t="s">
        <v>32</v>
      </c>
      <c r="F909">
        <v>173</v>
      </c>
      <c r="G909">
        <v>5</v>
      </c>
      <c r="H909">
        <v>10</v>
      </c>
      <c r="I909" t="s">
        <v>33</v>
      </c>
      <c r="J909">
        <v>2</v>
      </c>
    </row>
    <row r="910" spans="1:10" x14ac:dyDescent="0.3">
      <c r="A910" t="s">
        <v>10</v>
      </c>
      <c r="B910">
        <v>45747</v>
      </c>
      <c r="C910" t="s">
        <v>22</v>
      </c>
      <c r="D910" t="s">
        <v>25</v>
      </c>
      <c r="E910" t="s">
        <v>31</v>
      </c>
      <c r="F910">
        <v>157</v>
      </c>
      <c r="G910">
        <v>5</v>
      </c>
      <c r="H910">
        <v>18</v>
      </c>
      <c r="I910" t="s">
        <v>34</v>
      </c>
      <c r="J910">
        <v>4</v>
      </c>
    </row>
    <row r="911" spans="1:10" x14ac:dyDescent="0.3">
      <c r="A911" t="s">
        <v>11</v>
      </c>
      <c r="B911">
        <v>45740</v>
      </c>
      <c r="C911" t="s">
        <v>14</v>
      </c>
      <c r="D911" t="s">
        <v>25</v>
      </c>
      <c r="E911" t="s">
        <v>29</v>
      </c>
      <c r="F911">
        <v>192</v>
      </c>
      <c r="G911">
        <v>5</v>
      </c>
      <c r="H911">
        <v>18</v>
      </c>
      <c r="I911" t="s">
        <v>33</v>
      </c>
      <c r="J911">
        <v>4</v>
      </c>
    </row>
    <row r="912" spans="1:10" x14ac:dyDescent="0.3">
      <c r="A912" t="s">
        <v>11</v>
      </c>
      <c r="B912">
        <v>45753</v>
      </c>
      <c r="C912" t="s">
        <v>13</v>
      </c>
      <c r="D912" t="s">
        <v>24</v>
      </c>
      <c r="E912" t="s">
        <v>30</v>
      </c>
      <c r="F912">
        <v>246</v>
      </c>
      <c r="G912">
        <v>4</v>
      </c>
      <c r="H912">
        <v>8</v>
      </c>
      <c r="I912" t="s">
        <v>33</v>
      </c>
      <c r="J912">
        <v>5</v>
      </c>
    </row>
    <row r="913" spans="1:10" x14ac:dyDescent="0.3">
      <c r="A913" t="s">
        <v>11</v>
      </c>
      <c r="B913">
        <v>45766</v>
      </c>
      <c r="C913" t="s">
        <v>19</v>
      </c>
      <c r="D913" t="s">
        <v>23</v>
      </c>
      <c r="E913" t="s">
        <v>32</v>
      </c>
      <c r="F913">
        <v>126</v>
      </c>
      <c r="G913">
        <v>4</v>
      </c>
      <c r="H913">
        <v>20</v>
      </c>
      <c r="I913" t="s">
        <v>35</v>
      </c>
    </row>
    <row r="914" spans="1:10" x14ac:dyDescent="0.3">
      <c r="A914" t="s">
        <v>11</v>
      </c>
      <c r="B914">
        <v>45760</v>
      </c>
      <c r="C914" t="s">
        <v>13</v>
      </c>
      <c r="D914" t="s">
        <v>24</v>
      </c>
      <c r="E914" t="s">
        <v>32</v>
      </c>
      <c r="F914">
        <v>62</v>
      </c>
      <c r="G914">
        <v>1</v>
      </c>
      <c r="H914">
        <v>15</v>
      </c>
      <c r="I914" t="s">
        <v>34</v>
      </c>
      <c r="J914">
        <v>2</v>
      </c>
    </row>
    <row r="915" spans="1:10" x14ac:dyDescent="0.3">
      <c r="A915" t="s">
        <v>11</v>
      </c>
      <c r="B915">
        <v>45752</v>
      </c>
      <c r="C915" t="s">
        <v>21</v>
      </c>
      <c r="D915" t="s">
        <v>26</v>
      </c>
      <c r="E915" t="s">
        <v>30</v>
      </c>
      <c r="F915">
        <v>148</v>
      </c>
      <c r="G915">
        <v>5</v>
      </c>
      <c r="H915">
        <v>17</v>
      </c>
      <c r="I915" t="s">
        <v>35</v>
      </c>
      <c r="J915">
        <v>2</v>
      </c>
    </row>
    <row r="916" spans="1:10" x14ac:dyDescent="0.3">
      <c r="A916" t="s">
        <v>11</v>
      </c>
      <c r="B916">
        <v>45753</v>
      </c>
      <c r="C916" t="s">
        <v>15</v>
      </c>
      <c r="D916" t="s">
        <v>25</v>
      </c>
      <c r="E916" t="s">
        <v>32</v>
      </c>
      <c r="F916">
        <v>205</v>
      </c>
      <c r="G916">
        <v>1</v>
      </c>
      <c r="H916">
        <v>10</v>
      </c>
      <c r="I916" t="s">
        <v>34</v>
      </c>
      <c r="J916">
        <v>5</v>
      </c>
    </row>
    <row r="917" spans="1:10" x14ac:dyDescent="0.3">
      <c r="A917" t="s">
        <v>10</v>
      </c>
      <c r="B917">
        <v>45761</v>
      </c>
      <c r="C917" t="s">
        <v>22</v>
      </c>
      <c r="D917" t="s">
        <v>25</v>
      </c>
      <c r="E917" t="s">
        <v>30</v>
      </c>
      <c r="F917">
        <v>163</v>
      </c>
      <c r="G917">
        <v>3</v>
      </c>
      <c r="H917">
        <v>20</v>
      </c>
      <c r="I917" t="s">
        <v>35</v>
      </c>
      <c r="J917">
        <v>5</v>
      </c>
    </row>
    <row r="918" spans="1:10" x14ac:dyDescent="0.3">
      <c r="A918" t="s">
        <v>11</v>
      </c>
      <c r="B918">
        <v>45767</v>
      </c>
      <c r="C918" t="s">
        <v>17</v>
      </c>
      <c r="D918" t="s">
        <v>24</v>
      </c>
      <c r="E918" t="s">
        <v>31</v>
      </c>
      <c r="F918">
        <v>54</v>
      </c>
      <c r="G918">
        <v>3</v>
      </c>
      <c r="H918">
        <v>18</v>
      </c>
      <c r="I918" t="s">
        <v>33</v>
      </c>
    </row>
    <row r="919" spans="1:10" x14ac:dyDescent="0.3">
      <c r="A919" t="s">
        <v>10</v>
      </c>
      <c r="B919">
        <v>45745</v>
      </c>
      <c r="C919" t="s">
        <v>17</v>
      </c>
      <c r="D919" t="s">
        <v>24</v>
      </c>
      <c r="E919" t="s">
        <v>29</v>
      </c>
      <c r="F919">
        <v>78</v>
      </c>
      <c r="G919">
        <v>2</v>
      </c>
      <c r="H919">
        <v>16</v>
      </c>
      <c r="I919" t="s">
        <v>34</v>
      </c>
      <c r="J919">
        <v>1</v>
      </c>
    </row>
    <row r="920" spans="1:10" x14ac:dyDescent="0.3">
      <c r="A920" t="s">
        <v>11</v>
      </c>
      <c r="B920">
        <v>45768</v>
      </c>
      <c r="C920" t="s">
        <v>19</v>
      </c>
      <c r="D920" t="s">
        <v>23</v>
      </c>
      <c r="E920" t="s">
        <v>29</v>
      </c>
      <c r="F920">
        <v>163</v>
      </c>
      <c r="G920">
        <v>4</v>
      </c>
      <c r="H920">
        <v>13</v>
      </c>
      <c r="I920" t="s">
        <v>33</v>
      </c>
      <c r="J920">
        <v>3</v>
      </c>
    </row>
    <row r="921" spans="1:10" x14ac:dyDescent="0.3">
      <c r="A921" t="s">
        <v>10</v>
      </c>
      <c r="B921">
        <v>45745</v>
      </c>
      <c r="C921" t="s">
        <v>14</v>
      </c>
      <c r="D921" t="s">
        <v>25</v>
      </c>
      <c r="E921" t="s">
        <v>30</v>
      </c>
      <c r="F921">
        <v>157</v>
      </c>
      <c r="G921">
        <v>2</v>
      </c>
      <c r="H921">
        <v>21</v>
      </c>
      <c r="I921" t="s">
        <v>35</v>
      </c>
      <c r="J921">
        <v>3</v>
      </c>
    </row>
    <row r="922" spans="1:10" x14ac:dyDescent="0.3">
      <c r="A922" t="s">
        <v>11</v>
      </c>
      <c r="B922">
        <v>45751</v>
      </c>
      <c r="C922" t="s">
        <v>16</v>
      </c>
      <c r="D922" t="s">
        <v>26</v>
      </c>
      <c r="E922" t="s">
        <v>30</v>
      </c>
      <c r="F922">
        <v>76</v>
      </c>
      <c r="G922">
        <v>2</v>
      </c>
      <c r="H922">
        <v>16</v>
      </c>
      <c r="I922" t="s">
        <v>33</v>
      </c>
      <c r="J922">
        <v>1</v>
      </c>
    </row>
    <row r="923" spans="1:10" x14ac:dyDescent="0.3">
      <c r="A923" t="s">
        <v>11</v>
      </c>
      <c r="B923">
        <v>45752</v>
      </c>
      <c r="C923" t="s">
        <v>14</v>
      </c>
      <c r="D923" t="s">
        <v>25</v>
      </c>
      <c r="E923" t="s">
        <v>31</v>
      </c>
      <c r="F923">
        <v>123</v>
      </c>
      <c r="G923">
        <v>1</v>
      </c>
      <c r="H923">
        <v>19</v>
      </c>
      <c r="I923" t="s">
        <v>34</v>
      </c>
      <c r="J923">
        <v>3</v>
      </c>
    </row>
    <row r="924" spans="1:10" x14ac:dyDescent="0.3">
      <c r="A924" t="s">
        <v>10</v>
      </c>
      <c r="B924">
        <v>45741</v>
      </c>
      <c r="C924" t="s">
        <v>18</v>
      </c>
      <c r="D924" t="s">
        <v>27</v>
      </c>
      <c r="E924" t="s">
        <v>32</v>
      </c>
      <c r="F924">
        <v>42</v>
      </c>
      <c r="G924">
        <v>1</v>
      </c>
      <c r="H924">
        <v>15</v>
      </c>
      <c r="I924" t="s">
        <v>33</v>
      </c>
      <c r="J924">
        <v>1</v>
      </c>
    </row>
    <row r="925" spans="1:10" x14ac:dyDescent="0.3">
      <c r="A925" t="s">
        <v>11</v>
      </c>
      <c r="B925">
        <v>45765</v>
      </c>
      <c r="C925" t="s">
        <v>20</v>
      </c>
      <c r="D925" t="s">
        <v>20</v>
      </c>
      <c r="E925" t="s">
        <v>32</v>
      </c>
      <c r="F925">
        <v>95</v>
      </c>
      <c r="G925">
        <v>1</v>
      </c>
      <c r="H925">
        <v>7</v>
      </c>
      <c r="I925" t="s">
        <v>35</v>
      </c>
      <c r="J925">
        <v>3</v>
      </c>
    </row>
    <row r="926" spans="1:10" x14ac:dyDescent="0.3">
      <c r="A926" t="s">
        <v>11</v>
      </c>
      <c r="B926">
        <v>45762</v>
      </c>
      <c r="C926" t="s">
        <v>14</v>
      </c>
      <c r="D926" t="s">
        <v>25</v>
      </c>
      <c r="E926" t="s">
        <v>28</v>
      </c>
      <c r="F926">
        <v>183</v>
      </c>
      <c r="G926">
        <v>3</v>
      </c>
      <c r="H926">
        <v>15</v>
      </c>
      <c r="I926" t="s">
        <v>33</v>
      </c>
      <c r="J926">
        <v>5</v>
      </c>
    </row>
    <row r="927" spans="1:10" x14ac:dyDescent="0.3">
      <c r="A927" t="s">
        <v>10</v>
      </c>
      <c r="B927">
        <v>45747</v>
      </c>
      <c r="C927" t="s">
        <v>16</v>
      </c>
      <c r="D927" t="s">
        <v>26</v>
      </c>
      <c r="E927" t="s">
        <v>30</v>
      </c>
      <c r="F927">
        <v>183</v>
      </c>
      <c r="G927">
        <v>5</v>
      </c>
      <c r="H927">
        <v>13</v>
      </c>
      <c r="I927" t="s">
        <v>34</v>
      </c>
      <c r="J927">
        <v>3</v>
      </c>
    </row>
    <row r="928" spans="1:10" x14ac:dyDescent="0.3">
      <c r="A928" t="s">
        <v>10</v>
      </c>
      <c r="B928">
        <v>45747</v>
      </c>
      <c r="C928" t="s">
        <v>20</v>
      </c>
      <c r="D928" t="s">
        <v>20</v>
      </c>
      <c r="E928" t="s">
        <v>32</v>
      </c>
      <c r="F928">
        <v>119</v>
      </c>
      <c r="G928">
        <v>5</v>
      </c>
      <c r="H928">
        <v>21</v>
      </c>
      <c r="I928" t="s">
        <v>34</v>
      </c>
      <c r="J928">
        <v>5</v>
      </c>
    </row>
    <row r="929" spans="1:10" x14ac:dyDescent="0.3">
      <c r="A929" t="s">
        <v>10</v>
      </c>
      <c r="B929">
        <v>45756</v>
      </c>
      <c r="C929" t="s">
        <v>17</v>
      </c>
      <c r="D929" t="s">
        <v>24</v>
      </c>
      <c r="E929" t="s">
        <v>30</v>
      </c>
      <c r="F929">
        <v>243</v>
      </c>
      <c r="G929">
        <v>4</v>
      </c>
      <c r="H929">
        <v>21</v>
      </c>
      <c r="I929" t="s">
        <v>33</v>
      </c>
      <c r="J929">
        <v>1</v>
      </c>
    </row>
    <row r="930" spans="1:10" x14ac:dyDescent="0.3">
      <c r="A930" t="s">
        <v>10</v>
      </c>
      <c r="B930">
        <v>45752</v>
      </c>
      <c r="C930" t="s">
        <v>22</v>
      </c>
      <c r="D930" t="s">
        <v>25</v>
      </c>
      <c r="E930" t="s">
        <v>28</v>
      </c>
      <c r="F930">
        <v>188</v>
      </c>
      <c r="G930">
        <v>4</v>
      </c>
      <c r="H930">
        <v>25</v>
      </c>
      <c r="I930" t="s">
        <v>34</v>
      </c>
      <c r="J930">
        <v>4</v>
      </c>
    </row>
    <row r="931" spans="1:10" x14ac:dyDescent="0.3">
      <c r="A931" t="s">
        <v>10</v>
      </c>
      <c r="B931">
        <v>45742</v>
      </c>
      <c r="C931" t="s">
        <v>18</v>
      </c>
      <c r="D931" t="s">
        <v>27</v>
      </c>
      <c r="E931" t="s">
        <v>31</v>
      </c>
      <c r="F931">
        <v>70</v>
      </c>
      <c r="G931">
        <v>1</v>
      </c>
      <c r="H931">
        <v>13</v>
      </c>
      <c r="I931" t="s">
        <v>33</v>
      </c>
      <c r="J931">
        <v>3</v>
      </c>
    </row>
    <row r="932" spans="1:10" x14ac:dyDescent="0.3">
      <c r="A932" t="s">
        <v>11</v>
      </c>
      <c r="B932">
        <v>45760</v>
      </c>
      <c r="C932" t="s">
        <v>17</v>
      </c>
      <c r="D932" t="s">
        <v>24</v>
      </c>
      <c r="E932" t="s">
        <v>28</v>
      </c>
      <c r="F932">
        <v>206</v>
      </c>
      <c r="G932">
        <v>3</v>
      </c>
      <c r="H932">
        <v>20</v>
      </c>
      <c r="I932" t="s">
        <v>33</v>
      </c>
      <c r="J932">
        <v>1</v>
      </c>
    </row>
    <row r="933" spans="1:10" x14ac:dyDescent="0.3">
      <c r="A933" t="s">
        <v>11</v>
      </c>
      <c r="B933">
        <v>45759</v>
      </c>
      <c r="C933" t="s">
        <v>16</v>
      </c>
      <c r="D933" t="s">
        <v>26</v>
      </c>
      <c r="E933" t="s">
        <v>32</v>
      </c>
      <c r="F933">
        <v>66</v>
      </c>
      <c r="G933">
        <v>2</v>
      </c>
      <c r="H933">
        <v>8</v>
      </c>
      <c r="I933" t="s">
        <v>34</v>
      </c>
      <c r="J933">
        <v>2</v>
      </c>
    </row>
    <row r="934" spans="1:10" x14ac:dyDescent="0.3">
      <c r="A934" t="s">
        <v>11</v>
      </c>
      <c r="B934">
        <v>45766</v>
      </c>
      <c r="C934" t="s">
        <v>14</v>
      </c>
      <c r="D934" t="s">
        <v>25</v>
      </c>
      <c r="E934" t="s">
        <v>29</v>
      </c>
      <c r="F934">
        <v>245</v>
      </c>
      <c r="G934">
        <v>1</v>
      </c>
      <c r="H934">
        <v>13</v>
      </c>
      <c r="I934" t="s">
        <v>34</v>
      </c>
      <c r="J934">
        <v>2</v>
      </c>
    </row>
    <row r="935" spans="1:10" x14ac:dyDescent="0.3">
      <c r="A935" t="s">
        <v>11</v>
      </c>
      <c r="B935">
        <v>45764</v>
      </c>
      <c r="C935" t="s">
        <v>16</v>
      </c>
      <c r="D935" t="s">
        <v>26</v>
      </c>
      <c r="E935" t="s">
        <v>31</v>
      </c>
      <c r="F935">
        <v>119</v>
      </c>
      <c r="G935">
        <v>2</v>
      </c>
      <c r="H935">
        <v>15</v>
      </c>
      <c r="I935" t="s">
        <v>35</v>
      </c>
      <c r="J935">
        <v>2</v>
      </c>
    </row>
    <row r="936" spans="1:10" x14ac:dyDescent="0.3">
      <c r="A936" t="s">
        <v>10</v>
      </c>
      <c r="B936">
        <v>45759</v>
      </c>
      <c r="C936" t="s">
        <v>17</v>
      </c>
      <c r="D936" t="s">
        <v>24</v>
      </c>
      <c r="E936" t="s">
        <v>29</v>
      </c>
      <c r="F936">
        <v>117</v>
      </c>
      <c r="G936">
        <v>2</v>
      </c>
      <c r="H936">
        <v>21</v>
      </c>
      <c r="I936" t="s">
        <v>35</v>
      </c>
      <c r="J936">
        <v>2</v>
      </c>
    </row>
    <row r="937" spans="1:10" x14ac:dyDescent="0.3">
      <c r="A937" t="s">
        <v>10</v>
      </c>
      <c r="B937">
        <v>45747</v>
      </c>
      <c r="C937" t="s">
        <v>19</v>
      </c>
      <c r="D937" t="s">
        <v>23</v>
      </c>
      <c r="E937" t="s">
        <v>28</v>
      </c>
      <c r="F937">
        <v>178</v>
      </c>
      <c r="G937">
        <v>4</v>
      </c>
      <c r="H937">
        <v>19</v>
      </c>
      <c r="I937" t="s">
        <v>33</v>
      </c>
    </row>
    <row r="938" spans="1:10" x14ac:dyDescent="0.3">
      <c r="A938" t="s">
        <v>11</v>
      </c>
      <c r="B938">
        <v>45749</v>
      </c>
      <c r="C938" t="s">
        <v>12</v>
      </c>
      <c r="D938" t="s">
        <v>23</v>
      </c>
      <c r="E938" t="s">
        <v>31</v>
      </c>
      <c r="F938">
        <v>103</v>
      </c>
      <c r="G938">
        <v>1</v>
      </c>
      <c r="H938">
        <v>20</v>
      </c>
      <c r="I938" t="s">
        <v>34</v>
      </c>
      <c r="J938">
        <v>1</v>
      </c>
    </row>
    <row r="939" spans="1:10" x14ac:dyDescent="0.3">
      <c r="A939" t="s">
        <v>10</v>
      </c>
      <c r="B939">
        <v>45743</v>
      </c>
      <c r="C939" t="s">
        <v>21</v>
      </c>
      <c r="D939" t="s">
        <v>26</v>
      </c>
      <c r="E939" t="s">
        <v>29</v>
      </c>
      <c r="F939">
        <v>42</v>
      </c>
      <c r="G939">
        <v>4</v>
      </c>
      <c r="H939">
        <v>18</v>
      </c>
      <c r="I939" t="s">
        <v>33</v>
      </c>
      <c r="J939">
        <v>5</v>
      </c>
    </row>
    <row r="940" spans="1:10" x14ac:dyDescent="0.3">
      <c r="A940" t="s">
        <v>11</v>
      </c>
      <c r="B940">
        <v>45748</v>
      </c>
      <c r="C940" t="s">
        <v>18</v>
      </c>
      <c r="D940" t="s">
        <v>27</v>
      </c>
      <c r="E940" t="s">
        <v>31</v>
      </c>
      <c r="F940">
        <v>54</v>
      </c>
      <c r="G940">
        <v>3</v>
      </c>
      <c r="H940">
        <v>17</v>
      </c>
      <c r="I940" t="s">
        <v>35</v>
      </c>
      <c r="J940">
        <v>4</v>
      </c>
    </row>
    <row r="941" spans="1:10" x14ac:dyDescent="0.3">
      <c r="A941" t="s">
        <v>11</v>
      </c>
      <c r="B941">
        <v>45755</v>
      </c>
      <c r="C941" t="s">
        <v>19</v>
      </c>
      <c r="D941" t="s">
        <v>23</v>
      </c>
      <c r="E941" t="s">
        <v>32</v>
      </c>
      <c r="F941">
        <v>117</v>
      </c>
      <c r="G941">
        <v>3</v>
      </c>
      <c r="H941">
        <v>8</v>
      </c>
      <c r="I941" t="s">
        <v>33</v>
      </c>
    </row>
    <row r="942" spans="1:10" x14ac:dyDescent="0.3">
      <c r="A942" t="s">
        <v>10</v>
      </c>
      <c r="B942">
        <v>45755</v>
      </c>
      <c r="C942" t="s">
        <v>12</v>
      </c>
      <c r="D942" t="s">
        <v>23</v>
      </c>
      <c r="E942" t="s">
        <v>30</v>
      </c>
      <c r="F942">
        <v>80</v>
      </c>
      <c r="G942">
        <v>1</v>
      </c>
      <c r="H942">
        <v>22</v>
      </c>
      <c r="I942" t="s">
        <v>34</v>
      </c>
      <c r="J942">
        <v>1</v>
      </c>
    </row>
    <row r="943" spans="1:10" x14ac:dyDescent="0.3">
      <c r="A943" t="s">
        <v>10</v>
      </c>
      <c r="B943">
        <v>45764</v>
      </c>
      <c r="C943" t="s">
        <v>21</v>
      </c>
      <c r="D943" t="s">
        <v>26</v>
      </c>
      <c r="E943" t="s">
        <v>32</v>
      </c>
      <c r="F943">
        <v>231</v>
      </c>
      <c r="G943">
        <v>2</v>
      </c>
      <c r="H943">
        <v>21</v>
      </c>
      <c r="I943" t="s">
        <v>35</v>
      </c>
    </row>
    <row r="944" spans="1:10" x14ac:dyDescent="0.3">
      <c r="A944" t="s">
        <v>11</v>
      </c>
      <c r="B944">
        <v>45768</v>
      </c>
      <c r="C944" t="s">
        <v>14</v>
      </c>
      <c r="D944" t="s">
        <v>25</v>
      </c>
      <c r="E944" t="s">
        <v>29</v>
      </c>
      <c r="F944">
        <v>66</v>
      </c>
      <c r="G944">
        <v>3</v>
      </c>
      <c r="H944">
        <v>10</v>
      </c>
      <c r="I944" t="s">
        <v>35</v>
      </c>
    </row>
    <row r="945" spans="1:10" x14ac:dyDescent="0.3">
      <c r="A945" t="s">
        <v>11</v>
      </c>
      <c r="B945">
        <v>45740</v>
      </c>
      <c r="C945" t="s">
        <v>18</v>
      </c>
      <c r="D945" t="s">
        <v>27</v>
      </c>
      <c r="E945" t="s">
        <v>31</v>
      </c>
      <c r="F945">
        <v>141</v>
      </c>
      <c r="G945">
        <v>5</v>
      </c>
      <c r="H945">
        <v>8</v>
      </c>
      <c r="I945" t="s">
        <v>33</v>
      </c>
      <c r="J945">
        <v>5</v>
      </c>
    </row>
    <row r="946" spans="1:10" x14ac:dyDescent="0.3">
      <c r="A946" t="s">
        <v>10</v>
      </c>
      <c r="B946">
        <v>45764</v>
      </c>
      <c r="C946" t="s">
        <v>12</v>
      </c>
      <c r="D946" t="s">
        <v>23</v>
      </c>
      <c r="E946" t="s">
        <v>32</v>
      </c>
      <c r="F946">
        <v>115</v>
      </c>
      <c r="G946">
        <v>2</v>
      </c>
      <c r="H946">
        <v>22</v>
      </c>
      <c r="I946" t="s">
        <v>34</v>
      </c>
      <c r="J946">
        <v>3</v>
      </c>
    </row>
    <row r="947" spans="1:10" x14ac:dyDescent="0.3">
      <c r="A947" t="s">
        <v>10</v>
      </c>
      <c r="B947">
        <v>45751</v>
      </c>
      <c r="C947" t="s">
        <v>14</v>
      </c>
      <c r="D947" t="s">
        <v>25</v>
      </c>
      <c r="E947" t="s">
        <v>28</v>
      </c>
      <c r="F947">
        <v>190</v>
      </c>
      <c r="G947">
        <v>2</v>
      </c>
      <c r="H947">
        <v>16</v>
      </c>
      <c r="I947" t="s">
        <v>34</v>
      </c>
      <c r="J947">
        <v>4</v>
      </c>
    </row>
    <row r="948" spans="1:10" x14ac:dyDescent="0.3">
      <c r="A948" t="s">
        <v>10</v>
      </c>
      <c r="B948">
        <v>45757</v>
      </c>
      <c r="C948" t="s">
        <v>12</v>
      </c>
      <c r="D948" t="s">
        <v>23</v>
      </c>
      <c r="E948" t="s">
        <v>32</v>
      </c>
      <c r="F948">
        <v>112</v>
      </c>
      <c r="G948">
        <v>4</v>
      </c>
      <c r="H948">
        <v>10</v>
      </c>
      <c r="I948" t="s">
        <v>35</v>
      </c>
    </row>
    <row r="949" spans="1:10" x14ac:dyDescent="0.3">
      <c r="A949" t="s">
        <v>10</v>
      </c>
      <c r="B949">
        <v>45751</v>
      </c>
      <c r="C949" t="s">
        <v>18</v>
      </c>
      <c r="D949" t="s">
        <v>27</v>
      </c>
      <c r="E949" t="s">
        <v>29</v>
      </c>
      <c r="F949">
        <v>126</v>
      </c>
      <c r="G949">
        <v>3</v>
      </c>
      <c r="H949">
        <v>21</v>
      </c>
      <c r="I949" t="s">
        <v>34</v>
      </c>
      <c r="J949">
        <v>5</v>
      </c>
    </row>
    <row r="950" spans="1:10" x14ac:dyDescent="0.3">
      <c r="A950" t="s">
        <v>10</v>
      </c>
      <c r="B950">
        <v>45740</v>
      </c>
      <c r="C950" t="s">
        <v>21</v>
      </c>
      <c r="D950" t="s">
        <v>26</v>
      </c>
      <c r="E950" t="s">
        <v>31</v>
      </c>
      <c r="F950">
        <v>210</v>
      </c>
      <c r="G950">
        <v>5</v>
      </c>
      <c r="H950">
        <v>20</v>
      </c>
      <c r="I950" t="s">
        <v>33</v>
      </c>
      <c r="J950">
        <v>4</v>
      </c>
    </row>
    <row r="951" spans="1:10" x14ac:dyDescent="0.3">
      <c r="A951" t="s">
        <v>10</v>
      </c>
      <c r="B951">
        <v>45747</v>
      </c>
      <c r="C951" t="s">
        <v>13</v>
      </c>
      <c r="D951" t="s">
        <v>24</v>
      </c>
      <c r="E951" t="s">
        <v>29</v>
      </c>
      <c r="F951">
        <v>197</v>
      </c>
      <c r="G951">
        <v>4</v>
      </c>
      <c r="H951">
        <v>18</v>
      </c>
      <c r="I951" t="s">
        <v>35</v>
      </c>
    </row>
    <row r="952" spans="1:10" x14ac:dyDescent="0.3">
      <c r="A952" t="s">
        <v>10</v>
      </c>
      <c r="B952">
        <v>45756</v>
      </c>
      <c r="C952" t="s">
        <v>15</v>
      </c>
      <c r="D952" t="s">
        <v>25</v>
      </c>
      <c r="E952" t="s">
        <v>30</v>
      </c>
      <c r="F952">
        <v>156</v>
      </c>
      <c r="G952">
        <v>3</v>
      </c>
      <c r="H952">
        <v>25</v>
      </c>
      <c r="I952" t="s">
        <v>34</v>
      </c>
      <c r="J952">
        <v>2</v>
      </c>
    </row>
    <row r="953" spans="1:10" x14ac:dyDescent="0.3">
      <c r="A953" t="s">
        <v>10</v>
      </c>
      <c r="B953">
        <v>45756</v>
      </c>
      <c r="C953" t="s">
        <v>14</v>
      </c>
      <c r="D953" t="s">
        <v>25</v>
      </c>
      <c r="E953" t="s">
        <v>32</v>
      </c>
      <c r="F953">
        <v>62</v>
      </c>
      <c r="G953">
        <v>2</v>
      </c>
      <c r="H953">
        <v>12</v>
      </c>
      <c r="I953" t="s">
        <v>33</v>
      </c>
      <c r="J953">
        <v>4</v>
      </c>
    </row>
    <row r="954" spans="1:10" x14ac:dyDescent="0.3">
      <c r="A954" t="s">
        <v>10</v>
      </c>
      <c r="B954">
        <v>45754</v>
      </c>
      <c r="C954" t="s">
        <v>20</v>
      </c>
      <c r="D954" t="s">
        <v>20</v>
      </c>
      <c r="E954" t="s">
        <v>31</v>
      </c>
      <c r="F954">
        <v>109</v>
      </c>
      <c r="G954">
        <v>4</v>
      </c>
      <c r="H954">
        <v>23</v>
      </c>
      <c r="I954" t="s">
        <v>33</v>
      </c>
      <c r="J954">
        <v>1</v>
      </c>
    </row>
    <row r="955" spans="1:10" x14ac:dyDescent="0.3">
      <c r="A955" t="s">
        <v>10</v>
      </c>
      <c r="B955">
        <v>45763</v>
      </c>
      <c r="C955" t="s">
        <v>15</v>
      </c>
      <c r="D955" t="s">
        <v>25</v>
      </c>
      <c r="E955" t="s">
        <v>31</v>
      </c>
      <c r="F955">
        <v>242</v>
      </c>
      <c r="G955">
        <v>4</v>
      </c>
      <c r="H955">
        <v>25</v>
      </c>
      <c r="I955" t="s">
        <v>33</v>
      </c>
      <c r="J955">
        <v>5</v>
      </c>
    </row>
    <row r="956" spans="1:10" x14ac:dyDescent="0.3">
      <c r="A956" t="s">
        <v>11</v>
      </c>
      <c r="B956">
        <v>45757</v>
      </c>
      <c r="C956" t="s">
        <v>18</v>
      </c>
      <c r="D956" t="s">
        <v>27</v>
      </c>
      <c r="E956" t="s">
        <v>28</v>
      </c>
      <c r="F956">
        <v>132</v>
      </c>
      <c r="G956">
        <v>4</v>
      </c>
      <c r="H956">
        <v>14</v>
      </c>
      <c r="I956" t="s">
        <v>35</v>
      </c>
      <c r="J956">
        <v>3</v>
      </c>
    </row>
    <row r="957" spans="1:10" x14ac:dyDescent="0.3">
      <c r="A957" t="s">
        <v>11</v>
      </c>
      <c r="B957">
        <v>45763</v>
      </c>
      <c r="C957" t="s">
        <v>14</v>
      </c>
      <c r="D957" t="s">
        <v>25</v>
      </c>
      <c r="E957" t="s">
        <v>32</v>
      </c>
      <c r="F957">
        <v>90</v>
      </c>
      <c r="G957">
        <v>3</v>
      </c>
      <c r="H957">
        <v>11</v>
      </c>
      <c r="I957" t="s">
        <v>35</v>
      </c>
      <c r="J957">
        <v>2</v>
      </c>
    </row>
    <row r="958" spans="1:10" x14ac:dyDescent="0.3">
      <c r="A958" t="s">
        <v>10</v>
      </c>
      <c r="B958">
        <v>45757</v>
      </c>
      <c r="C958" t="s">
        <v>20</v>
      </c>
      <c r="D958" t="s">
        <v>20</v>
      </c>
      <c r="E958" t="s">
        <v>29</v>
      </c>
      <c r="F958">
        <v>164</v>
      </c>
      <c r="G958">
        <v>5</v>
      </c>
      <c r="H958">
        <v>11</v>
      </c>
      <c r="I958" t="s">
        <v>35</v>
      </c>
      <c r="J958">
        <v>5</v>
      </c>
    </row>
    <row r="959" spans="1:10" x14ac:dyDescent="0.3">
      <c r="A959" t="s">
        <v>11</v>
      </c>
      <c r="B959">
        <v>45763</v>
      </c>
      <c r="C959" t="s">
        <v>18</v>
      </c>
      <c r="D959" t="s">
        <v>27</v>
      </c>
      <c r="E959" t="s">
        <v>28</v>
      </c>
      <c r="F959">
        <v>246</v>
      </c>
      <c r="G959">
        <v>3</v>
      </c>
      <c r="H959">
        <v>7</v>
      </c>
      <c r="I959" t="s">
        <v>35</v>
      </c>
      <c r="J959">
        <v>4</v>
      </c>
    </row>
    <row r="960" spans="1:10" x14ac:dyDescent="0.3">
      <c r="A960" t="s">
        <v>10</v>
      </c>
      <c r="B960">
        <v>45742</v>
      </c>
      <c r="C960" t="s">
        <v>20</v>
      </c>
      <c r="D960" t="s">
        <v>20</v>
      </c>
      <c r="E960" t="s">
        <v>28</v>
      </c>
      <c r="F960">
        <v>81</v>
      </c>
      <c r="G960">
        <v>5</v>
      </c>
      <c r="H960">
        <v>16</v>
      </c>
      <c r="I960" t="s">
        <v>34</v>
      </c>
      <c r="J960">
        <v>4</v>
      </c>
    </row>
    <row r="961" spans="1:10" x14ac:dyDescent="0.3">
      <c r="A961" t="s">
        <v>10</v>
      </c>
      <c r="B961">
        <v>45746</v>
      </c>
      <c r="C961" t="s">
        <v>19</v>
      </c>
      <c r="D961" t="s">
        <v>23</v>
      </c>
      <c r="E961" t="s">
        <v>32</v>
      </c>
      <c r="F961">
        <v>166</v>
      </c>
      <c r="G961">
        <v>4</v>
      </c>
      <c r="H961">
        <v>15</v>
      </c>
      <c r="I961" t="s">
        <v>35</v>
      </c>
      <c r="J961">
        <v>3</v>
      </c>
    </row>
    <row r="962" spans="1:10" x14ac:dyDescent="0.3">
      <c r="A962" t="s">
        <v>11</v>
      </c>
      <c r="B962">
        <v>45750</v>
      </c>
      <c r="C962" t="s">
        <v>15</v>
      </c>
      <c r="D962" t="s">
        <v>25</v>
      </c>
      <c r="E962" t="s">
        <v>32</v>
      </c>
      <c r="F962">
        <v>248</v>
      </c>
      <c r="G962">
        <v>4</v>
      </c>
      <c r="H962">
        <v>12</v>
      </c>
      <c r="I962" t="s">
        <v>35</v>
      </c>
      <c r="J962">
        <v>3</v>
      </c>
    </row>
    <row r="963" spans="1:10" x14ac:dyDescent="0.3">
      <c r="A963" t="s">
        <v>11</v>
      </c>
      <c r="B963">
        <v>45766</v>
      </c>
      <c r="C963" t="s">
        <v>17</v>
      </c>
      <c r="D963" t="s">
        <v>24</v>
      </c>
      <c r="E963" t="s">
        <v>29</v>
      </c>
      <c r="F963">
        <v>69</v>
      </c>
      <c r="G963">
        <v>5</v>
      </c>
      <c r="H963">
        <v>10</v>
      </c>
      <c r="I963" t="s">
        <v>35</v>
      </c>
      <c r="J963">
        <v>1</v>
      </c>
    </row>
    <row r="964" spans="1:10" x14ac:dyDescent="0.3">
      <c r="A964" t="s">
        <v>10</v>
      </c>
      <c r="B964">
        <v>45763</v>
      </c>
      <c r="C964" t="s">
        <v>12</v>
      </c>
      <c r="D964" t="s">
        <v>23</v>
      </c>
      <c r="E964" t="s">
        <v>31</v>
      </c>
      <c r="F964">
        <v>193</v>
      </c>
      <c r="G964">
        <v>1</v>
      </c>
      <c r="H964">
        <v>14</v>
      </c>
      <c r="I964" t="s">
        <v>33</v>
      </c>
      <c r="J964">
        <v>4</v>
      </c>
    </row>
    <row r="965" spans="1:10" x14ac:dyDescent="0.3">
      <c r="A965" t="s">
        <v>11</v>
      </c>
      <c r="B965">
        <v>45754</v>
      </c>
      <c r="C965" t="s">
        <v>22</v>
      </c>
      <c r="D965" t="s">
        <v>25</v>
      </c>
      <c r="E965" t="s">
        <v>31</v>
      </c>
      <c r="F965">
        <v>235</v>
      </c>
      <c r="G965">
        <v>5</v>
      </c>
      <c r="H965">
        <v>11</v>
      </c>
      <c r="I965" t="s">
        <v>34</v>
      </c>
      <c r="J965">
        <v>2</v>
      </c>
    </row>
    <row r="966" spans="1:10" x14ac:dyDescent="0.3">
      <c r="A966" t="s">
        <v>11</v>
      </c>
      <c r="B966">
        <v>45752</v>
      </c>
      <c r="C966" t="s">
        <v>15</v>
      </c>
      <c r="D966" t="s">
        <v>25</v>
      </c>
      <c r="E966" t="s">
        <v>31</v>
      </c>
      <c r="F966">
        <v>43</v>
      </c>
      <c r="G966">
        <v>2</v>
      </c>
      <c r="H966">
        <v>9</v>
      </c>
      <c r="I966" t="s">
        <v>34</v>
      </c>
      <c r="J966">
        <v>5</v>
      </c>
    </row>
    <row r="967" spans="1:10" x14ac:dyDescent="0.3">
      <c r="A967" t="s">
        <v>10</v>
      </c>
      <c r="B967">
        <v>45758</v>
      </c>
      <c r="C967" t="s">
        <v>19</v>
      </c>
      <c r="D967" t="s">
        <v>23</v>
      </c>
      <c r="E967" t="s">
        <v>32</v>
      </c>
      <c r="F967">
        <v>141</v>
      </c>
      <c r="G967">
        <v>4</v>
      </c>
      <c r="H967">
        <v>20</v>
      </c>
      <c r="I967" t="s">
        <v>34</v>
      </c>
      <c r="J967">
        <v>3</v>
      </c>
    </row>
    <row r="968" spans="1:10" x14ac:dyDescent="0.3">
      <c r="A968" t="s">
        <v>11</v>
      </c>
      <c r="B968">
        <v>45753</v>
      </c>
      <c r="C968" t="s">
        <v>16</v>
      </c>
      <c r="D968" t="s">
        <v>26</v>
      </c>
      <c r="E968" t="s">
        <v>29</v>
      </c>
      <c r="F968">
        <v>78</v>
      </c>
      <c r="G968">
        <v>5</v>
      </c>
      <c r="H968">
        <v>12</v>
      </c>
      <c r="I968" t="s">
        <v>35</v>
      </c>
    </row>
    <row r="969" spans="1:10" x14ac:dyDescent="0.3">
      <c r="A969" t="s">
        <v>10</v>
      </c>
      <c r="B969">
        <v>45744</v>
      </c>
      <c r="C969" t="s">
        <v>14</v>
      </c>
      <c r="D969" t="s">
        <v>25</v>
      </c>
      <c r="E969" t="s">
        <v>31</v>
      </c>
      <c r="F969">
        <v>151</v>
      </c>
      <c r="G969">
        <v>1</v>
      </c>
      <c r="H969">
        <v>19</v>
      </c>
      <c r="I969" t="s">
        <v>35</v>
      </c>
      <c r="J969">
        <v>1</v>
      </c>
    </row>
    <row r="970" spans="1:10" x14ac:dyDescent="0.3">
      <c r="A970" t="s">
        <v>11</v>
      </c>
      <c r="B970">
        <v>45748</v>
      </c>
      <c r="C970" t="s">
        <v>21</v>
      </c>
      <c r="D970" t="s">
        <v>26</v>
      </c>
      <c r="E970" t="s">
        <v>32</v>
      </c>
      <c r="F970">
        <v>186</v>
      </c>
      <c r="G970">
        <v>5</v>
      </c>
      <c r="H970">
        <v>9</v>
      </c>
      <c r="I970" t="s">
        <v>33</v>
      </c>
      <c r="J970">
        <v>5</v>
      </c>
    </row>
    <row r="971" spans="1:10" x14ac:dyDescent="0.3">
      <c r="A971" t="s">
        <v>10</v>
      </c>
      <c r="B971">
        <v>45761</v>
      </c>
      <c r="C971" t="s">
        <v>12</v>
      </c>
      <c r="D971" t="s">
        <v>23</v>
      </c>
      <c r="E971" t="s">
        <v>28</v>
      </c>
      <c r="F971">
        <v>158</v>
      </c>
      <c r="G971">
        <v>4</v>
      </c>
      <c r="H971">
        <v>13</v>
      </c>
      <c r="I971" t="s">
        <v>35</v>
      </c>
      <c r="J971">
        <v>2</v>
      </c>
    </row>
    <row r="972" spans="1:10" x14ac:dyDescent="0.3">
      <c r="A972" t="s">
        <v>11</v>
      </c>
      <c r="B972">
        <v>45744</v>
      </c>
      <c r="C972" t="s">
        <v>13</v>
      </c>
      <c r="D972" t="s">
        <v>24</v>
      </c>
      <c r="E972" t="s">
        <v>31</v>
      </c>
      <c r="F972">
        <v>59</v>
      </c>
      <c r="G972">
        <v>4</v>
      </c>
      <c r="H972">
        <v>17</v>
      </c>
      <c r="I972" t="s">
        <v>35</v>
      </c>
      <c r="J972">
        <v>3</v>
      </c>
    </row>
    <row r="973" spans="1:10" x14ac:dyDescent="0.3">
      <c r="A973" t="s">
        <v>10</v>
      </c>
      <c r="B973">
        <v>45750</v>
      </c>
      <c r="C973" t="s">
        <v>17</v>
      </c>
      <c r="D973" t="s">
        <v>24</v>
      </c>
      <c r="E973" t="s">
        <v>29</v>
      </c>
      <c r="F973">
        <v>57</v>
      </c>
      <c r="G973">
        <v>4</v>
      </c>
      <c r="H973">
        <v>12</v>
      </c>
      <c r="I973" t="s">
        <v>33</v>
      </c>
      <c r="J973">
        <v>1</v>
      </c>
    </row>
    <row r="974" spans="1:10" x14ac:dyDescent="0.3">
      <c r="A974" t="s">
        <v>10</v>
      </c>
      <c r="B974">
        <v>45746</v>
      </c>
      <c r="C974" t="s">
        <v>17</v>
      </c>
      <c r="D974" t="s">
        <v>24</v>
      </c>
      <c r="E974" t="s">
        <v>29</v>
      </c>
      <c r="F974">
        <v>237</v>
      </c>
      <c r="G974">
        <v>2</v>
      </c>
      <c r="H974">
        <v>25</v>
      </c>
      <c r="I974" t="s">
        <v>33</v>
      </c>
    </row>
    <row r="975" spans="1:10" x14ac:dyDescent="0.3">
      <c r="A975" t="s">
        <v>10</v>
      </c>
      <c r="B975">
        <v>45742</v>
      </c>
      <c r="C975" t="s">
        <v>20</v>
      </c>
      <c r="D975" t="s">
        <v>20</v>
      </c>
      <c r="E975" t="s">
        <v>31</v>
      </c>
      <c r="F975">
        <v>221</v>
      </c>
      <c r="G975">
        <v>5</v>
      </c>
      <c r="H975">
        <v>13</v>
      </c>
      <c r="I975" t="s">
        <v>33</v>
      </c>
      <c r="J975">
        <v>5</v>
      </c>
    </row>
    <row r="976" spans="1:10" x14ac:dyDescent="0.3">
      <c r="A976" t="s">
        <v>11</v>
      </c>
      <c r="B976">
        <v>45743</v>
      </c>
      <c r="C976" t="s">
        <v>15</v>
      </c>
      <c r="D976" t="s">
        <v>25</v>
      </c>
      <c r="E976" t="s">
        <v>32</v>
      </c>
      <c r="F976">
        <v>64</v>
      </c>
      <c r="G976">
        <v>2</v>
      </c>
      <c r="H976">
        <v>17</v>
      </c>
      <c r="I976" t="s">
        <v>35</v>
      </c>
      <c r="J976">
        <v>1</v>
      </c>
    </row>
    <row r="977" spans="1:10" x14ac:dyDescent="0.3">
      <c r="A977" t="s">
        <v>10</v>
      </c>
      <c r="B977">
        <v>45745</v>
      </c>
      <c r="C977" t="s">
        <v>21</v>
      </c>
      <c r="D977" t="s">
        <v>26</v>
      </c>
      <c r="E977" t="s">
        <v>30</v>
      </c>
      <c r="F977">
        <v>110</v>
      </c>
      <c r="G977">
        <v>3</v>
      </c>
      <c r="H977">
        <v>21</v>
      </c>
      <c r="I977" t="s">
        <v>35</v>
      </c>
      <c r="J977">
        <v>1</v>
      </c>
    </row>
    <row r="978" spans="1:10" x14ac:dyDescent="0.3">
      <c r="A978" t="s">
        <v>11</v>
      </c>
      <c r="B978">
        <v>45749</v>
      </c>
      <c r="C978" t="s">
        <v>12</v>
      </c>
      <c r="D978" t="s">
        <v>23</v>
      </c>
      <c r="E978" t="s">
        <v>32</v>
      </c>
      <c r="F978">
        <v>134</v>
      </c>
      <c r="G978">
        <v>5</v>
      </c>
      <c r="H978">
        <v>11</v>
      </c>
      <c r="I978" t="s">
        <v>33</v>
      </c>
      <c r="J978">
        <v>2</v>
      </c>
    </row>
    <row r="979" spans="1:10" x14ac:dyDescent="0.3">
      <c r="A979" t="s">
        <v>10</v>
      </c>
      <c r="B979">
        <v>45757</v>
      </c>
      <c r="C979" t="s">
        <v>13</v>
      </c>
      <c r="D979" t="s">
        <v>24</v>
      </c>
      <c r="E979" t="s">
        <v>30</v>
      </c>
      <c r="F979">
        <v>180</v>
      </c>
      <c r="G979">
        <v>4</v>
      </c>
      <c r="H979">
        <v>17</v>
      </c>
      <c r="I979" t="s">
        <v>34</v>
      </c>
      <c r="J979">
        <v>4</v>
      </c>
    </row>
    <row r="980" spans="1:10" x14ac:dyDescent="0.3">
      <c r="A980" t="s">
        <v>11</v>
      </c>
      <c r="B980">
        <v>45742</v>
      </c>
      <c r="C980" t="s">
        <v>21</v>
      </c>
      <c r="D980" t="s">
        <v>26</v>
      </c>
      <c r="E980" t="s">
        <v>31</v>
      </c>
      <c r="F980">
        <v>159</v>
      </c>
      <c r="G980">
        <v>2</v>
      </c>
      <c r="H980">
        <v>13</v>
      </c>
      <c r="I980" t="s">
        <v>34</v>
      </c>
      <c r="J980">
        <v>5</v>
      </c>
    </row>
    <row r="981" spans="1:10" x14ac:dyDescent="0.3">
      <c r="A981" t="s">
        <v>10</v>
      </c>
      <c r="B981">
        <v>45763</v>
      </c>
      <c r="C981" t="s">
        <v>22</v>
      </c>
      <c r="D981" t="s">
        <v>25</v>
      </c>
      <c r="E981" t="s">
        <v>29</v>
      </c>
      <c r="F981">
        <v>135</v>
      </c>
      <c r="G981">
        <v>4</v>
      </c>
      <c r="H981">
        <v>10</v>
      </c>
      <c r="I981" t="s">
        <v>34</v>
      </c>
      <c r="J981">
        <v>3</v>
      </c>
    </row>
    <row r="982" spans="1:10" x14ac:dyDescent="0.3">
      <c r="A982" t="s">
        <v>10</v>
      </c>
      <c r="B982">
        <v>45765</v>
      </c>
      <c r="C982" t="s">
        <v>22</v>
      </c>
      <c r="D982" t="s">
        <v>25</v>
      </c>
      <c r="E982" t="s">
        <v>29</v>
      </c>
      <c r="F982">
        <v>75</v>
      </c>
      <c r="G982">
        <v>5</v>
      </c>
      <c r="H982">
        <v>18</v>
      </c>
      <c r="I982" t="s">
        <v>35</v>
      </c>
      <c r="J982">
        <v>1</v>
      </c>
    </row>
    <row r="983" spans="1:10" x14ac:dyDescent="0.3">
      <c r="A983" t="s">
        <v>10</v>
      </c>
      <c r="B983">
        <v>45767</v>
      </c>
      <c r="C983" t="s">
        <v>12</v>
      </c>
      <c r="D983" t="s">
        <v>23</v>
      </c>
      <c r="E983" t="s">
        <v>30</v>
      </c>
      <c r="F983">
        <v>94</v>
      </c>
      <c r="G983">
        <v>2</v>
      </c>
      <c r="H983">
        <v>18</v>
      </c>
      <c r="I983" t="s">
        <v>33</v>
      </c>
      <c r="J983">
        <v>3</v>
      </c>
    </row>
    <row r="984" spans="1:10" x14ac:dyDescent="0.3">
      <c r="A984" t="s">
        <v>10</v>
      </c>
      <c r="B984">
        <v>45767</v>
      </c>
      <c r="C984" t="s">
        <v>13</v>
      </c>
      <c r="D984" t="s">
        <v>24</v>
      </c>
      <c r="E984" t="s">
        <v>31</v>
      </c>
      <c r="F984">
        <v>101</v>
      </c>
      <c r="G984">
        <v>4</v>
      </c>
      <c r="H984">
        <v>10</v>
      </c>
      <c r="I984" t="s">
        <v>33</v>
      </c>
      <c r="J984">
        <v>2</v>
      </c>
    </row>
    <row r="985" spans="1:10" x14ac:dyDescent="0.3">
      <c r="A985" t="s">
        <v>10</v>
      </c>
      <c r="B985">
        <v>45754</v>
      </c>
      <c r="C985" t="s">
        <v>15</v>
      </c>
      <c r="D985" t="s">
        <v>25</v>
      </c>
      <c r="E985" t="s">
        <v>32</v>
      </c>
      <c r="F985">
        <v>30</v>
      </c>
      <c r="G985">
        <v>2</v>
      </c>
      <c r="H985">
        <v>24</v>
      </c>
      <c r="I985" t="s">
        <v>34</v>
      </c>
      <c r="J985">
        <v>1</v>
      </c>
    </row>
    <row r="986" spans="1:10" x14ac:dyDescent="0.3">
      <c r="A986" t="s">
        <v>10</v>
      </c>
      <c r="B986">
        <v>45759</v>
      </c>
      <c r="C986" t="s">
        <v>15</v>
      </c>
      <c r="D986" t="s">
        <v>25</v>
      </c>
      <c r="E986" t="s">
        <v>31</v>
      </c>
      <c r="F986">
        <v>81</v>
      </c>
      <c r="G986">
        <v>1</v>
      </c>
      <c r="H986">
        <v>22</v>
      </c>
      <c r="I986" t="s">
        <v>33</v>
      </c>
      <c r="J986">
        <v>3</v>
      </c>
    </row>
    <row r="987" spans="1:10" x14ac:dyDescent="0.3">
      <c r="A987" t="s">
        <v>11</v>
      </c>
      <c r="B987">
        <v>45764</v>
      </c>
      <c r="C987" t="s">
        <v>21</v>
      </c>
      <c r="D987" t="s">
        <v>26</v>
      </c>
      <c r="E987" t="s">
        <v>32</v>
      </c>
      <c r="F987">
        <v>53</v>
      </c>
      <c r="G987">
        <v>4</v>
      </c>
      <c r="H987">
        <v>14</v>
      </c>
      <c r="I987" t="s">
        <v>34</v>
      </c>
      <c r="J987">
        <v>3</v>
      </c>
    </row>
    <row r="988" spans="1:10" x14ac:dyDescent="0.3">
      <c r="A988" t="s">
        <v>11</v>
      </c>
      <c r="B988">
        <v>45768</v>
      </c>
      <c r="C988" t="s">
        <v>21</v>
      </c>
      <c r="D988" t="s">
        <v>26</v>
      </c>
      <c r="E988" t="s">
        <v>32</v>
      </c>
      <c r="F988">
        <v>73</v>
      </c>
      <c r="G988">
        <v>4</v>
      </c>
      <c r="H988">
        <v>19</v>
      </c>
      <c r="I988" t="s">
        <v>35</v>
      </c>
      <c r="J988">
        <v>3</v>
      </c>
    </row>
    <row r="989" spans="1:10" x14ac:dyDescent="0.3">
      <c r="A989" t="s">
        <v>10</v>
      </c>
      <c r="B989">
        <v>45741</v>
      </c>
      <c r="C989" t="s">
        <v>15</v>
      </c>
      <c r="D989" t="s">
        <v>25</v>
      </c>
      <c r="E989" t="s">
        <v>29</v>
      </c>
      <c r="F989">
        <v>246</v>
      </c>
      <c r="G989">
        <v>5</v>
      </c>
      <c r="H989">
        <v>16</v>
      </c>
      <c r="I989" t="s">
        <v>34</v>
      </c>
      <c r="J989">
        <v>4</v>
      </c>
    </row>
    <row r="990" spans="1:10" x14ac:dyDescent="0.3">
      <c r="A990" t="s">
        <v>10</v>
      </c>
      <c r="B990">
        <v>45753</v>
      </c>
      <c r="C990" t="s">
        <v>19</v>
      </c>
      <c r="D990" t="s">
        <v>23</v>
      </c>
      <c r="E990" t="s">
        <v>28</v>
      </c>
      <c r="F990">
        <v>193</v>
      </c>
      <c r="G990">
        <v>3</v>
      </c>
      <c r="H990">
        <v>20</v>
      </c>
      <c r="I990" t="s">
        <v>35</v>
      </c>
      <c r="J990">
        <v>4</v>
      </c>
    </row>
    <row r="991" spans="1:10" x14ac:dyDescent="0.3">
      <c r="A991" t="s">
        <v>11</v>
      </c>
      <c r="B991">
        <v>45757</v>
      </c>
      <c r="C991" t="s">
        <v>15</v>
      </c>
      <c r="D991" t="s">
        <v>25</v>
      </c>
      <c r="E991" t="s">
        <v>31</v>
      </c>
      <c r="F991">
        <v>133</v>
      </c>
      <c r="G991">
        <v>1</v>
      </c>
      <c r="H991">
        <v>18</v>
      </c>
      <c r="I991" t="s">
        <v>34</v>
      </c>
      <c r="J991">
        <v>2</v>
      </c>
    </row>
    <row r="992" spans="1:10" x14ac:dyDescent="0.3">
      <c r="A992" t="s">
        <v>10</v>
      </c>
      <c r="B992">
        <v>45744</v>
      </c>
      <c r="C992" t="s">
        <v>18</v>
      </c>
      <c r="D992" t="s">
        <v>27</v>
      </c>
      <c r="E992" t="s">
        <v>31</v>
      </c>
      <c r="F992">
        <v>206</v>
      </c>
      <c r="G992">
        <v>3</v>
      </c>
      <c r="H992">
        <v>10</v>
      </c>
      <c r="I992" t="s">
        <v>33</v>
      </c>
      <c r="J992">
        <v>4</v>
      </c>
    </row>
    <row r="993" spans="1:10" x14ac:dyDescent="0.3">
      <c r="A993" t="s">
        <v>11</v>
      </c>
      <c r="B993">
        <v>45761</v>
      </c>
      <c r="C993" t="s">
        <v>13</v>
      </c>
      <c r="D993" t="s">
        <v>24</v>
      </c>
      <c r="E993" t="s">
        <v>28</v>
      </c>
      <c r="F993">
        <v>67</v>
      </c>
      <c r="G993">
        <v>1</v>
      </c>
      <c r="H993">
        <v>12</v>
      </c>
      <c r="I993" t="s">
        <v>33</v>
      </c>
      <c r="J993">
        <v>2</v>
      </c>
    </row>
    <row r="994" spans="1:10" x14ac:dyDescent="0.3">
      <c r="A994" t="s">
        <v>11</v>
      </c>
      <c r="B994">
        <v>45752</v>
      </c>
      <c r="C994" t="s">
        <v>21</v>
      </c>
      <c r="D994" t="s">
        <v>26</v>
      </c>
      <c r="E994" t="s">
        <v>28</v>
      </c>
      <c r="F994">
        <v>116</v>
      </c>
      <c r="G994">
        <v>2</v>
      </c>
      <c r="H994">
        <v>18</v>
      </c>
      <c r="I994" t="s">
        <v>34</v>
      </c>
      <c r="J994">
        <v>5</v>
      </c>
    </row>
    <row r="995" spans="1:10" x14ac:dyDescent="0.3">
      <c r="A995" t="s">
        <v>10</v>
      </c>
      <c r="B995">
        <v>45749</v>
      </c>
      <c r="C995" t="s">
        <v>22</v>
      </c>
      <c r="D995" t="s">
        <v>25</v>
      </c>
      <c r="E995" t="s">
        <v>30</v>
      </c>
      <c r="F995">
        <v>158</v>
      </c>
      <c r="G995">
        <v>2</v>
      </c>
      <c r="H995">
        <v>22</v>
      </c>
      <c r="I995" t="s">
        <v>33</v>
      </c>
    </row>
    <row r="996" spans="1:10" x14ac:dyDescent="0.3">
      <c r="A996" t="s">
        <v>10</v>
      </c>
      <c r="B996">
        <v>45758</v>
      </c>
      <c r="C996" t="s">
        <v>18</v>
      </c>
      <c r="D996" t="s">
        <v>27</v>
      </c>
      <c r="E996" t="s">
        <v>28</v>
      </c>
      <c r="F996">
        <v>41</v>
      </c>
      <c r="G996">
        <v>3</v>
      </c>
      <c r="H996">
        <v>17</v>
      </c>
      <c r="I996" t="s">
        <v>34</v>
      </c>
      <c r="J996">
        <v>5</v>
      </c>
    </row>
    <row r="997" spans="1:10" x14ac:dyDescent="0.3">
      <c r="A997" t="s">
        <v>11</v>
      </c>
      <c r="B997">
        <v>45767</v>
      </c>
      <c r="C997" t="s">
        <v>19</v>
      </c>
      <c r="D997" t="s">
        <v>23</v>
      </c>
      <c r="E997" t="s">
        <v>29</v>
      </c>
      <c r="F997">
        <v>249</v>
      </c>
      <c r="G997">
        <v>1</v>
      </c>
      <c r="H997">
        <v>16</v>
      </c>
      <c r="I997" t="s">
        <v>34</v>
      </c>
      <c r="J997">
        <v>5</v>
      </c>
    </row>
    <row r="998" spans="1:10" x14ac:dyDescent="0.3">
      <c r="A998" t="s">
        <v>11</v>
      </c>
      <c r="B998">
        <v>45762</v>
      </c>
      <c r="C998" t="s">
        <v>12</v>
      </c>
      <c r="D998" t="s">
        <v>23</v>
      </c>
      <c r="E998" t="s">
        <v>28</v>
      </c>
      <c r="F998">
        <v>164</v>
      </c>
      <c r="G998">
        <v>2</v>
      </c>
      <c r="H998">
        <v>16</v>
      </c>
      <c r="I998" t="s">
        <v>33</v>
      </c>
      <c r="J998">
        <v>3</v>
      </c>
    </row>
    <row r="999" spans="1:10" x14ac:dyDescent="0.3">
      <c r="A999" t="s">
        <v>11</v>
      </c>
      <c r="B999">
        <v>45757</v>
      </c>
      <c r="C999" t="s">
        <v>17</v>
      </c>
      <c r="D999" t="s">
        <v>24</v>
      </c>
      <c r="E999" t="s">
        <v>28</v>
      </c>
      <c r="F999">
        <v>120</v>
      </c>
      <c r="G999">
        <v>1</v>
      </c>
      <c r="H999">
        <v>18</v>
      </c>
      <c r="I999" t="s">
        <v>35</v>
      </c>
      <c r="J999">
        <v>3</v>
      </c>
    </row>
    <row r="1000" spans="1:10" x14ac:dyDescent="0.3">
      <c r="A1000" t="s">
        <v>11</v>
      </c>
      <c r="B1000">
        <v>45749</v>
      </c>
      <c r="C1000" t="s">
        <v>14</v>
      </c>
      <c r="D1000" t="s">
        <v>25</v>
      </c>
      <c r="E1000" t="s">
        <v>31</v>
      </c>
      <c r="F1000">
        <v>84</v>
      </c>
      <c r="G1000">
        <v>5</v>
      </c>
      <c r="H1000">
        <v>14</v>
      </c>
      <c r="I1000" t="s">
        <v>35</v>
      </c>
      <c r="J1000">
        <v>3</v>
      </c>
    </row>
    <row r="1001" spans="1:10" x14ac:dyDescent="0.3">
      <c r="A1001" t="s">
        <v>10</v>
      </c>
      <c r="B1001">
        <v>45744</v>
      </c>
      <c r="C1001" t="s">
        <v>14</v>
      </c>
      <c r="D1001" t="s">
        <v>25</v>
      </c>
      <c r="E1001" t="s">
        <v>31</v>
      </c>
      <c r="F1001">
        <v>49</v>
      </c>
      <c r="G1001">
        <v>5</v>
      </c>
      <c r="H1001">
        <v>11</v>
      </c>
      <c r="I1001" t="s">
        <v>33</v>
      </c>
      <c r="J100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33FF-AC1F-41BE-A379-DE03F88BEC04}">
  <dimension ref="B2:M1618"/>
  <sheetViews>
    <sheetView topLeftCell="A213" zoomScale="85" zoomScaleNormal="85" workbookViewId="0">
      <selection activeCell="P10" sqref="P10"/>
    </sheetView>
  </sheetViews>
  <sheetFormatPr defaultRowHeight="14.4" x14ac:dyDescent="0.3"/>
  <cols>
    <col min="2" max="2" width="9.33203125" bestFit="1" customWidth="1"/>
    <col min="3" max="3" width="10.21875" bestFit="1" customWidth="1"/>
    <col min="4" max="4" width="10.77734375" bestFit="1" customWidth="1"/>
    <col min="5" max="5" width="11.44140625" bestFit="1" customWidth="1"/>
    <col min="6" max="6" width="13.88671875" bestFit="1" customWidth="1"/>
    <col min="7" max="7" width="14.109375" bestFit="1" customWidth="1"/>
    <col min="8" max="8" width="9" bestFit="1" customWidth="1"/>
    <col min="9" max="9" width="12.109375" customWidth="1"/>
    <col min="10" max="10" width="14.21875" customWidth="1"/>
    <col min="11" max="11" width="20.6640625" bestFit="1" customWidth="1"/>
    <col min="12" max="12" width="17.109375" bestFit="1" customWidth="1"/>
    <col min="13" max="13" width="10.33203125" bestFit="1" customWidth="1"/>
  </cols>
  <sheetData>
    <row r="2" spans="2:13" ht="15" thickBot="1" x14ac:dyDescent="0.35">
      <c r="B2" s="2" t="s">
        <v>36</v>
      </c>
      <c r="C2" s="3" t="s">
        <v>0</v>
      </c>
      <c r="D2" s="3" t="s">
        <v>1</v>
      </c>
      <c r="E2" s="3" t="s">
        <v>2</v>
      </c>
      <c r="F2" s="3" t="s">
        <v>3</v>
      </c>
      <c r="G2" s="3" t="s">
        <v>4</v>
      </c>
      <c r="H2" s="3" t="s">
        <v>5</v>
      </c>
      <c r="I2" s="3" t="s">
        <v>6</v>
      </c>
      <c r="J2" s="3" t="s">
        <v>42</v>
      </c>
      <c r="K2" s="3" t="s">
        <v>7</v>
      </c>
      <c r="L2" s="3" t="s">
        <v>8</v>
      </c>
      <c r="M2" s="3" t="s">
        <v>9</v>
      </c>
    </row>
    <row r="3" spans="2:13" ht="15.6" thickTop="1" thickBot="1" x14ac:dyDescent="0.35">
      <c r="B3" s="4">
        <v>1</v>
      </c>
      <c r="C3" s="5" t="s">
        <v>10</v>
      </c>
      <c r="D3" s="17">
        <v>45383</v>
      </c>
      <c r="E3" s="5" t="s">
        <v>12</v>
      </c>
      <c r="F3" s="5" t="s">
        <v>23</v>
      </c>
      <c r="G3" s="5" t="s">
        <v>28</v>
      </c>
      <c r="H3" s="5">
        <v>127</v>
      </c>
      <c r="I3" s="5">
        <v>135</v>
      </c>
      <c r="J3" s="5">
        <f>H3*I3</f>
        <v>17145</v>
      </c>
      <c r="K3" s="5">
        <v>18</v>
      </c>
      <c r="L3" s="5" t="s">
        <v>33</v>
      </c>
      <c r="M3" s="5">
        <v>3</v>
      </c>
    </row>
    <row r="4" spans="2:13" ht="15.6" thickTop="1" thickBot="1" x14ac:dyDescent="0.35">
      <c r="B4" s="6">
        <v>2</v>
      </c>
      <c r="C4" s="7" t="s">
        <v>10</v>
      </c>
      <c r="D4" s="18">
        <v>45384</v>
      </c>
      <c r="E4" s="7" t="s">
        <v>13</v>
      </c>
      <c r="F4" s="7" t="s">
        <v>24</v>
      </c>
      <c r="G4" s="7" t="s">
        <v>29</v>
      </c>
      <c r="H4" s="7">
        <v>142</v>
      </c>
      <c r="I4" s="5">
        <v>135</v>
      </c>
      <c r="J4" s="5">
        <f t="shared" ref="J4:J67" si="0">H4*I4</f>
        <v>19170</v>
      </c>
      <c r="K4" s="7">
        <v>12</v>
      </c>
      <c r="L4" s="7" t="s">
        <v>34</v>
      </c>
      <c r="M4" s="7">
        <v>1</v>
      </c>
    </row>
    <row r="5" spans="2:13" ht="15.6" thickTop="1" thickBot="1" x14ac:dyDescent="0.35">
      <c r="B5" s="8">
        <v>3</v>
      </c>
      <c r="C5" s="9" t="s">
        <v>11</v>
      </c>
      <c r="D5" s="19">
        <v>45385</v>
      </c>
      <c r="E5" s="9" t="s">
        <v>14</v>
      </c>
      <c r="F5" s="9" t="s">
        <v>25</v>
      </c>
      <c r="G5" s="9" t="s">
        <v>30</v>
      </c>
      <c r="H5" s="9">
        <v>170</v>
      </c>
      <c r="I5" s="5">
        <v>225</v>
      </c>
      <c r="J5" s="5">
        <f t="shared" si="0"/>
        <v>38250</v>
      </c>
      <c r="K5" s="9">
        <v>9</v>
      </c>
      <c r="L5" s="9" t="s">
        <v>34</v>
      </c>
      <c r="M5" s="9">
        <v>3</v>
      </c>
    </row>
    <row r="6" spans="2:13" ht="15.6" thickTop="1" thickBot="1" x14ac:dyDescent="0.35">
      <c r="B6" s="6">
        <v>4</v>
      </c>
      <c r="C6" s="7" t="s">
        <v>10</v>
      </c>
      <c r="D6" s="18">
        <v>45386</v>
      </c>
      <c r="E6" s="7" t="s">
        <v>15</v>
      </c>
      <c r="F6" s="7" t="s">
        <v>25</v>
      </c>
      <c r="G6" s="7" t="s">
        <v>31</v>
      </c>
      <c r="H6" s="7">
        <v>249</v>
      </c>
      <c r="I6" s="5">
        <v>135</v>
      </c>
      <c r="J6" s="5">
        <f t="shared" si="0"/>
        <v>33615</v>
      </c>
      <c r="K6" s="7">
        <v>16</v>
      </c>
      <c r="L6" s="7" t="s">
        <v>34</v>
      </c>
      <c r="M6" s="7">
        <v>2</v>
      </c>
    </row>
    <row r="7" spans="2:13" ht="15.6" thickTop="1" thickBot="1" x14ac:dyDescent="0.35">
      <c r="B7" s="8">
        <v>5</v>
      </c>
      <c r="C7" s="9" t="s">
        <v>11</v>
      </c>
      <c r="D7" s="19">
        <v>45387</v>
      </c>
      <c r="E7" s="9" t="s">
        <v>12</v>
      </c>
      <c r="F7" s="9" t="s">
        <v>23</v>
      </c>
      <c r="G7" s="9" t="s">
        <v>32</v>
      </c>
      <c r="H7" s="9">
        <v>161</v>
      </c>
      <c r="I7" s="5">
        <v>180</v>
      </c>
      <c r="J7" s="5">
        <f t="shared" si="0"/>
        <v>28980</v>
      </c>
      <c r="K7" s="9">
        <v>12</v>
      </c>
      <c r="L7" s="9" t="s">
        <v>34</v>
      </c>
      <c r="M7" s="9">
        <v>2</v>
      </c>
    </row>
    <row r="8" spans="2:13" ht="15.6" thickTop="1" thickBot="1" x14ac:dyDescent="0.35">
      <c r="B8" s="6">
        <v>6</v>
      </c>
      <c r="C8" s="7" t="s">
        <v>11</v>
      </c>
      <c r="D8" s="18">
        <v>45388</v>
      </c>
      <c r="E8" s="7" t="s">
        <v>16</v>
      </c>
      <c r="F8" s="7" t="s">
        <v>26</v>
      </c>
      <c r="G8" s="7" t="s">
        <v>28</v>
      </c>
      <c r="H8" s="7">
        <v>124</v>
      </c>
      <c r="I8" s="5">
        <v>45</v>
      </c>
      <c r="J8" s="5">
        <f t="shared" si="0"/>
        <v>5580</v>
      </c>
      <c r="K8" s="7">
        <v>18</v>
      </c>
      <c r="L8" s="7" t="s">
        <v>34</v>
      </c>
      <c r="M8" s="7">
        <v>5</v>
      </c>
    </row>
    <row r="9" spans="2:13" ht="15.6" thickTop="1" thickBot="1" x14ac:dyDescent="0.35">
      <c r="B9" s="8">
        <v>7</v>
      </c>
      <c r="C9" s="9" t="s">
        <v>10</v>
      </c>
      <c r="D9" s="19">
        <v>45389</v>
      </c>
      <c r="E9" s="9" t="s">
        <v>17</v>
      </c>
      <c r="F9" s="9" t="s">
        <v>24</v>
      </c>
      <c r="G9" s="9" t="s">
        <v>28</v>
      </c>
      <c r="H9" s="9">
        <v>64</v>
      </c>
      <c r="I9" s="5">
        <v>180</v>
      </c>
      <c r="J9" s="5">
        <f t="shared" si="0"/>
        <v>11520</v>
      </c>
      <c r="K9" s="9">
        <v>20</v>
      </c>
      <c r="L9" s="9" t="s">
        <v>33</v>
      </c>
      <c r="M9" s="9"/>
    </row>
    <row r="10" spans="2:13" ht="15.6" thickTop="1" thickBot="1" x14ac:dyDescent="0.35">
      <c r="B10" s="6">
        <v>8</v>
      </c>
      <c r="C10" s="7" t="s">
        <v>11</v>
      </c>
      <c r="D10" s="18">
        <v>45390</v>
      </c>
      <c r="E10" s="7" t="s">
        <v>13</v>
      </c>
      <c r="F10" s="7" t="s">
        <v>24</v>
      </c>
      <c r="G10" s="7" t="s">
        <v>30</v>
      </c>
      <c r="H10" s="7">
        <v>163</v>
      </c>
      <c r="I10" s="5">
        <v>135</v>
      </c>
      <c r="J10" s="5">
        <f t="shared" si="0"/>
        <v>22005</v>
      </c>
      <c r="K10" s="7">
        <v>10</v>
      </c>
      <c r="L10" s="7" t="s">
        <v>33</v>
      </c>
      <c r="M10" s="7"/>
    </row>
    <row r="11" spans="2:13" ht="15.6" thickTop="1" thickBot="1" x14ac:dyDescent="0.35">
      <c r="B11" s="8">
        <v>9</v>
      </c>
      <c r="C11" s="9" t="s">
        <v>11</v>
      </c>
      <c r="D11" s="19">
        <v>45391</v>
      </c>
      <c r="E11" s="9" t="s">
        <v>18</v>
      </c>
      <c r="F11" s="9" t="s">
        <v>27</v>
      </c>
      <c r="G11" s="9" t="s">
        <v>31</v>
      </c>
      <c r="H11" s="9">
        <v>154</v>
      </c>
      <c r="I11" s="5">
        <v>90</v>
      </c>
      <c r="J11" s="5">
        <f t="shared" si="0"/>
        <v>13860</v>
      </c>
      <c r="K11" s="9">
        <v>10</v>
      </c>
      <c r="L11" s="9" t="s">
        <v>33</v>
      </c>
      <c r="M11" s="9">
        <v>3</v>
      </c>
    </row>
    <row r="12" spans="2:13" ht="15.6" thickTop="1" thickBot="1" x14ac:dyDescent="0.35">
      <c r="B12" s="6">
        <v>10</v>
      </c>
      <c r="C12" s="7" t="s">
        <v>10</v>
      </c>
      <c r="D12" s="18">
        <v>45392</v>
      </c>
      <c r="E12" s="7" t="s">
        <v>19</v>
      </c>
      <c r="F12" s="7" t="s">
        <v>23</v>
      </c>
      <c r="G12" s="7" t="s">
        <v>31</v>
      </c>
      <c r="H12" s="7">
        <v>166</v>
      </c>
      <c r="I12" s="5">
        <v>90</v>
      </c>
      <c r="J12" s="5">
        <f t="shared" si="0"/>
        <v>14940</v>
      </c>
      <c r="K12" s="7">
        <v>10</v>
      </c>
      <c r="L12" s="7" t="s">
        <v>35</v>
      </c>
      <c r="M12" s="7"/>
    </row>
    <row r="13" spans="2:13" ht="15.6" thickTop="1" thickBot="1" x14ac:dyDescent="0.35">
      <c r="B13" s="8">
        <v>11</v>
      </c>
      <c r="C13" s="9" t="s">
        <v>10</v>
      </c>
      <c r="D13" s="19">
        <v>45393</v>
      </c>
      <c r="E13" s="9" t="s">
        <v>17</v>
      </c>
      <c r="F13" s="9" t="s">
        <v>24</v>
      </c>
      <c r="G13" s="9" t="s">
        <v>31</v>
      </c>
      <c r="H13" s="9">
        <v>76</v>
      </c>
      <c r="I13" s="5">
        <v>135</v>
      </c>
      <c r="J13" s="5">
        <f t="shared" si="0"/>
        <v>10260</v>
      </c>
      <c r="K13" s="9">
        <v>14</v>
      </c>
      <c r="L13" s="9" t="s">
        <v>33</v>
      </c>
      <c r="M13" s="9"/>
    </row>
    <row r="14" spans="2:13" ht="15.6" thickTop="1" thickBot="1" x14ac:dyDescent="0.35">
      <c r="B14" s="6">
        <v>12</v>
      </c>
      <c r="C14" s="7" t="s">
        <v>11</v>
      </c>
      <c r="D14" s="18">
        <v>45394</v>
      </c>
      <c r="E14" s="7" t="s">
        <v>17</v>
      </c>
      <c r="F14" s="7" t="s">
        <v>24</v>
      </c>
      <c r="G14" s="7" t="s">
        <v>31</v>
      </c>
      <c r="H14" s="7">
        <v>240</v>
      </c>
      <c r="I14" s="5">
        <v>45</v>
      </c>
      <c r="J14" s="5">
        <f t="shared" si="0"/>
        <v>10800</v>
      </c>
      <c r="K14" s="7">
        <v>16</v>
      </c>
      <c r="L14" s="7" t="s">
        <v>34</v>
      </c>
      <c r="M14" s="7">
        <v>2</v>
      </c>
    </row>
    <row r="15" spans="2:13" ht="15.6" thickTop="1" thickBot="1" x14ac:dyDescent="0.35">
      <c r="B15" s="8">
        <v>13</v>
      </c>
      <c r="C15" s="9" t="s">
        <v>11</v>
      </c>
      <c r="D15" s="19">
        <v>45395</v>
      </c>
      <c r="E15" s="9" t="s">
        <v>15</v>
      </c>
      <c r="F15" s="9" t="s">
        <v>25</v>
      </c>
      <c r="G15" s="9" t="s">
        <v>28</v>
      </c>
      <c r="H15" s="9">
        <v>195</v>
      </c>
      <c r="I15" s="5">
        <v>225</v>
      </c>
      <c r="J15" s="5">
        <f t="shared" si="0"/>
        <v>43875</v>
      </c>
      <c r="K15" s="9">
        <v>12</v>
      </c>
      <c r="L15" s="9" t="s">
        <v>35</v>
      </c>
      <c r="M15" s="9">
        <v>3</v>
      </c>
    </row>
    <row r="16" spans="2:13" ht="15.6" thickTop="1" thickBot="1" x14ac:dyDescent="0.35">
      <c r="B16" s="6">
        <v>14</v>
      </c>
      <c r="C16" s="7" t="s">
        <v>10</v>
      </c>
      <c r="D16" s="18">
        <v>45396</v>
      </c>
      <c r="E16" s="7" t="s">
        <v>15</v>
      </c>
      <c r="F16" s="7" t="s">
        <v>25</v>
      </c>
      <c r="G16" s="7" t="s">
        <v>29</v>
      </c>
      <c r="H16" s="7">
        <v>178</v>
      </c>
      <c r="I16" s="5">
        <v>135</v>
      </c>
      <c r="J16" s="5">
        <f t="shared" si="0"/>
        <v>24030</v>
      </c>
      <c r="K16" s="7">
        <v>10</v>
      </c>
      <c r="L16" s="7" t="s">
        <v>35</v>
      </c>
      <c r="M16" s="7"/>
    </row>
    <row r="17" spans="2:13" ht="15.6" thickTop="1" thickBot="1" x14ac:dyDescent="0.35">
      <c r="B17" s="8">
        <v>15</v>
      </c>
      <c r="C17" s="9" t="s">
        <v>11</v>
      </c>
      <c r="D17" s="19">
        <v>45397</v>
      </c>
      <c r="E17" s="9" t="s">
        <v>15</v>
      </c>
      <c r="F17" s="9" t="s">
        <v>25</v>
      </c>
      <c r="G17" s="9" t="s">
        <v>31</v>
      </c>
      <c r="H17" s="9">
        <v>51</v>
      </c>
      <c r="I17" s="5">
        <v>90</v>
      </c>
      <c r="J17" s="5">
        <f t="shared" si="0"/>
        <v>4590</v>
      </c>
      <c r="K17" s="9">
        <v>20</v>
      </c>
      <c r="L17" s="9" t="s">
        <v>33</v>
      </c>
      <c r="M17" s="9"/>
    </row>
    <row r="18" spans="2:13" ht="15.6" thickTop="1" thickBot="1" x14ac:dyDescent="0.35">
      <c r="B18" s="6">
        <v>16</v>
      </c>
      <c r="C18" s="7" t="s">
        <v>10</v>
      </c>
      <c r="D18" s="18">
        <v>45398</v>
      </c>
      <c r="E18" s="7" t="s">
        <v>15</v>
      </c>
      <c r="F18" s="7" t="s">
        <v>25</v>
      </c>
      <c r="G18" s="7" t="s">
        <v>30</v>
      </c>
      <c r="H18" s="7">
        <v>153</v>
      </c>
      <c r="I18" s="5">
        <v>180</v>
      </c>
      <c r="J18" s="5">
        <f t="shared" si="0"/>
        <v>27540</v>
      </c>
      <c r="K18" s="7">
        <v>10</v>
      </c>
      <c r="L18" s="7" t="s">
        <v>35</v>
      </c>
      <c r="M18" s="7"/>
    </row>
    <row r="19" spans="2:13" ht="15.6" thickTop="1" thickBot="1" x14ac:dyDescent="0.35">
      <c r="B19" s="8">
        <v>17</v>
      </c>
      <c r="C19" s="9" t="s">
        <v>11</v>
      </c>
      <c r="D19" s="19">
        <v>45399</v>
      </c>
      <c r="E19" s="9" t="s">
        <v>20</v>
      </c>
      <c r="F19" s="9" t="s">
        <v>20</v>
      </c>
      <c r="G19" s="9" t="s">
        <v>29</v>
      </c>
      <c r="H19" s="9">
        <v>190</v>
      </c>
      <c r="I19" s="5">
        <v>45</v>
      </c>
      <c r="J19" s="5">
        <f t="shared" si="0"/>
        <v>8550</v>
      </c>
      <c r="K19" s="9">
        <v>16</v>
      </c>
      <c r="L19" s="9" t="s">
        <v>34</v>
      </c>
      <c r="M19" s="9"/>
    </row>
    <row r="20" spans="2:13" ht="15.6" thickTop="1" thickBot="1" x14ac:dyDescent="0.35">
      <c r="B20" s="6">
        <v>18</v>
      </c>
      <c r="C20" s="7" t="s">
        <v>10</v>
      </c>
      <c r="D20" s="18">
        <v>45400</v>
      </c>
      <c r="E20" s="7" t="s">
        <v>19</v>
      </c>
      <c r="F20" s="7" t="s">
        <v>23</v>
      </c>
      <c r="G20" s="7" t="s">
        <v>28</v>
      </c>
      <c r="H20" s="7">
        <v>234</v>
      </c>
      <c r="I20" s="5">
        <v>180</v>
      </c>
      <c r="J20" s="5">
        <f t="shared" si="0"/>
        <v>42120</v>
      </c>
      <c r="K20" s="7">
        <v>21</v>
      </c>
      <c r="L20" s="7" t="s">
        <v>35</v>
      </c>
      <c r="M20" s="7"/>
    </row>
    <row r="21" spans="2:13" ht="15.6" thickTop="1" thickBot="1" x14ac:dyDescent="0.35">
      <c r="B21" s="8">
        <v>19</v>
      </c>
      <c r="C21" s="9" t="s">
        <v>10</v>
      </c>
      <c r="D21" s="19">
        <v>45401</v>
      </c>
      <c r="E21" s="9" t="s">
        <v>20</v>
      </c>
      <c r="F21" s="9" t="s">
        <v>20</v>
      </c>
      <c r="G21" s="9" t="s">
        <v>29</v>
      </c>
      <c r="H21" s="9">
        <v>54</v>
      </c>
      <c r="I21" s="5">
        <v>90</v>
      </c>
      <c r="J21" s="5">
        <f t="shared" si="0"/>
        <v>4860</v>
      </c>
      <c r="K21" s="9">
        <v>23</v>
      </c>
      <c r="L21" s="9" t="s">
        <v>34</v>
      </c>
      <c r="M21" s="9">
        <v>5</v>
      </c>
    </row>
    <row r="22" spans="2:13" ht="15.6" thickTop="1" thickBot="1" x14ac:dyDescent="0.35">
      <c r="B22" s="6">
        <v>20</v>
      </c>
      <c r="C22" s="7" t="s">
        <v>10</v>
      </c>
      <c r="D22" s="18">
        <v>45402</v>
      </c>
      <c r="E22" s="7" t="s">
        <v>15</v>
      </c>
      <c r="F22" s="7" t="s">
        <v>25</v>
      </c>
      <c r="G22" s="7" t="s">
        <v>32</v>
      </c>
      <c r="H22" s="7">
        <v>62</v>
      </c>
      <c r="I22" s="5">
        <v>180</v>
      </c>
      <c r="J22" s="5">
        <f t="shared" si="0"/>
        <v>11160</v>
      </c>
      <c r="K22" s="7">
        <v>16</v>
      </c>
      <c r="L22" s="7" t="s">
        <v>33</v>
      </c>
      <c r="M22" s="7"/>
    </row>
    <row r="23" spans="2:13" ht="15.6" thickTop="1" thickBot="1" x14ac:dyDescent="0.35">
      <c r="B23" s="8">
        <v>21</v>
      </c>
      <c r="C23" s="9" t="s">
        <v>11</v>
      </c>
      <c r="D23" s="19">
        <v>45403</v>
      </c>
      <c r="E23" s="9" t="s">
        <v>20</v>
      </c>
      <c r="F23" s="9" t="s">
        <v>20</v>
      </c>
      <c r="G23" s="9" t="s">
        <v>31</v>
      </c>
      <c r="H23" s="9">
        <v>61</v>
      </c>
      <c r="I23" s="5">
        <v>225</v>
      </c>
      <c r="J23" s="5">
        <f t="shared" si="0"/>
        <v>13725</v>
      </c>
      <c r="K23" s="9">
        <v>8</v>
      </c>
      <c r="L23" s="9" t="s">
        <v>35</v>
      </c>
      <c r="M23" s="9"/>
    </row>
    <row r="24" spans="2:13" ht="15.6" thickTop="1" thickBot="1" x14ac:dyDescent="0.35">
      <c r="B24" s="6">
        <v>22</v>
      </c>
      <c r="C24" s="7" t="s">
        <v>10</v>
      </c>
      <c r="D24" s="18">
        <v>45404</v>
      </c>
      <c r="E24" s="7" t="s">
        <v>18</v>
      </c>
      <c r="F24" s="7" t="s">
        <v>27</v>
      </c>
      <c r="G24" s="7" t="s">
        <v>31</v>
      </c>
      <c r="H24" s="7">
        <v>234</v>
      </c>
      <c r="I24" s="5">
        <v>90</v>
      </c>
      <c r="J24" s="5">
        <f t="shared" si="0"/>
        <v>21060</v>
      </c>
      <c r="K24" s="7">
        <v>19</v>
      </c>
      <c r="L24" s="7" t="s">
        <v>35</v>
      </c>
      <c r="M24" s="7">
        <v>2</v>
      </c>
    </row>
    <row r="25" spans="2:13" ht="15.6" thickTop="1" thickBot="1" x14ac:dyDescent="0.35">
      <c r="B25" s="8">
        <v>23</v>
      </c>
      <c r="C25" s="9" t="s">
        <v>10</v>
      </c>
      <c r="D25" s="19">
        <v>45405</v>
      </c>
      <c r="E25" s="9" t="s">
        <v>17</v>
      </c>
      <c r="F25" s="9" t="s">
        <v>24</v>
      </c>
      <c r="G25" s="9" t="s">
        <v>31</v>
      </c>
      <c r="H25" s="9">
        <v>61</v>
      </c>
      <c r="I25" s="5">
        <v>135</v>
      </c>
      <c r="J25" s="5">
        <f t="shared" si="0"/>
        <v>8235</v>
      </c>
      <c r="K25" s="9">
        <v>22</v>
      </c>
      <c r="L25" s="9" t="s">
        <v>34</v>
      </c>
      <c r="M25" s="9">
        <v>3</v>
      </c>
    </row>
    <row r="26" spans="2:13" ht="15.6" thickTop="1" thickBot="1" x14ac:dyDescent="0.35">
      <c r="B26" s="6">
        <v>24</v>
      </c>
      <c r="C26" s="7" t="s">
        <v>11</v>
      </c>
      <c r="D26" s="18">
        <v>45406</v>
      </c>
      <c r="E26" s="7" t="s">
        <v>13</v>
      </c>
      <c r="F26" s="7" t="s">
        <v>24</v>
      </c>
      <c r="G26" s="7" t="s">
        <v>32</v>
      </c>
      <c r="H26" s="7">
        <v>57</v>
      </c>
      <c r="I26" s="5">
        <v>90</v>
      </c>
      <c r="J26" s="5">
        <f t="shared" si="0"/>
        <v>5130</v>
      </c>
      <c r="K26" s="7">
        <v>9</v>
      </c>
      <c r="L26" s="7" t="s">
        <v>34</v>
      </c>
      <c r="M26" s="7">
        <v>4</v>
      </c>
    </row>
    <row r="27" spans="2:13" ht="15.6" thickTop="1" thickBot="1" x14ac:dyDescent="0.35">
      <c r="B27" s="8">
        <v>25</v>
      </c>
      <c r="C27" s="9" t="s">
        <v>11</v>
      </c>
      <c r="D27" s="19">
        <v>45407</v>
      </c>
      <c r="E27" s="9" t="s">
        <v>21</v>
      </c>
      <c r="F27" s="9" t="s">
        <v>26</v>
      </c>
      <c r="G27" s="9" t="s">
        <v>31</v>
      </c>
      <c r="H27" s="9">
        <v>84</v>
      </c>
      <c r="I27" s="5">
        <v>225</v>
      </c>
      <c r="J27" s="5">
        <f t="shared" si="0"/>
        <v>18900</v>
      </c>
      <c r="K27" s="9">
        <v>13</v>
      </c>
      <c r="L27" s="9" t="s">
        <v>33</v>
      </c>
      <c r="M27" s="9">
        <v>1</v>
      </c>
    </row>
    <row r="28" spans="2:13" ht="15.6" thickTop="1" thickBot="1" x14ac:dyDescent="0.35">
      <c r="B28" s="6">
        <v>26</v>
      </c>
      <c r="C28" s="7" t="s">
        <v>11</v>
      </c>
      <c r="D28" s="18">
        <v>45408</v>
      </c>
      <c r="E28" s="7" t="s">
        <v>14</v>
      </c>
      <c r="F28" s="7" t="s">
        <v>25</v>
      </c>
      <c r="G28" s="7" t="s">
        <v>31</v>
      </c>
      <c r="H28" s="7">
        <v>78</v>
      </c>
      <c r="I28" s="5">
        <v>90</v>
      </c>
      <c r="J28" s="5">
        <f t="shared" si="0"/>
        <v>7020</v>
      </c>
      <c r="K28" s="7">
        <v>7</v>
      </c>
      <c r="L28" s="7" t="s">
        <v>34</v>
      </c>
      <c r="M28" s="7">
        <v>4</v>
      </c>
    </row>
    <row r="29" spans="2:13" ht="15.6" thickTop="1" thickBot="1" x14ac:dyDescent="0.35">
      <c r="B29" s="8">
        <v>27</v>
      </c>
      <c r="C29" s="9" t="s">
        <v>10</v>
      </c>
      <c r="D29" s="19">
        <v>45409</v>
      </c>
      <c r="E29" s="9" t="s">
        <v>13</v>
      </c>
      <c r="F29" s="9" t="s">
        <v>24</v>
      </c>
      <c r="G29" s="9" t="s">
        <v>29</v>
      </c>
      <c r="H29" s="9">
        <v>117</v>
      </c>
      <c r="I29" s="5">
        <v>180</v>
      </c>
      <c r="J29" s="5">
        <f t="shared" si="0"/>
        <v>21060</v>
      </c>
      <c r="K29" s="9">
        <v>18</v>
      </c>
      <c r="L29" s="9" t="s">
        <v>33</v>
      </c>
      <c r="M29" s="9">
        <v>1</v>
      </c>
    </row>
    <row r="30" spans="2:13" ht="15.6" thickTop="1" thickBot="1" x14ac:dyDescent="0.35">
      <c r="B30" s="6">
        <v>28</v>
      </c>
      <c r="C30" s="7" t="s">
        <v>11</v>
      </c>
      <c r="D30" s="18">
        <v>45410</v>
      </c>
      <c r="E30" s="7" t="s">
        <v>14</v>
      </c>
      <c r="F30" s="7" t="s">
        <v>25</v>
      </c>
      <c r="G30" s="7" t="s">
        <v>31</v>
      </c>
      <c r="H30" s="7">
        <v>127</v>
      </c>
      <c r="I30" s="5">
        <v>225</v>
      </c>
      <c r="J30" s="5">
        <f t="shared" si="0"/>
        <v>28575</v>
      </c>
      <c r="K30" s="7">
        <v>12</v>
      </c>
      <c r="L30" s="7" t="s">
        <v>33</v>
      </c>
      <c r="M30" s="7">
        <v>5</v>
      </c>
    </row>
    <row r="31" spans="2:13" ht="15.6" thickTop="1" thickBot="1" x14ac:dyDescent="0.35">
      <c r="B31" s="8">
        <v>29</v>
      </c>
      <c r="C31" s="9" t="s">
        <v>11</v>
      </c>
      <c r="D31" s="19">
        <v>45411</v>
      </c>
      <c r="E31" s="9" t="s">
        <v>16</v>
      </c>
      <c r="F31" s="9" t="s">
        <v>26</v>
      </c>
      <c r="G31" s="9" t="s">
        <v>29</v>
      </c>
      <c r="H31" s="9">
        <v>67</v>
      </c>
      <c r="I31" s="5">
        <v>135</v>
      </c>
      <c r="J31" s="5">
        <f t="shared" si="0"/>
        <v>9045</v>
      </c>
      <c r="K31" s="9">
        <v>7</v>
      </c>
      <c r="L31" s="9" t="s">
        <v>33</v>
      </c>
      <c r="M31" s="9">
        <v>2</v>
      </c>
    </row>
    <row r="32" spans="2:13" ht="15.6" thickTop="1" thickBot="1" x14ac:dyDescent="0.35">
      <c r="B32" s="6">
        <v>30</v>
      </c>
      <c r="C32" s="7" t="s">
        <v>10</v>
      </c>
      <c r="D32" s="18">
        <v>45412</v>
      </c>
      <c r="E32" s="7" t="s">
        <v>15</v>
      </c>
      <c r="F32" s="7" t="s">
        <v>25</v>
      </c>
      <c r="G32" s="7" t="s">
        <v>29</v>
      </c>
      <c r="H32" s="7">
        <v>69</v>
      </c>
      <c r="I32" s="5">
        <v>135</v>
      </c>
      <c r="J32" s="5">
        <f t="shared" si="0"/>
        <v>9315</v>
      </c>
      <c r="K32" s="7">
        <v>21</v>
      </c>
      <c r="L32" s="7" t="s">
        <v>33</v>
      </c>
      <c r="M32" s="7">
        <v>2</v>
      </c>
    </row>
    <row r="33" spans="2:13" ht="15.6" thickTop="1" thickBot="1" x14ac:dyDescent="0.35">
      <c r="B33" s="8">
        <v>31</v>
      </c>
      <c r="C33" s="9" t="s">
        <v>11</v>
      </c>
      <c r="D33" s="19">
        <v>45413</v>
      </c>
      <c r="E33" s="9" t="s">
        <v>20</v>
      </c>
      <c r="F33" s="9" t="s">
        <v>20</v>
      </c>
      <c r="G33" s="9" t="s">
        <v>28</v>
      </c>
      <c r="H33" s="9">
        <v>110</v>
      </c>
      <c r="I33" s="5">
        <v>45</v>
      </c>
      <c r="J33" s="5">
        <f t="shared" si="0"/>
        <v>4950</v>
      </c>
      <c r="K33" s="9">
        <v>18</v>
      </c>
      <c r="L33" s="9" t="s">
        <v>33</v>
      </c>
      <c r="M33" s="9">
        <v>3</v>
      </c>
    </row>
    <row r="34" spans="2:13" ht="15.6" thickTop="1" thickBot="1" x14ac:dyDescent="0.35">
      <c r="B34" s="6">
        <v>32</v>
      </c>
      <c r="C34" s="7" t="s">
        <v>10</v>
      </c>
      <c r="D34" s="18">
        <v>45414</v>
      </c>
      <c r="E34" s="7" t="s">
        <v>19</v>
      </c>
      <c r="F34" s="7" t="s">
        <v>23</v>
      </c>
      <c r="G34" s="7" t="s">
        <v>31</v>
      </c>
      <c r="H34" s="7">
        <v>213</v>
      </c>
      <c r="I34" s="5">
        <v>225</v>
      </c>
      <c r="J34" s="5">
        <f t="shared" si="0"/>
        <v>47925</v>
      </c>
      <c r="K34" s="7">
        <v>21</v>
      </c>
      <c r="L34" s="7" t="s">
        <v>35</v>
      </c>
      <c r="M34" s="7">
        <v>4</v>
      </c>
    </row>
    <row r="35" spans="2:13" ht="15.6" thickTop="1" thickBot="1" x14ac:dyDescent="0.35">
      <c r="B35" s="8">
        <v>33</v>
      </c>
      <c r="C35" s="9" t="s">
        <v>10</v>
      </c>
      <c r="D35" s="19">
        <v>45415</v>
      </c>
      <c r="E35" s="9" t="s">
        <v>21</v>
      </c>
      <c r="F35" s="9" t="s">
        <v>26</v>
      </c>
      <c r="G35" s="9" t="s">
        <v>32</v>
      </c>
      <c r="H35" s="9">
        <v>152</v>
      </c>
      <c r="I35" s="5">
        <v>45</v>
      </c>
      <c r="J35" s="5">
        <f t="shared" si="0"/>
        <v>6840</v>
      </c>
      <c r="K35" s="9">
        <v>25</v>
      </c>
      <c r="L35" s="9" t="s">
        <v>33</v>
      </c>
      <c r="M35" s="9">
        <v>1</v>
      </c>
    </row>
    <row r="36" spans="2:13" ht="15.6" thickTop="1" thickBot="1" x14ac:dyDescent="0.35">
      <c r="B36" s="6">
        <v>34</v>
      </c>
      <c r="C36" s="7" t="s">
        <v>11</v>
      </c>
      <c r="D36" s="18">
        <v>45416</v>
      </c>
      <c r="E36" s="7" t="s">
        <v>15</v>
      </c>
      <c r="F36" s="7" t="s">
        <v>25</v>
      </c>
      <c r="G36" s="7" t="s">
        <v>30</v>
      </c>
      <c r="H36" s="7">
        <v>135</v>
      </c>
      <c r="I36" s="5">
        <v>225</v>
      </c>
      <c r="J36" s="5">
        <f t="shared" si="0"/>
        <v>30375</v>
      </c>
      <c r="K36" s="7">
        <v>12</v>
      </c>
      <c r="L36" s="7" t="s">
        <v>34</v>
      </c>
      <c r="M36" s="7">
        <v>4</v>
      </c>
    </row>
    <row r="37" spans="2:13" ht="15.6" thickTop="1" thickBot="1" x14ac:dyDescent="0.35">
      <c r="B37" s="8">
        <v>35</v>
      </c>
      <c r="C37" s="9" t="s">
        <v>11</v>
      </c>
      <c r="D37" s="19">
        <v>45417</v>
      </c>
      <c r="E37" s="9" t="s">
        <v>14</v>
      </c>
      <c r="F37" s="9" t="s">
        <v>25</v>
      </c>
      <c r="G37" s="9" t="s">
        <v>31</v>
      </c>
      <c r="H37" s="9">
        <v>192</v>
      </c>
      <c r="I37" s="5">
        <v>225</v>
      </c>
      <c r="J37" s="5">
        <f t="shared" si="0"/>
        <v>43200</v>
      </c>
      <c r="K37" s="9">
        <v>8</v>
      </c>
      <c r="L37" s="9" t="s">
        <v>34</v>
      </c>
      <c r="M37" s="9">
        <v>1</v>
      </c>
    </row>
    <row r="38" spans="2:13" ht="15.6" thickTop="1" thickBot="1" x14ac:dyDescent="0.35">
      <c r="B38" s="6">
        <v>36</v>
      </c>
      <c r="C38" s="7" t="s">
        <v>11</v>
      </c>
      <c r="D38" s="18">
        <v>45418</v>
      </c>
      <c r="E38" s="7" t="s">
        <v>18</v>
      </c>
      <c r="F38" s="7" t="s">
        <v>27</v>
      </c>
      <c r="G38" s="7" t="s">
        <v>31</v>
      </c>
      <c r="H38" s="7">
        <v>63</v>
      </c>
      <c r="I38" s="5">
        <v>45</v>
      </c>
      <c r="J38" s="5">
        <f t="shared" si="0"/>
        <v>2835</v>
      </c>
      <c r="K38" s="7">
        <v>13</v>
      </c>
      <c r="L38" s="7" t="s">
        <v>35</v>
      </c>
      <c r="M38" s="7">
        <v>5</v>
      </c>
    </row>
    <row r="39" spans="2:13" ht="15.6" thickTop="1" thickBot="1" x14ac:dyDescent="0.35">
      <c r="B39" s="8">
        <v>37</v>
      </c>
      <c r="C39" s="9" t="s">
        <v>10</v>
      </c>
      <c r="D39" s="19">
        <v>45419</v>
      </c>
      <c r="E39" s="9" t="s">
        <v>18</v>
      </c>
      <c r="F39" s="9" t="s">
        <v>27</v>
      </c>
      <c r="G39" s="9" t="s">
        <v>32</v>
      </c>
      <c r="H39" s="9">
        <v>166</v>
      </c>
      <c r="I39" s="5">
        <v>90</v>
      </c>
      <c r="J39" s="5">
        <f t="shared" si="0"/>
        <v>14940</v>
      </c>
      <c r="K39" s="9">
        <v>14</v>
      </c>
      <c r="L39" s="9" t="s">
        <v>35</v>
      </c>
      <c r="M39" s="9">
        <v>1</v>
      </c>
    </row>
    <row r="40" spans="2:13" ht="15.6" thickTop="1" thickBot="1" x14ac:dyDescent="0.35">
      <c r="B40" s="6">
        <v>38</v>
      </c>
      <c r="C40" s="7" t="s">
        <v>11</v>
      </c>
      <c r="D40" s="18">
        <v>45420</v>
      </c>
      <c r="E40" s="7" t="s">
        <v>19</v>
      </c>
      <c r="F40" s="7" t="s">
        <v>23</v>
      </c>
      <c r="G40" s="7" t="s">
        <v>28</v>
      </c>
      <c r="H40" s="7">
        <v>181</v>
      </c>
      <c r="I40" s="5">
        <v>135</v>
      </c>
      <c r="J40" s="5">
        <f t="shared" si="0"/>
        <v>24435</v>
      </c>
      <c r="K40" s="7">
        <v>13</v>
      </c>
      <c r="L40" s="7" t="s">
        <v>33</v>
      </c>
      <c r="M40" s="7">
        <v>5</v>
      </c>
    </row>
    <row r="41" spans="2:13" ht="15.6" thickTop="1" thickBot="1" x14ac:dyDescent="0.35">
      <c r="B41" s="8">
        <v>39</v>
      </c>
      <c r="C41" s="9" t="s">
        <v>10</v>
      </c>
      <c r="D41" s="19">
        <v>45421</v>
      </c>
      <c r="E41" s="9" t="s">
        <v>13</v>
      </c>
      <c r="F41" s="9" t="s">
        <v>24</v>
      </c>
      <c r="G41" s="9" t="s">
        <v>32</v>
      </c>
      <c r="H41" s="9">
        <v>60</v>
      </c>
      <c r="I41" s="5">
        <v>135</v>
      </c>
      <c r="J41" s="5">
        <f t="shared" si="0"/>
        <v>8100</v>
      </c>
      <c r="K41" s="9">
        <v>24</v>
      </c>
      <c r="L41" s="9" t="s">
        <v>33</v>
      </c>
      <c r="M41" s="9">
        <v>1</v>
      </c>
    </row>
    <row r="42" spans="2:13" ht="15.6" thickTop="1" thickBot="1" x14ac:dyDescent="0.35">
      <c r="B42" s="6">
        <v>40</v>
      </c>
      <c r="C42" s="7" t="s">
        <v>10</v>
      </c>
      <c r="D42" s="18">
        <v>45422</v>
      </c>
      <c r="E42" s="7" t="s">
        <v>21</v>
      </c>
      <c r="F42" s="7" t="s">
        <v>26</v>
      </c>
      <c r="G42" s="7" t="s">
        <v>28</v>
      </c>
      <c r="H42" s="7">
        <v>119</v>
      </c>
      <c r="I42" s="5">
        <v>135</v>
      </c>
      <c r="J42" s="5">
        <f t="shared" si="0"/>
        <v>16065</v>
      </c>
      <c r="K42" s="7">
        <v>17</v>
      </c>
      <c r="L42" s="7" t="s">
        <v>35</v>
      </c>
      <c r="M42" s="7">
        <v>2</v>
      </c>
    </row>
    <row r="43" spans="2:13" ht="15.6" thickTop="1" thickBot="1" x14ac:dyDescent="0.35">
      <c r="B43" s="8">
        <v>41</v>
      </c>
      <c r="C43" s="9" t="s">
        <v>11</v>
      </c>
      <c r="D43" s="19">
        <v>45423</v>
      </c>
      <c r="E43" s="9" t="s">
        <v>17</v>
      </c>
      <c r="F43" s="9" t="s">
        <v>24</v>
      </c>
      <c r="G43" s="9" t="s">
        <v>32</v>
      </c>
      <c r="H43" s="9">
        <v>224</v>
      </c>
      <c r="I43" s="5">
        <v>225</v>
      </c>
      <c r="J43" s="5">
        <f t="shared" si="0"/>
        <v>50400</v>
      </c>
      <c r="K43" s="9">
        <v>20</v>
      </c>
      <c r="L43" s="9" t="s">
        <v>33</v>
      </c>
      <c r="M43" s="9">
        <v>3</v>
      </c>
    </row>
    <row r="44" spans="2:13" ht="15.6" thickTop="1" thickBot="1" x14ac:dyDescent="0.35">
      <c r="B44" s="6">
        <v>42</v>
      </c>
      <c r="C44" s="7" t="s">
        <v>10</v>
      </c>
      <c r="D44" s="18">
        <v>45424</v>
      </c>
      <c r="E44" s="7" t="s">
        <v>16</v>
      </c>
      <c r="F44" s="7" t="s">
        <v>26</v>
      </c>
      <c r="G44" s="7" t="s">
        <v>29</v>
      </c>
      <c r="H44" s="7">
        <v>82</v>
      </c>
      <c r="I44" s="5">
        <v>135</v>
      </c>
      <c r="J44" s="5">
        <f t="shared" si="0"/>
        <v>11070</v>
      </c>
      <c r="K44" s="7">
        <v>12</v>
      </c>
      <c r="L44" s="7" t="s">
        <v>33</v>
      </c>
      <c r="M44" s="7">
        <v>1</v>
      </c>
    </row>
    <row r="45" spans="2:13" ht="15.6" thickTop="1" thickBot="1" x14ac:dyDescent="0.35">
      <c r="B45" s="8">
        <v>43</v>
      </c>
      <c r="C45" s="9" t="s">
        <v>11</v>
      </c>
      <c r="D45" s="19">
        <v>45425</v>
      </c>
      <c r="E45" s="9" t="s">
        <v>13</v>
      </c>
      <c r="F45" s="9" t="s">
        <v>24</v>
      </c>
      <c r="G45" s="9" t="s">
        <v>28</v>
      </c>
      <c r="H45" s="9">
        <v>75</v>
      </c>
      <c r="I45" s="5">
        <v>45</v>
      </c>
      <c r="J45" s="5">
        <f t="shared" si="0"/>
        <v>3375</v>
      </c>
      <c r="K45" s="9">
        <v>17</v>
      </c>
      <c r="L45" s="9" t="s">
        <v>35</v>
      </c>
      <c r="M45" s="9">
        <v>2</v>
      </c>
    </row>
    <row r="46" spans="2:13" ht="15.6" thickTop="1" thickBot="1" x14ac:dyDescent="0.35">
      <c r="B46" s="6">
        <v>44</v>
      </c>
      <c r="C46" s="7" t="s">
        <v>11</v>
      </c>
      <c r="D46" s="18">
        <v>45426</v>
      </c>
      <c r="E46" s="7" t="s">
        <v>22</v>
      </c>
      <c r="F46" s="7" t="s">
        <v>25</v>
      </c>
      <c r="G46" s="7" t="s">
        <v>30</v>
      </c>
      <c r="H46" s="7">
        <v>87</v>
      </c>
      <c r="I46" s="5">
        <v>90</v>
      </c>
      <c r="J46" s="5">
        <f t="shared" si="0"/>
        <v>7830</v>
      </c>
      <c r="K46" s="7">
        <v>9</v>
      </c>
      <c r="L46" s="7" t="s">
        <v>34</v>
      </c>
      <c r="M46" s="7">
        <v>2</v>
      </c>
    </row>
    <row r="47" spans="2:13" ht="15.6" thickTop="1" thickBot="1" x14ac:dyDescent="0.35">
      <c r="B47" s="8">
        <v>45</v>
      </c>
      <c r="C47" s="9" t="s">
        <v>10</v>
      </c>
      <c r="D47" s="19">
        <v>45427</v>
      </c>
      <c r="E47" s="9" t="s">
        <v>20</v>
      </c>
      <c r="F47" s="9" t="s">
        <v>20</v>
      </c>
      <c r="G47" s="9" t="s">
        <v>31</v>
      </c>
      <c r="H47" s="9">
        <v>118</v>
      </c>
      <c r="I47" s="5">
        <v>45</v>
      </c>
      <c r="J47" s="5">
        <f t="shared" si="0"/>
        <v>5310</v>
      </c>
      <c r="K47" s="9">
        <v>17</v>
      </c>
      <c r="L47" s="9" t="s">
        <v>34</v>
      </c>
      <c r="M47" s="9">
        <v>1</v>
      </c>
    </row>
    <row r="48" spans="2:13" ht="15.6" thickTop="1" thickBot="1" x14ac:dyDescent="0.35">
      <c r="B48" s="6">
        <v>46</v>
      </c>
      <c r="C48" s="7" t="s">
        <v>10</v>
      </c>
      <c r="D48" s="18">
        <v>45428</v>
      </c>
      <c r="E48" s="7" t="s">
        <v>16</v>
      </c>
      <c r="F48" s="7" t="s">
        <v>26</v>
      </c>
      <c r="G48" s="7" t="s">
        <v>28</v>
      </c>
      <c r="H48" s="7">
        <v>199</v>
      </c>
      <c r="I48" s="5">
        <v>90</v>
      </c>
      <c r="J48" s="5">
        <f t="shared" si="0"/>
        <v>17910</v>
      </c>
      <c r="K48" s="7">
        <v>11</v>
      </c>
      <c r="L48" s="7" t="s">
        <v>34</v>
      </c>
      <c r="M48" s="7">
        <v>2</v>
      </c>
    </row>
    <row r="49" spans="2:13" ht="15.6" thickTop="1" thickBot="1" x14ac:dyDescent="0.35">
      <c r="B49" s="8">
        <v>47</v>
      </c>
      <c r="C49" s="9" t="s">
        <v>10</v>
      </c>
      <c r="D49" s="19">
        <v>45429</v>
      </c>
      <c r="E49" s="9" t="s">
        <v>18</v>
      </c>
      <c r="F49" s="9" t="s">
        <v>27</v>
      </c>
      <c r="G49" s="9" t="s">
        <v>28</v>
      </c>
      <c r="H49" s="9">
        <v>131</v>
      </c>
      <c r="I49" s="5">
        <v>90</v>
      </c>
      <c r="J49" s="5">
        <f t="shared" si="0"/>
        <v>11790</v>
      </c>
      <c r="K49" s="9">
        <v>12</v>
      </c>
      <c r="L49" s="9" t="s">
        <v>35</v>
      </c>
      <c r="M49" s="9">
        <v>3</v>
      </c>
    </row>
    <row r="50" spans="2:13" ht="15.6" thickTop="1" thickBot="1" x14ac:dyDescent="0.35">
      <c r="B50" s="6">
        <v>48</v>
      </c>
      <c r="C50" s="7" t="s">
        <v>10</v>
      </c>
      <c r="D50" s="18">
        <v>45430</v>
      </c>
      <c r="E50" s="7" t="s">
        <v>19</v>
      </c>
      <c r="F50" s="7" t="s">
        <v>23</v>
      </c>
      <c r="G50" s="7" t="s">
        <v>30</v>
      </c>
      <c r="H50" s="7">
        <v>88</v>
      </c>
      <c r="I50" s="5">
        <v>45</v>
      </c>
      <c r="J50" s="5">
        <f t="shared" si="0"/>
        <v>3960</v>
      </c>
      <c r="K50" s="7">
        <v>18</v>
      </c>
      <c r="L50" s="7" t="s">
        <v>34</v>
      </c>
      <c r="M50" s="7">
        <v>1</v>
      </c>
    </row>
    <row r="51" spans="2:13" ht="15.6" thickTop="1" thickBot="1" x14ac:dyDescent="0.35">
      <c r="B51" s="8">
        <v>49</v>
      </c>
      <c r="C51" s="9" t="s">
        <v>10</v>
      </c>
      <c r="D51" s="19">
        <v>45431</v>
      </c>
      <c r="E51" s="9" t="s">
        <v>21</v>
      </c>
      <c r="F51" s="9" t="s">
        <v>26</v>
      </c>
      <c r="G51" s="9" t="s">
        <v>30</v>
      </c>
      <c r="H51" s="9">
        <v>209</v>
      </c>
      <c r="I51" s="5">
        <v>180</v>
      </c>
      <c r="J51" s="5">
        <f t="shared" si="0"/>
        <v>37620</v>
      </c>
      <c r="K51" s="9">
        <v>15</v>
      </c>
      <c r="L51" s="9" t="s">
        <v>35</v>
      </c>
      <c r="M51" s="9"/>
    </row>
    <row r="52" spans="2:13" ht="15.6" thickTop="1" thickBot="1" x14ac:dyDescent="0.35">
      <c r="B52" s="6">
        <v>50</v>
      </c>
      <c r="C52" s="7" t="s">
        <v>11</v>
      </c>
      <c r="D52" s="18">
        <v>45432</v>
      </c>
      <c r="E52" s="7" t="s">
        <v>13</v>
      </c>
      <c r="F52" s="7" t="s">
        <v>24</v>
      </c>
      <c r="G52" s="7" t="s">
        <v>28</v>
      </c>
      <c r="H52" s="7">
        <v>223</v>
      </c>
      <c r="I52" s="5">
        <v>45</v>
      </c>
      <c r="J52" s="5">
        <f t="shared" si="0"/>
        <v>10035</v>
      </c>
      <c r="K52" s="7">
        <v>20</v>
      </c>
      <c r="L52" s="7" t="s">
        <v>33</v>
      </c>
      <c r="M52" s="7">
        <v>4</v>
      </c>
    </row>
    <row r="53" spans="2:13" ht="15.6" thickTop="1" thickBot="1" x14ac:dyDescent="0.35">
      <c r="B53" s="8">
        <v>51</v>
      </c>
      <c r="C53" s="9" t="s">
        <v>11</v>
      </c>
      <c r="D53" s="19">
        <v>45433</v>
      </c>
      <c r="E53" s="9" t="s">
        <v>19</v>
      </c>
      <c r="F53" s="9" t="s">
        <v>23</v>
      </c>
      <c r="G53" s="9" t="s">
        <v>31</v>
      </c>
      <c r="H53" s="9">
        <v>164</v>
      </c>
      <c r="I53" s="5">
        <v>90</v>
      </c>
      <c r="J53" s="5">
        <f t="shared" si="0"/>
        <v>14760</v>
      </c>
      <c r="K53" s="9">
        <v>17</v>
      </c>
      <c r="L53" s="9" t="s">
        <v>34</v>
      </c>
      <c r="M53" s="9">
        <v>3</v>
      </c>
    </row>
    <row r="54" spans="2:13" ht="15.6" thickTop="1" thickBot="1" x14ac:dyDescent="0.35">
      <c r="B54" s="6">
        <v>52</v>
      </c>
      <c r="C54" s="7" t="s">
        <v>11</v>
      </c>
      <c r="D54" s="18">
        <v>45434</v>
      </c>
      <c r="E54" s="7" t="s">
        <v>14</v>
      </c>
      <c r="F54" s="7" t="s">
        <v>25</v>
      </c>
      <c r="G54" s="7" t="s">
        <v>29</v>
      </c>
      <c r="H54" s="7">
        <v>109</v>
      </c>
      <c r="I54" s="5">
        <v>90</v>
      </c>
      <c r="J54" s="5">
        <f t="shared" si="0"/>
        <v>9810</v>
      </c>
      <c r="K54" s="7">
        <v>14</v>
      </c>
      <c r="L54" s="7" t="s">
        <v>35</v>
      </c>
      <c r="M54" s="7"/>
    </row>
    <row r="55" spans="2:13" ht="15.6" thickTop="1" thickBot="1" x14ac:dyDescent="0.35">
      <c r="B55" s="8">
        <v>53</v>
      </c>
      <c r="C55" s="9" t="s">
        <v>11</v>
      </c>
      <c r="D55" s="19">
        <v>45435</v>
      </c>
      <c r="E55" s="9" t="s">
        <v>12</v>
      </c>
      <c r="F55" s="9" t="s">
        <v>23</v>
      </c>
      <c r="G55" s="9" t="s">
        <v>31</v>
      </c>
      <c r="H55" s="9">
        <v>51</v>
      </c>
      <c r="I55" s="5">
        <v>180</v>
      </c>
      <c r="J55" s="5">
        <f t="shared" si="0"/>
        <v>9180</v>
      </c>
      <c r="K55" s="9">
        <v>9</v>
      </c>
      <c r="L55" s="9" t="s">
        <v>33</v>
      </c>
      <c r="M55" s="9">
        <v>1</v>
      </c>
    </row>
    <row r="56" spans="2:13" ht="15.6" thickTop="1" thickBot="1" x14ac:dyDescent="0.35">
      <c r="B56" s="6">
        <v>54</v>
      </c>
      <c r="C56" s="7" t="s">
        <v>10</v>
      </c>
      <c r="D56" s="18">
        <v>45436</v>
      </c>
      <c r="E56" s="7" t="s">
        <v>17</v>
      </c>
      <c r="F56" s="7" t="s">
        <v>24</v>
      </c>
      <c r="G56" s="7" t="s">
        <v>28</v>
      </c>
      <c r="H56" s="7">
        <v>208</v>
      </c>
      <c r="I56" s="5">
        <v>45</v>
      </c>
      <c r="J56" s="5">
        <f t="shared" si="0"/>
        <v>9360</v>
      </c>
      <c r="K56" s="7">
        <v>12</v>
      </c>
      <c r="L56" s="7" t="s">
        <v>33</v>
      </c>
      <c r="M56" s="7">
        <v>2</v>
      </c>
    </row>
    <row r="57" spans="2:13" ht="15.6" thickTop="1" thickBot="1" x14ac:dyDescent="0.35">
      <c r="B57" s="8">
        <v>55</v>
      </c>
      <c r="C57" s="9" t="s">
        <v>11</v>
      </c>
      <c r="D57" s="19">
        <v>45437</v>
      </c>
      <c r="E57" s="9" t="s">
        <v>16</v>
      </c>
      <c r="F57" s="9" t="s">
        <v>26</v>
      </c>
      <c r="G57" s="9" t="s">
        <v>30</v>
      </c>
      <c r="H57" s="9">
        <v>146</v>
      </c>
      <c r="I57" s="5">
        <v>135</v>
      </c>
      <c r="J57" s="5">
        <f t="shared" si="0"/>
        <v>19710</v>
      </c>
      <c r="K57" s="9">
        <v>9</v>
      </c>
      <c r="L57" s="9" t="s">
        <v>33</v>
      </c>
      <c r="M57" s="9">
        <v>2</v>
      </c>
    </row>
    <row r="58" spans="2:13" ht="15.6" thickTop="1" thickBot="1" x14ac:dyDescent="0.35">
      <c r="B58" s="6">
        <v>56</v>
      </c>
      <c r="C58" s="7" t="s">
        <v>10</v>
      </c>
      <c r="D58" s="18">
        <v>45438</v>
      </c>
      <c r="E58" s="7" t="s">
        <v>21</v>
      </c>
      <c r="F58" s="7" t="s">
        <v>26</v>
      </c>
      <c r="G58" s="7" t="s">
        <v>29</v>
      </c>
      <c r="H58" s="7">
        <v>79</v>
      </c>
      <c r="I58" s="5">
        <v>135</v>
      </c>
      <c r="J58" s="5">
        <f t="shared" si="0"/>
        <v>10665</v>
      </c>
      <c r="K58" s="7">
        <v>17</v>
      </c>
      <c r="L58" s="7" t="s">
        <v>33</v>
      </c>
      <c r="M58" s="7">
        <v>5</v>
      </c>
    </row>
    <row r="59" spans="2:13" ht="15.6" thickTop="1" thickBot="1" x14ac:dyDescent="0.35">
      <c r="B59" s="8">
        <v>57</v>
      </c>
      <c r="C59" s="9" t="s">
        <v>10</v>
      </c>
      <c r="D59" s="19">
        <v>45439</v>
      </c>
      <c r="E59" s="9" t="s">
        <v>17</v>
      </c>
      <c r="F59" s="9" t="s">
        <v>24</v>
      </c>
      <c r="G59" s="9" t="s">
        <v>32</v>
      </c>
      <c r="H59" s="9">
        <v>61</v>
      </c>
      <c r="I59" s="5">
        <v>135</v>
      </c>
      <c r="J59" s="5">
        <f t="shared" si="0"/>
        <v>8235</v>
      </c>
      <c r="K59" s="9">
        <v>20</v>
      </c>
      <c r="L59" s="9" t="s">
        <v>33</v>
      </c>
      <c r="M59" s="9">
        <v>5</v>
      </c>
    </row>
    <row r="60" spans="2:13" ht="15.6" thickTop="1" thickBot="1" x14ac:dyDescent="0.35">
      <c r="B60" s="6">
        <v>58</v>
      </c>
      <c r="C60" s="7" t="s">
        <v>11</v>
      </c>
      <c r="D60" s="18">
        <v>45440</v>
      </c>
      <c r="E60" s="7" t="s">
        <v>18</v>
      </c>
      <c r="F60" s="7" t="s">
        <v>27</v>
      </c>
      <c r="G60" s="7" t="s">
        <v>30</v>
      </c>
      <c r="H60" s="7">
        <v>152</v>
      </c>
      <c r="I60" s="5">
        <v>135</v>
      </c>
      <c r="J60" s="5">
        <f t="shared" si="0"/>
        <v>20520</v>
      </c>
      <c r="K60" s="7">
        <v>20</v>
      </c>
      <c r="L60" s="7" t="s">
        <v>34</v>
      </c>
      <c r="M60" s="7"/>
    </row>
    <row r="61" spans="2:13" ht="15.6" thickTop="1" thickBot="1" x14ac:dyDescent="0.35">
      <c r="B61" s="8">
        <v>59</v>
      </c>
      <c r="C61" s="9" t="s">
        <v>11</v>
      </c>
      <c r="D61" s="19">
        <v>45441</v>
      </c>
      <c r="E61" s="9" t="s">
        <v>17</v>
      </c>
      <c r="F61" s="9" t="s">
        <v>24</v>
      </c>
      <c r="G61" s="9" t="s">
        <v>32</v>
      </c>
      <c r="H61" s="9">
        <v>185</v>
      </c>
      <c r="I61" s="5">
        <v>90</v>
      </c>
      <c r="J61" s="5">
        <f t="shared" si="0"/>
        <v>16650</v>
      </c>
      <c r="K61" s="9">
        <v>12</v>
      </c>
      <c r="L61" s="9" t="s">
        <v>35</v>
      </c>
      <c r="M61" s="9">
        <v>2</v>
      </c>
    </row>
    <row r="62" spans="2:13" ht="15.6" thickTop="1" thickBot="1" x14ac:dyDescent="0.35">
      <c r="B62" s="6">
        <v>60</v>
      </c>
      <c r="C62" s="7" t="s">
        <v>11</v>
      </c>
      <c r="D62" s="18">
        <v>45442</v>
      </c>
      <c r="E62" s="7" t="s">
        <v>22</v>
      </c>
      <c r="F62" s="7" t="s">
        <v>25</v>
      </c>
      <c r="G62" s="7" t="s">
        <v>31</v>
      </c>
      <c r="H62" s="7">
        <v>172</v>
      </c>
      <c r="I62" s="5">
        <v>90</v>
      </c>
      <c r="J62" s="5">
        <f t="shared" si="0"/>
        <v>15480</v>
      </c>
      <c r="K62" s="7">
        <v>11</v>
      </c>
      <c r="L62" s="7" t="s">
        <v>33</v>
      </c>
      <c r="M62" s="7">
        <v>3</v>
      </c>
    </row>
    <row r="63" spans="2:13" ht="15.6" thickTop="1" thickBot="1" x14ac:dyDescent="0.35">
      <c r="B63" s="8">
        <v>61</v>
      </c>
      <c r="C63" s="9" t="s">
        <v>10</v>
      </c>
      <c r="D63" s="19">
        <v>45443</v>
      </c>
      <c r="E63" s="9" t="s">
        <v>13</v>
      </c>
      <c r="F63" s="9" t="s">
        <v>24</v>
      </c>
      <c r="G63" s="9" t="s">
        <v>28</v>
      </c>
      <c r="H63" s="9">
        <v>124</v>
      </c>
      <c r="I63" s="5">
        <v>90</v>
      </c>
      <c r="J63" s="5">
        <f t="shared" si="0"/>
        <v>11160</v>
      </c>
      <c r="K63" s="9">
        <v>14</v>
      </c>
      <c r="L63" s="9" t="s">
        <v>35</v>
      </c>
      <c r="M63" s="9">
        <v>1</v>
      </c>
    </row>
    <row r="64" spans="2:13" ht="15.6" thickTop="1" thickBot="1" x14ac:dyDescent="0.35">
      <c r="B64" s="6">
        <v>62</v>
      </c>
      <c r="C64" s="7" t="s">
        <v>11</v>
      </c>
      <c r="D64" s="18">
        <v>45444</v>
      </c>
      <c r="E64" s="7" t="s">
        <v>12</v>
      </c>
      <c r="F64" s="7" t="s">
        <v>23</v>
      </c>
      <c r="G64" s="7" t="s">
        <v>28</v>
      </c>
      <c r="H64" s="7">
        <v>104</v>
      </c>
      <c r="I64" s="5">
        <v>225</v>
      </c>
      <c r="J64" s="5">
        <f t="shared" si="0"/>
        <v>23400</v>
      </c>
      <c r="K64" s="7">
        <v>18</v>
      </c>
      <c r="L64" s="7" t="s">
        <v>34</v>
      </c>
      <c r="M64" s="7">
        <v>3</v>
      </c>
    </row>
    <row r="65" spans="2:13" ht="15.6" thickTop="1" thickBot="1" x14ac:dyDescent="0.35">
      <c r="B65" s="8">
        <v>63</v>
      </c>
      <c r="C65" s="9" t="s">
        <v>10</v>
      </c>
      <c r="D65" s="19">
        <v>45445</v>
      </c>
      <c r="E65" s="9" t="s">
        <v>18</v>
      </c>
      <c r="F65" s="9" t="s">
        <v>27</v>
      </c>
      <c r="G65" s="9" t="s">
        <v>31</v>
      </c>
      <c r="H65" s="9">
        <v>150</v>
      </c>
      <c r="I65" s="5">
        <v>45</v>
      </c>
      <c r="J65" s="5">
        <f t="shared" si="0"/>
        <v>6750</v>
      </c>
      <c r="K65" s="9">
        <v>17</v>
      </c>
      <c r="L65" s="9" t="s">
        <v>34</v>
      </c>
      <c r="M65" s="9">
        <v>4</v>
      </c>
    </row>
    <row r="66" spans="2:13" ht="15.6" thickTop="1" thickBot="1" x14ac:dyDescent="0.35">
      <c r="B66" s="6">
        <v>64</v>
      </c>
      <c r="C66" s="7" t="s">
        <v>10</v>
      </c>
      <c r="D66" s="18">
        <v>45446</v>
      </c>
      <c r="E66" s="7" t="s">
        <v>13</v>
      </c>
      <c r="F66" s="7" t="s">
        <v>24</v>
      </c>
      <c r="G66" s="7" t="s">
        <v>32</v>
      </c>
      <c r="H66" s="7">
        <v>192</v>
      </c>
      <c r="I66" s="5">
        <v>225</v>
      </c>
      <c r="J66" s="5">
        <f t="shared" si="0"/>
        <v>43200</v>
      </c>
      <c r="K66" s="7">
        <v>22</v>
      </c>
      <c r="L66" s="7" t="s">
        <v>35</v>
      </c>
      <c r="M66" s="7">
        <v>3</v>
      </c>
    </row>
    <row r="67" spans="2:13" ht="15.6" thickTop="1" thickBot="1" x14ac:dyDescent="0.35">
      <c r="B67" s="8">
        <v>65</v>
      </c>
      <c r="C67" s="9" t="s">
        <v>10</v>
      </c>
      <c r="D67" s="19">
        <v>45447</v>
      </c>
      <c r="E67" s="9" t="s">
        <v>22</v>
      </c>
      <c r="F67" s="9" t="s">
        <v>25</v>
      </c>
      <c r="G67" s="9" t="s">
        <v>29</v>
      </c>
      <c r="H67" s="9">
        <v>115</v>
      </c>
      <c r="I67" s="5">
        <v>90</v>
      </c>
      <c r="J67" s="5">
        <f t="shared" si="0"/>
        <v>10350</v>
      </c>
      <c r="K67" s="9">
        <v>25</v>
      </c>
      <c r="L67" s="9" t="s">
        <v>35</v>
      </c>
      <c r="M67" s="9">
        <v>3</v>
      </c>
    </row>
    <row r="68" spans="2:13" ht="15.6" thickTop="1" thickBot="1" x14ac:dyDescent="0.35">
      <c r="B68" s="6">
        <v>66</v>
      </c>
      <c r="C68" s="7" t="s">
        <v>11</v>
      </c>
      <c r="D68" s="18">
        <v>45448</v>
      </c>
      <c r="E68" s="7" t="s">
        <v>20</v>
      </c>
      <c r="F68" s="7" t="s">
        <v>20</v>
      </c>
      <c r="G68" s="7" t="s">
        <v>28</v>
      </c>
      <c r="H68" s="7">
        <v>80</v>
      </c>
      <c r="I68" s="5">
        <v>180</v>
      </c>
      <c r="J68" s="5">
        <f t="shared" ref="J68:J131" si="1">H68*I68</f>
        <v>14400</v>
      </c>
      <c r="K68" s="7">
        <v>8</v>
      </c>
      <c r="L68" s="7" t="s">
        <v>35</v>
      </c>
      <c r="M68" s="7">
        <v>3</v>
      </c>
    </row>
    <row r="69" spans="2:13" ht="15.6" thickTop="1" thickBot="1" x14ac:dyDescent="0.35">
      <c r="B69" s="8">
        <v>67</v>
      </c>
      <c r="C69" s="9" t="s">
        <v>11</v>
      </c>
      <c r="D69" s="19">
        <v>45449</v>
      </c>
      <c r="E69" s="9" t="s">
        <v>15</v>
      </c>
      <c r="F69" s="9" t="s">
        <v>25</v>
      </c>
      <c r="G69" s="9" t="s">
        <v>29</v>
      </c>
      <c r="H69" s="9">
        <v>79</v>
      </c>
      <c r="I69" s="5">
        <v>180</v>
      </c>
      <c r="J69" s="5">
        <f t="shared" si="1"/>
        <v>14220</v>
      </c>
      <c r="K69" s="9">
        <v>8</v>
      </c>
      <c r="L69" s="9" t="s">
        <v>35</v>
      </c>
      <c r="M69" s="9">
        <v>3</v>
      </c>
    </row>
    <row r="70" spans="2:13" ht="15.6" thickTop="1" thickBot="1" x14ac:dyDescent="0.35">
      <c r="B70" s="6">
        <v>68</v>
      </c>
      <c r="C70" s="7" t="s">
        <v>10</v>
      </c>
      <c r="D70" s="18">
        <v>45450</v>
      </c>
      <c r="E70" s="7" t="s">
        <v>20</v>
      </c>
      <c r="F70" s="7" t="s">
        <v>20</v>
      </c>
      <c r="G70" s="7" t="s">
        <v>32</v>
      </c>
      <c r="H70" s="7">
        <v>59</v>
      </c>
      <c r="I70" s="5">
        <v>180</v>
      </c>
      <c r="J70" s="5">
        <f t="shared" si="1"/>
        <v>10620</v>
      </c>
      <c r="K70" s="7">
        <v>13</v>
      </c>
      <c r="L70" s="7" t="s">
        <v>33</v>
      </c>
      <c r="M70" s="7">
        <v>3</v>
      </c>
    </row>
    <row r="71" spans="2:13" ht="15.6" thickTop="1" thickBot="1" x14ac:dyDescent="0.35">
      <c r="B71" s="8">
        <v>69</v>
      </c>
      <c r="C71" s="9" t="s">
        <v>10</v>
      </c>
      <c r="D71" s="19">
        <v>45451</v>
      </c>
      <c r="E71" s="9" t="s">
        <v>14</v>
      </c>
      <c r="F71" s="9" t="s">
        <v>25</v>
      </c>
      <c r="G71" s="9" t="s">
        <v>29</v>
      </c>
      <c r="H71" s="9">
        <v>210</v>
      </c>
      <c r="I71" s="5">
        <v>225</v>
      </c>
      <c r="J71" s="5">
        <f t="shared" si="1"/>
        <v>47250</v>
      </c>
      <c r="K71" s="9">
        <v>15</v>
      </c>
      <c r="L71" s="9" t="s">
        <v>33</v>
      </c>
      <c r="M71" s="9">
        <v>5</v>
      </c>
    </row>
    <row r="72" spans="2:13" ht="15.6" thickTop="1" thickBot="1" x14ac:dyDescent="0.35">
      <c r="B72" s="6">
        <v>70</v>
      </c>
      <c r="C72" s="7" t="s">
        <v>10</v>
      </c>
      <c r="D72" s="18">
        <v>45452</v>
      </c>
      <c r="E72" s="7" t="s">
        <v>12</v>
      </c>
      <c r="F72" s="7" t="s">
        <v>23</v>
      </c>
      <c r="G72" s="7" t="s">
        <v>30</v>
      </c>
      <c r="H72" s="7">
        <v>144</v>
      </c>
      <c r="I72" s="5">
        <v>45</v>
      </c>
      <c r="J72" s="5">
        <f t="shared" si="1"/>
        <v>6480</v>
      </c>
      <c r="K72" s="7">
        <v>15</v>
      </c>
      <c r="L72" s="7" t="s">
        <v>33</v>
      </c>
      <c r="M72" s="7">
        <v>2</v>
      </c>
    </row>
    <row r="73" spans="2:13" ht="15.6" thickTop="1" thickBot="1" x14ac:dyDescent="0.35">
      <c r="B73" s="8">
        <v>71</v>
      </c>
      <c r="C73" s="9" t="s">
        <v>10</v>
      </c>
      <c r="D73" s="19">
        <v>45453</v>
      </c>
      <c r="E73" s="9" t="s">
        <v>17</v>
      </c>
      <c r="F73" s="9" t="s">
        <v>24</v>
      </c>
      <c r="G73" s="9" t="s">
        <v>32</v>
      </c>
      <c r="H73" s="9">
        <v>73</v>
      </c>
      <c r="I73" s="5">
        <v>45</v>
      </c>
      <c r="J73" s="5">
        <f t="shared" si="1"/>
        <v>3285</v>
      </c>
      <c r="K73" s="9">
        <v>15</v>
      </c>
      <c r="L73" s="9" t="s">
        <v>34</v>
      </c>
      <c r="M73" s="9">
        <v>3</v>
      </c>
    </row>
    <row r="74" spans="2:13" ht="15.6" thickTop="1" thickBot="1" x14ac:dyDescent="0.35">
      <c r="B74" s="6">
        <v>72</v>
      </c>
      <c r="C74" s="7" t="s">
        <v>11</v>
      </c>
      <c r="D74" s="18">
        <v>45454</v>
      </c>
      <c r="E74" s="7" t="s">
        <v>14</v>
      </c>
      <c r="F74" s="7" t="s">
        <v>25</v>
      </c>
      <c r="G74" s="7" t="s">
        <v>31</v>
      </c>
      <c r="H74" s="7">
        <v>34</v>
      </c>
      <c r="I74" s="5">
        <v>180</v>
      </c>
      <c r="J74" s="5">
        <f t="shared" si="1"/>
        <v>6120</v>
      </c>
      <c r="K74" s="7">
        <v>9</v>
      </c>
      <c r="L74" s="7" t="s">
        <v>35</v>
      </c>
      <c r="M74" s="7">
        <v>1</v>
      </c>
    </row>
    <row r="75" spans="2:13" ht="15.6" thickTop="1" thickBot="1" x14ac:dyDescent="0.35">
      <c r="B75" s="8">
        <v>73</v>
      </c>
      <c r="C75" s="9" t="s">
        <v>11</v>
      </c>
      <c r="D75" s="19">
        <v>45455</v>
      </c>
      <c r="E75" s="9" t="s">
        <v>21</v>
      </c>
      <c r="F75" s="9" t="s">
        <v>26</v>
      </c>
      <c r="G75" s="9" t="s">
        <v>32</v>
      </c>
      <c r="H75" s="9">
        <v>228</v>
      </c>
      <c r="I75" s="5">
        <v>180</v>
      </c>
      <c r="J75" s="5">
        <f t="shared" si="1"/>
        <v>41040</v>
      </c>
      <c r="K75" s="9">
        <v>8</v>
      </c>
      <c r="L75" s="9" t="s">
        <v>34</v>
      </c>
      <c r="M75" s="9">
        <v>5</v>
      </c>
    </row>
    <row r="76" spans="2:13" ht="15.6" thickTop="1" thickBot="1" x14ac:dyDescent="0.35">
      <c r="B76" s="6">
        <v>74</v>
      </c>
      <c r="C76" s="7" t="s">
        <v>10</v>
      </c>
      <c r="D76" s="18">
        <v>45456</v>
      </c>
      <c r="E76" s="7" t="s">
        <v>12</v>
      </c>
      <c r="F76" s="7" t="s">
        <v>23</v>
      </c>
      <c r="G76" s="7" t="s">
        <v>30</v>
      </c>
      <c r="H76" s="7">
        <v>170</v>
      </c>
      <c r="I76" s="5">
        <v>180</v>
      </c>
      <c r="J76" s="5">
        <f t="shared" si="1"/>
        <v>30600</v>
      </c>
      <c r="K76" s="7">
        <v>19</v>
      </c>
      <c r="L76" s="7" t="s">
        <v>35</v>
      </c>
      <c r="M76" s="7">
        <v>1</v>
      </c>
    </row>
    <row r="77" spans="2:13" ht="15.6" thickTop="1" thickBot="1" x14ac:dyDescent="0.35">
      <c r="B77" s="8">
        <v>75</v>
      </c>
      <c r="C77" s="9" t="s">
        <v>10</v>
      </c>
      <c r="D77" s="19">
        <v>45457</v>
      </c>
      <c r="E77" s="9" t="s">
        <v>18</v>
      </c>
      <c r="F77" s="9" t="s">
        <v>27</v>
      </c>
      <c r="G77" s="9" t="s">
        <v>31</v>
      </c>
      <c r="H77" s="9">
        <v>184</v>
      </c>
      <c r="I77" s="5">
        <v>45</v>
      </c>
      <c r="J77" s="5">
        <f t="shared" si="1"/>
        <v>8280</v>
      </c>
      <c r="K77" s="9">
        <v>25</v>
      </c>
      <c r="L77" s="9" t="s">
        <v>33</v>
      </c>
      <c r="M77" s="9"/>
    </row>
    <row r="78" spans="2:13" ht="15.6" thickTop="1" thickBot="1" x14ac:dyDescent="0.35">
      <c r="B78" s="6">
        <v>76</v>
      </c>
      <c r="C78" s="7" t="s">
        <v>11</v>
      </c>
      <c r="D78" s="18">
        <v>45458</v>
      </c>
      <c r="E78" s="7" t="s">
        <v>17</v>
      </c>
      <c r="F78" s="7" t="s">
        <v>24</v>
      </c>
      <c r="G78" s="7" t="s">
        <v>30</v>
      </c>
      <c r="H78" s="7">
        <v>153</v>
      </c>
      <c r="I78" s="5">
        <v>45</v>
      </c>
      <c r="J78" s="5">
        <f t="shared" si="1"/>
        <v>6885</v>
      </c>
      <c r="K78" s="7">
        <v>18</v>
      </c>
      <c r="L78" s="7" t="s">
        <v>34</v>
      </c>
      <c r="M78" s="7">
        <v>5</v>
      </c>
    </row>
    <row r="79" spans="2:13" ht="15.6" thickTop="1" thickBot="1" x14ac:dyDescent="0.35">
      <c r="B79" s="8">
        <v>77</v>
      </c>
      <c r="C79" s="9" t="s">
        <v>10</v>
      </c>
      <c r="D79" s="19">
        <v>45459</v>
      </c>
      <c r="E79" s="9" t="s">
        <v>17</v>
      </c>
      <c r="F79" s="9" t="s">
        <v>24</v>
      </c>
      <c r="G79" s="9" t="s">
        <v>31</v>
      </c>
      <c r="H79" s="9">
        <v>249</v>
      </c>
      <c r="I79" s="5">
        <v>135</v>
      </c>
      <c r="J79" s="5">
        <f t="shared" si="1"/>
        <v>33615</v>
      </c>
      <c r="K79" s="9">
        <v>16</v>
      </c>
      <c r="L79" s="9" t="s">
        <v>34</v>
      </c>
      <c r="M79" s="9">
        <v>5</v>
      </c>
    </row>
    <row r="80" spans="2:13" ht="15.6" thickTop="1" thickBot="1" x14ac:dyDescent="0.35">
      <c r="B80" s="6">
        <v>78</v>
      </c>
      <c r="C80" s="7" t="s">
        <v>10</v>
      </c>
      <c r="D80" s="18">
        <v>45460</v>
      </c>
      <c r="E80" s="7" t="s">
        <v>12</v>
      </c>
      <c r="F80" s="7" t="s">
        <v>23</v>
      </c>
      <c r="G80" s="7" t="s">
        <v>31</v>
      </c>
      <c r="H80" s="7">
        <v>159</v>
      </c>
      <c r="I80" s="5">
        <v>45</v>
      </c>
      <c r="J80" s="5">
        <f t="shared" si="1"/>
        <v>7155</v>
      </c>
      <c r="K80" s="7">
        <v>11</v>
      </c>
      <c r="L80" s="7" t="s">
        <v>33</v>
      </c>
      <c r="M80" s="7">
        <v>4</v>
      </c>
    </row>
    <row r="81" spans="2:13" ht="15.6" thickTop="1" thickBot="1" x14ac:dyDescent="0.35">
      <c r="B81" s="8">
        <v>79</v>
      </c>
      <c r="C81" s="9" t="s">
        <v>11</v>
      </c>
      <c r="D81" s="19">
        <v>45461</v>
      </c>
      <c r="E81" s="9" t="s">
        <v>14</v>
      </c>
      <c r="F81" s="9" t="s">
        <v>25</v>
      </c>
      <c r="G81" s="9" t="s">
        <v>28</v>
      </c>
      <c r="H81" s="9">
        <v>234</v>
      </c>
      <c r="I81" s="5">
        <v>135</v>
      </c>
      <c r="J81" s="5">
        <f t="shared" si="1"/>
        <v>31590</v>
      </c>
      <c r="K81" s="9">
        <v>14</v>
      </c>
      <c r="L81" s="9" t="s">
        <v>34</v>
      </c>
      <c r="M81" s="9">
        <v>5</v>
      </c>
    </row>
    <row r="82" spans="2:13" ht="15.6" thickTop="1" thickBot="1" x14ac:dyDescent="0.35">
      <c r="B82" s="6">
        <v>80</v>
      </c>
      <c r="C82" s="7" t="s">
        <v>10</v>
      </c>
      <c r="D82" s="18">
        <v>45462</v>
      </c>
      <c r="E82" s="7" t="s">
        <v>16</v>
      </c>
      <c r="F82" s="7" t="s">
        <v>26</v>
      </c>
      <c r="G82" s="7" t="s">
        <v>29</v>
      </c>
      <c r="H82" s="7">
        <v>204</v>
      </c>
      <c r="I82" s="5">
        <v>45</v>
      </c>
      <c r="J82" s="5">
        <f t="shared" si="1"/>
        <v>9180</v>
      </c>
      <c r="K82" s="7">
        <v>23</v>
      </c>
      <c r="L82" s="7" t="s">
        <v>35</v>
      </c>
      <c r="M82" s="7">
        <v>4</v>
      </c>
    </row>
    <row r="83" spans="2:13" ht="15.6" thickTop="1" thickBot="1" x14ac:dyDescent="0.35">
      <c r="B83" s="8">
        <v>81</v>
      </c>
      <c r="C83" s="9" t="s">
        <v>10</v>
      </c>
      <c r="D83" s="19">
        <v>45463</v>
      </c>
      <c r="E83" s="9" t="s">
        <v>16</v>
      </c>
      <c r="F83" s="9" t="s">
        <v>26</v>
      </c>
      <c r="G83" s="9" t="s">
        <v>32</v>
      </c>
      <c r="H83" s="9">
        <v>203</v>
      </c>
      <c r="I83" s="5">
        <v>180</v>
      </c>
      <c r="J83" s="5">
        <f t="shared" si="1"/>
        <v>36540</v>
      </c>
      <c r="K83" s="9">
        <v>10</v>
      </c>
      <c r="L83" s="9" t="s">
        <v>35</v>
      </c>
      <c r="M83" s="9">
        <v>5</v>
      </c>
    </row>
    <row r="84" spans="2:13" ht="15.6" thickTop="1" thickBot="1" x14ac:dyDescent="0.35">
      <c r="B84" s="6">
        <v>82</v>
      </c>
      <c r="C84" s="7" t="s">
        <v>11</v>
      </c>
      <c r="D84" s="18">
        <v>45464</v>
      </c>
      <c r="E84" s="7" t="s">
        <v>13</v>
      </c>
      <c r="F84" s="7" t="s">
        <v>24</v>
      </c>
      <c r="G84" s="7" t="s">
        <v>32</v>
      </c>
      <c r="H84" s="7">
        <v>160</v>
      </c>
      <c r="I84" s="5">
        <v>180</v>
      </c>
      <c r="J84" s="5">
        <f t="shared" si="1"/>
        <v>28800</v>
      </c>
      <c r="K84" s="7">
        <v>18</v>
      </c>
      <c r="L84" s="7" t="s">
        <v>34</v>
      </c>
      <c r="M84" s="7">
        <v>5</v>
      </c>
    </row>
    <row r="85" spans="2:13" ht="15.6" thickTop="1" thickBot="1" x14ac:dyDescent="0.35">
      <c r="B85" s="8">
        <v>83</v>
      </c>
      <c r="C85" s="9" t="s">
        <v>10</v>
      </c>
      <c r="D85" s="19">
        <v>45465</v>
      </c>
      <c r="E85" s="9" t="s">
        <v>17</v>
      </c>
      <c r="F85" s="9" t="s">
        <v>24</v>
      </c>
      <c r="G85" s="9" t="s">
        <v>28</v>
      </c>
      <c r="H85" s="9">
        <v>221</v>
      </c>
      <c r="I85" s="5">
        <v>225</v>
      </c>
      <c r="J85" s="5">
        <f t="shared" si="1"/>
        <v>49725</v>
      </c>
      <c r="K85" s="9">
        <v>24</v>
      </c>
      <c r="L85" s="9" t="s">
        <v>34</v>
      </c>
      <c r="M85" s="9">
        <v>5</v>
      </c>
    </row>
    <row r="86" spans="2:13" ht="15.6" thickTop="1" thickBot="1" x14ac:dyDescent="0.35">
      <c r="B86" s="6">
        <v>84</v>
      </c>
      <c r="C86" s="7" t="s">
        <v>11</v>
      </c>
      <c r="D86" s="18">
        <v>45466</v>
      </c>
      <c r="E86" s="7" t="s">
        <v>16</v>
      </c>
      <c r="F86" s="7" t="s">
        <v>26</v>
      </c>
      <c r="G86" s="7" t="s">
        <v>29</v>
      </c>
      <c r="H86" s="7">
        <v>238</v>
      </c>
      <c r="I86" s="5">
        <v>225</v>
      </c>
      <c r="J86" s="5">
        <f t="shared" si="1"/>
        <v>53550</v>
      </c>
      <c r="K86" s="7">
        <v>8</v>
      </c>
      <c r="L86" s="7" t="s">
        <v>34</v>
      </c>
      <c r="M86" s="7">
        <v>3</v>
      </c>
    </row>
    <row r="87" spans="2:13" ht="15.6" thickTop="1" thickBot="1" x14ac:dyDescent="0.35">
      <c r="B87" s="8">
        <v>85</v>
      </c>
      <c r="C87" s="9" t="s">
        <v>10</v>
      </c>
      <c r="D87" s="19">
        <v>45467</v>
      </c>
      <c r="E87" s="9" t="s">
        <v>12</v>
      </c>
      <c r="F87" s="9" t="s">
        <v>23</v>
      </c>
      <c r="G87" s="9" t="s">
        <v>28</v>
      </c>
      <c r="H87" s="9">
        <v>225</v>
      </c>
      <c r="I87" s="5">
        <v>90</v>
      </c>
      <c r="J87" s="5">
        <f t="shared" si="1"/>
        <v>20250</v>
      </c>
      <c r="K87" s="9">
        <v>21</v>
      </c>
      <c r="L87" s="9" t="s">
        <v>33</v>
      </c>
      <c r="M87" s="9">
        <v>1</v>
      </c>
    </row>
    <row r="88" spans="2:13" ht="15.6" thickTop="1" thickBot="1" x14ac:dyDescent="0.35">
      <c r="B88" s="6">
        <v>86</v>
      </c>
      <c r="C88" s="7" t="s">
        <v>11</v>
      </c>
      <c r="D88" s="18">
        <v>45468</v>
      </c>
      <c r="E88" s="7" t="s">
        <v>20</v>
      </c>
      <c r="F88" s="7" t="s">
        <v>20</v>
      </c>
      <c r="G88" s="7" t="s">
        <v>29</v>
      </c>
      <c r="H88" s="7">
        <v>201</v>
      </c>
      <c r="I88" s="5">
        <v>225</v>
      </c>
      <c r="J88" s="5">
        <f t="shared" si="1"/>
        <v>45225</v>
      </c>
      <c r="K88" s="7">
        <v>12</v>
      </c>
      <c r="L88" s="7" t="s">
        <v>34</v>
      </c>
      <c r="M88" s="7">
        <v>3</v>
      </c>
    </row>
    <row r="89" spans="2:13" ht="15.6" thickTop="1" thickBot="1" x14ac:dyDescent="0.35">
      <c r="B89" s="8">
        <v>87</v>
      </c>
      <c r="C89" s="9" t="s">
        <v>10</v>
      </c>
      <c r="D89" s="19">
        <v>45469</v>
      </c>
      <c r="E89" s="9" t="s">
        <v>12</v>
      </c>
      <c r="F89" s="9" t="s">
        <v>23</v>
      </c>
      <c r="G89" s="9" t="s">
        <v>29</v>
      </c>
      <c r="H89" s="9">
        <v>172</v>
      </c>
      <c r="I89" s="5">
        <v>225</v>
      </c>
      <c r="J89" s="5">
        <f t="shared" si="1"/>
        <v>38700</v>
      </c>
      <c r="K89" s="9">
        <v>23</v>
      </c>
      <c r="L89" s="9" t="s">
        <v>34</v>
      </c>
      <c r="M89" s="9"/>
    </row>
    <row r="90" spans="2:13" ht="15.6" thickTop="1" thickBot="1" x14ac:dyDescent="0.35">
      <c r="B90" s="6">
        <v>88</v>
      </c>
      <c r="C90" s="7" t="s">
        <v>11</v>
      </c>
      <c r="D90" s="18">
        <v>45470</v>
      </c>
      <c r="E90" s="7" t="s">
        <v>12</v>
      </c>
      <c r="F90" s="7" t="s">
        <v>23</v>
      </c>
      <c r="G90" s="7" t="s">
        <v>30</v>
      </c>
      <c r="H90" s="7">
        <v>184</v>
      </c>
      <c r="I90" s="5">
        <v>45</v>
      </c>
      <c r="J90" s="5">
        <f t="shared" si="1"/>
        <v>8280</v>
      </c>
      <c r="K90" s="7">
        <v>14</v>
      </c>
      <c r="L90" s="7" t="s">
        <v>34</v>
      </c>
      <c r="M90" s="7">
        <v>5</v>
      </c>
    </row>
    <row r="91" spans="2:13" ht="15.6" thickTop="1" thickBot="1" x14ac:dyDescent="0.35">
      <c r="B91" s="8">
        <v>89</v>
      </c>
      <c r="C91" s="9" t="s">
        <v>10</v>
      </c>
      <c r="D91" s="19">
        <v>45471</v>
      </c>
      <c r="E91" s="9" t="s">
        <v>16</v>
      </c>
      <c r="F91" s="9" t="s">
        <v>26</v>
      </c>
      <c r="G91" s="9" t="s">
        <v>30</v>
      </c>
      <c r="H91" s="9">
        <v>142</v>
      </c>
      <c r="I91" s="5">
        <v>135</v>
      </c>
      <c r="J91" s="5">
        <f t="shared" si="1"/>
        <v>19170</v>
      </c>
      <c r="K91" s="9">
        <v>18</v>
      </c>
      <c r="L91" s="9" t="s">
        <v>33</v>
      </c>
      <c r="M91" s="9">
        <v>2</v>
      </c>
    </row>
    <row r="92" spans="2:13" ht="15.6" thickTop="1" thickBot="1" x14ac:dyDescent="0.35">
      <c r="B92" s="6">
        <v>90</v>
      </c>
      <c r="C92" s="7" t="s">
        <v>10</v>
      </c>
      <c r="D92" s="18">
        <v>45472</v>
      </c>
      <c r="E92" s="7" t="s">
        <v>13</v>
      </c>
      <c r="F92" s="7" t="s">
        <v>24</v>
      </c>
      <c r="G92" s="7" t="s">
        <v>30</v>
      </c>
      <c r="H92" s="7">
        <v>31</v>
      </c>
      <c r="I92" s="5">
        <v>180</v>
      </c>
      <c r="J92" s="5">
        <f t="shared" si="1"/>
        <v>5580</v>
      </c>
      <c r="K92" s="7">
        <v>22</v>
      </c>
      <c r="L92" s="7" t="s">
        <v>34</v>
      </c>
      <c r="M92" s="7">
        <v>2</v>
      </c>
    </row>
    <row r="93" spans="2:13" ht="15.6" thickTop="1" thickBot="1" x14ac:dyDescent="0.35">
      <c r="B93" s="8">
        <v>91</v>
      </c>
      <c r="C93" s="9" t="s">
        <v>11</v>
      </c>
      <c r="D93" s="19">
        <v>45473</v>
      </c>
      <c r="E93" s="9" t="s">
        <v>19</v>
      </c>
      <c r="F93" s="9" t="s">
        <v>23</v>
      </c>
      <c r="G93" s="9" t="s">
        <v>30</v>
      </c>
      <c r="H93" s="9">
        <v>113</v>
      </c>
      <c r="I93" s="5">
        <v>135</v>
      </c>
      <c r="J93" s="5">
        <f t="shared" si="1"/>
        <v>15255</v>
      </c>
      <c r="K93" s="9">
        <v>14</v>
      </c>
      <c r="L93" s="9" t="s">
        <v>35</v>
      </c>
      <c r="M93" s="9">
        <v>5</v>
      </c>
    </row>
    <row r="94" spans="2:13" ht="15.6" thickTop="1" thickBot="1" x14ac:dyDescent="0.35">
      <c r="B94" s="6">
        <v>92</v>
      </c>
      <c r="C94" s="7" t="s">
        <v>11</v>
      </c>
      <c r="D94" s="18">
        <v>45474</v>
      </c>
      <c r="E94" s="7" t="s">
        <v>15</v>
      </c>
      <c r="F94" s="7" t="s">
        <v>25</v>
      </c>
      <c r="G94" s="7" t="s">
        <v>32</v>
      </c>
      <c r="H94" s="7">
        <v>208</v>
      </c>
      <c r="I94" s="5">
        <v>45</v>
      </c>
      <c r="J94" s="5">
        <f t="shared" si="1"/>
        <v>9360</v>
      </c>
      <c r="K94" s="7">
        <v>12</v>
      </c>
      <c r="L94" s="7" t="s">
        <v>35</v>
      </c>
      <c r="M94" s="7">
        <v>5</v>
      </c>
    </row>
    <row r="95" spans="2:13" ht="15.6" thickTop="1" thickBot="1" x14ac:dyDescent="0.35">
      <c r="B95" s="8">
        <v>93</v>
      </c>
      <c r="C95" s="9" t="s">
        <v>11</v>
      </c>
      <c r="D95" s="19">
        <v>45475</v>
      </c>
      <c r="E95" s="9" t="s">
        <v>16</v>
      </c>
      <c r="F95" s="9" t="s">
        <v>26</v>
      </c>
      <c r="G95" s="9" t="s">
        <v>29</v>
      </c>
      <c r="H95" s="9">
        <v>197</v>
      </c>
      <c r="I95" s="5">
        <v>180</v>
      </c>
      <c r="J95" s="5">
        <f t="shared" si="1"/>
        <v>35460</v>
      </c>
      <c r="K95" s="9">
        <v>16</v>
      </c>
      <c r="L95" s="9" t="s">
        <v>33</v>
      </c>
      <c r="M95" s="9">
        <v>2</v>
      </c>
    </row>
    <row r="96" spans="2:13" ht="15.6" thickTop="1" thickBot="1" x14ac:dyDescent="0.35">
      <c r="B96" s="6">
        <v>94</v>
      </c>
      <c r="C96" s="7" t="s">
        <v>10</v>
      </c>
      <c r="D96" s="18">
        <v>45476</v>
      </c>
      <c r="E96" s="7" t="s">
        <v>16</v>
      </c>
      <c r="F96" s="7" t="s">
        <v>26</v>
      </c>
      <c r="G96" s="7" t="s">
        <v>32</v>
      </c>
      <c r="H96" s="7">
        <v>104</v>
      </c>
      <c r="I96" s="5">
        <v>225</v>
      </c>
      <c r="J96" s="5">
        <f t="shared" si="1"/>
        <v>23400</v>
      </c>
      <c r="K96" s="7">
        <v>12</v>
      </c>
      <c r="L96" s="7" t="s">
        <v>33</v>
      </c>
      <c r="M96" s="7">
        <v>3</v>
      </c>
    </row>
    <row r="97" spans="2:13" ht="15.6" thickTop="1" thickBot="1" x14ac:dyDescent="0.35">
      <c r="B97" s="8">
        <v>95</v>
      </c>
      <c r="C97" s="9" t="s">
        <v>10</v>
      </c>
      <c r="D97" s="19">
        <v>45477</v>
      </c>
      <c r="E97" s="9" t="s">
        <v>20</v>
      </c>
      <c r="F97" s="9" t="s">
        <v>20</v>
      </c>
      <c r="G97" s="9" t="s">
        <v>30</v>
      </c>
      <c r="H97" s="9">
        <v>202</v>
      </c>
      <c r="I97" s="5">
        <v>225</v>
      </c>
      <c r="J97" s="5">
        <f t="shared" si="1"/>
        <v>45450</v>
      </c>
      <c r="K97" s="9">
        <v>11</v>
      </c>
      <c r="L97" s="9" t="s">
        <v>33</v>
      </c>
      <c r="M97" s="9">
        <v>2</v>
      </c>
    </row>
    <row r="98" spans="2:13" ht="15.6" thickTop="1" thickBot="1" x14ac:dyDescent="0.35">
      <c r="B98" s="6">
        <v>96</v>
      </c>
      <c r="C98" s="7" t="s">
        <v>10</v>
      </c>
      <c r="D98" s="18">
        <v>45478</v>
      </c>
      <c r="E98" s="7" t="s">
        <v>22</v>
      </c>
      <c r="F98" s="7" t="s">
        <v>25</v>
      </c>
      <c r="G98" s="7" t="s">
        <v>30</v>
      </c>
      <c r="H98" s="7">
        <v>216</v>
      </c>
      <c r="I98" s="5">
        <v>180</v>
      </c>
      <c r="J98" s="5">
        <f t="shared" si="1"/>
        <v>38880</v>
      </c>
      <c r="K98" s="7">
        <v>14</v>
      </c>
      <c r="L98" s="7" t="s">
        <v>34</v>
      </c>
      <c r="M98" s="7">
        <v>4</v>
      </c>
    </row>
    <row r="99" spans="2:13" ht="15.6" thickTop="1" thickBot="1" x14ac:dyDescent="0.35">
      <c r="B99" s="8">
        <v>97</v>
      </c>
      <c r="C99" s="9" t="s">
        <v>11</v>
      </c>
      <c r="D99" s="19">
        <v>45479</v>
      </c>
      <c r="E99" s="9" t="s">
        <v>17</v>
      </c>
      <c r="F99" s="9" t="s">
        <v>24</v>
      </c>
      <c r="G99" s="9" t="s">
        <v>32</v>
      </c>
      <c r="H99" s="9">
        <v>95</v>
      </c>
      <c r="I99" s="5">
        <v>225</v>
      </c>
      <c r="J99" s="5">
        <f t="shared" si="1"/>
        <v>21375</v>
      </c>
      <c r="K99" s="9">
        <v>18</v>
      </c>
      <c r="L99" s="9" t="s">
        <v>33</v>
      </c>
      <c r="M99" s="9">
        <v>1</v>
      </c>
    </row>
    <row r="100" spans="2:13" ht="15.6" thickTop="1" thickBot="1" x14ac:dyDescent="0.35">
      <c r="B100" s="6">
        <v>98</v>
      </c>
      <c r="C100" s="7" t="s">
        <v>10</v>
      </c>
      <c r="D100" s="18">
        <v>45480</v>
      </c>
      <c r="E100" s="7" t="s">
        <v>22</v>
      </c>
      <c r="F100" s="7" t="s">
        <v>25</v>
      </c>
      <c r="G100" s="7" t="s">
        <v>29</v>
      </c>
      <c r="H100" s="7">
        <v>145</v>
      </c>
      <c r="I100" s="5">
        <v>225</v>
      </c>
      <c r="J100" s="5">
        <f t="shared" si="1"/>
        <v>32625</v>
      </c>
      <c r="K100" s="7">
        <v>25</v>
      </c>
      <c r="L100" s="7" t="s">
        <v>33</v>
      </c>
      <c r="M100" s="7">
        <v>2</v>
      </c>
    </row>
    <row r="101" spans="2:13" ht="15.6" thickTop="1" thickBot="1" x14ac:dyDescent="0.35">
      <c r="B101" s="8">
        <v>99</v>
      </c>
      <c r="C101" s="9" t="s">
        <v>10</v>
      </c>
      <c r="D101" s="19">
        <v>45481</v>
      </c>
      <c r="E101" s="9" t="s">
        <v>20</v>
      </c>
      <c r="F101" s="9" t="s">
        <v>20</v>
      </c>
      <c r="G101" s="9" t="s">
        <v>29</v>
      </c>
      <c r="H101" s="9">
        <v>240</v>
      </c>
      <c r="I101" s="5">
        <v>225</v>
      </c>
      <c r="J101" s="5">
        <f t="shared" si="1"/>
        <v>54000</v>
      </c>
      <c r="K101" s="9">
        <v>21</v>
      </c>
      <c r="L101" s="9" t="s">
        <v>34</v>
      </c>
      <c r="M101" s="9">
        <v>3</v>
      </c>
    </row>
    <row r="102" spans="2:13" ht="15.6" thickTop="1" thickBot="1" x14ac:dyDescent="0.35">
      <c r="B102" s="6">
        <v>100</v>
      </c>
      <c r="C102" s="7" t="s">
        <v>10</v>
      </c>
      <c r="D102" s="18">
        <v>45482</v>
      </c>
      <c r="E102" s="7" t="s">
        <v>20</v>
      </c>
      <c r="F102" s="7" t="s">
        <v>20</v>
      </c>
      <c r="G102" s="7" t="s">
        <v>29</v>
      </c>
      <c r="H102" s="7">
        <v>133</v>
      </c>
      <c r="I102" s="5">
        <v>45</v>
      </c>
      <c r="J102" s="5">
        <f t="shared" si="1"/>
        <v>5985</v>
      </c>
      <c r="K102" s="7">
        <v>25</v>
      </c>
      <c r="L102" s="7" t="s">
        <v>34</v>
      </c>
      <c r="M102" s="7">
        <v>2</v>
      </c>
    </row>
    <row r="103" spans="2:13" ht="15.6" thickTop="1" thickBot="1" x14ac:dyDescent="0.35">
      <c r="B103" s="8">
        <v>101</v>
      </c>
      <c r="C103" s="9" t="s">
        <v>11</v>
      </c>
      <c r="D103" s="19">
        <v>45483</v>
      </c>
      <c r="E103" s="9" t="s">
        <v>13</v>
      </c>
      <c r="F103" s="9" t="s">
        <v>24</v>
      </c>
      <c r="G103" s="9" t="s">
        <v>28</v>
      </c>
      <c r="H103" s="9">
        <v>38</v>
      </c>
      <c r="I103" s="5">
        <v>225</v>
      </c>
      <c r="J103" s="5">
        <f t="shared" si="1"/>
        <v>8550</v>
      </c>
      <c r="K103" s="9">
        <v>12</v>
      </c>
      <c r="L103" s="9" t="s">
        <v>34</v>
      </c>
      <c r="M103" s="9">
        <v>3</v>
      </c>
    </row>
    <row r="104" spans="2:13" ht="15.6" thickTop="1" thickBot="1" x14ac:dyDescent="0.35">
      <c r="B104" s="6">
        <v>102</v>
      </c>
      <c r="C104" s="7" t="s">
        <v>11</v>
      </c>
      <c r="D104" s="18">
        <v>45484</v>
      </c>
      <c r="E104" s="7" t="s">
        <v>12</v>
      </c>
      <c r="F104" s="7" t="s">
        <v>23</v>
      </c>
      <c r="G104" s="7" t="s">
        <v>30</v>
      </c>
      <c r="H104" s="7">
        <v>116</v>
      </c>
      <c r="I104" s="5">
        <v>135</v>
      </c>
      <c r="J104" s="5">
        <f t="shared" si="1"/>
        <v>15660</v>
      </c>
      <c r="K104" s="7">
        <v>9</v>
      </c>
      <c r="L104" s="7" t="s">
        <v>34</v>
      </c>
      <c r="M104" s="7">
        <v>1</v>
      </c>
    </row>
    <row r="105" spans="2:13" ht="15.6" thickTop="1" thickBot="1" x14ac:dyDescent="0.35">
      <c r="B105" s="8">
        <v>103</v>
      </c>
      <c r="C105" s="9" t="s">
        <v>11</v>
      </c>
      <c r="D105" s="19">
        <v>45485</v>
      </c>
      <c r="E105" s="9" t="s">
        <v>17</v>
      </c>
      <c r="F105" s="9" t="s">
        <v>24</v>
      </c>
      <c r="G105" s="9" t="s">
        <v>30</v>
      </c>
      <c r="H105" s="9">
        <v>131</v>
      </c>
      <c r="I105" s="5">
        <v>225</v>
      </c>
      <c r="J105" s="5">
        <f t="shared" si="1"/>
        <v>29475</v>
      </c>
      <c r="K105" s="9">
        <v>14</v>
      </c>
      <c r="L105" s="9" t="s">
        <v>34</v>
      </c>
      <c r="M105" s="9">
        <v>2</v>
      </c>
    </row>
    <row r="106" spans="2:13" ht="15.6" thickTop="1" thickBot="1" x14ac:dyDescent="0.35">
      <c r="B106" s="6">
        <v>104</v>
      </c>
      <c r="C106" s="7" t="s">
        <v>11</v>
      </c>
      <c r="D106" s="18">
        <v>45486</v>
      </c>
      <c r="E106" s="7" t="s">
        <v>16</v>
      </c>
      <c r="F106" s="7" t="s">
        <v>26</v>
      </c>
      <c r="G106" s="7" t="s">
        <v>32</v>
      </c>
      <c r="H106" s="7">
        <v>37</v>
      </c>
      <c r="I106" s="5">
        <v>90</v>
      </c>
      <c r="J106" s="5">
        <f t="shared" si="1"/>
        <v>3330</v>
      </c>
      <c r="K106" s="7">
        <v>20</v>
      </c>
      <c r="L106" s="7" t="s">
        <v>34</v>
      </c>
      <c r="M106" s="7">
        <v>1</v>
      </c>
    </row>
    <row r="107" spans="2:13" ht="15.6" thickTop="1" thickBot="1" x14ac:dyDescent="0.35">
      <c r="B107" s="8">
        <v>105</v>
      </c>
      <c r="C107" s="9" t="s">
        <v>11</v>
      </c>
      <c r="D107" s="19">
        <v>45487</v>
      </c>
      <c r="E107" s="9" t="s">
        <v>21</v>
      </c>
      <c r="F107" s="9" t="s">
        <v>26</v>
      </c>
      <c r="G107" s="9" t="s">
        <v>32</v>
      </c>
      <c r="H107" s="9">
        <v>49</v>
      </c>
      <c r="I107" s="5">
        <v>90</v>
      </c>
      <c r="J107" s="5">
        <f t="shared" si="1"/>
        <v>4410</v>
      </c>
      <c r="K107" s="9">
        <v>16</v>
      </c>
      <c r="L107" s="9" t="s">
        <v>35</v>
      </c>
      <c r="M107" s="9">
        <v>3</v>
      </c>
    </row>
    <row r="108" spans="2:13" ht="15.6" thickTop="1" thickBot="1" x14ac:dyDescent="0.35">
      <c r="B108" s="6">
        <v>106</v>
      </c>
      <c r="C108" s="7" t="s">
        <v>11</v>
      </c>
      <c r="D108" s="18">
        <v>45488</v>
      </c>
      <c r="E108" s="7" t="s">
        <v>20</v>
      </c>
      <c r="F108" s="7" t="s">
        <v>20</v>
      </c>
      <c r="G108" s="7" t="s">
        <v>28</v>
      </c>
      <c r="H108" s="7">
        <v>59</v>
      </c>
      <c r="I108" s="5">
        <v>135</v>
      </c>
      <c r="J108" s="5">
        <f t="shared" si="1"/>
        <v>7965</v>
      </c>
      <c r="K108" s="7">
        <v>8</v>
      </c>
      <c r="L108" s="7" t="s">
        <v>33</v>
      </c>
      <c r="M108" s="7"/>
    </row>
    <row r="109" spans="2:13" ht="15.6" thickTop="1" thickBot="1" x14ac:dyDescent="0.35">
      <c r="B109" s="8">
        <v>107</v>
      </c>
      <c r="C109" s="9" t="s">
        <v>10</v>
      </c>
      <c r="D109" s="19">
        <v>45489</v>
      </c>
      <c r="E109" s="9" t="s">
        <v>14</v>
      </c>
      <c r="F109" s="9" t="s">
        <v>25</v>
      </c>
      <c r="G109" s="9" t="s">
        <v>28</v>
      </c>
      <c r="H109" s="9">
        <v>168</v>
      </c>
      <c r="I109" s="5">
        <v>135</v>
      </c>
      <c r="J109" s="5">
        <f t="shared" si="1"/>
        <v>22680</v>
      </c>
      <c r="K109" s="9">
        <v>13</v>
      </c>
      <c r="L109" s="9" t="s">
        <v>34</v>
      </c>
      <c r="M109" s="9">
        <v>1</v>
      </c>
    </row>
    <row r="110" spans="2:13" ht="15.6" thickTop="1" thickBot="1" x14ac:dyDescent="0.35">
      <c r="B110" s="6">
        <v>108</v>
      </c>
      <c r="C110" s="7" t="s">
        <v>10</v>
      </c>
      <c r="D110" s="18">
        <v>45490</v>
      </c>
      <c r="E110" s="7" t="s">
        <v>12</v>
      </c>
      <c r="F110" s="7" t="s">
        <v>23</v>
      </c>
      <c r="G110" s="7" t="s">
        <v>29</v>
      </c>
      <c r="H110" s="7">
        <v>167</v>
      </c>
      <c r="I110" s="5">
        <v>45</v>
      </c>
      <c r="J110" s="5">
        <f t="shared" si="1"/>
        <v>7515</v>
      </c>
      <c r="K110" s="7">
        <v>11</v>
      </c>
      <c r="L110" s="7" t="s">
        <v>34</v>
      </c>
      <c r="M110" s="7">
        <v>5</v>
      </c>
    </row>
    <row r="111" spans="2:13" ht="15.6" thickTop="1" thickBot="1" x14ac:dyDescent="0.35">
      <c r="B111" s="8">
        <v>109</v>
      </c>
      <c r="C111" s="9" t="s">
        <v>10</v>
      </c>
      <c r="D111" s="19">
        <v>45491</v>
      </c>
      <c r="E111" s="9" t="s">
        <v>15</v>
      </c>
      <c r="F111" s="9" t="s">
        <v>25</v>
      </c>
      <c r="G111" s="9" t="s">
        <v>32</v>
      </c>
      <c r="H111" s="9">
        <v>164</v>
      </c>
      <c r="I111" s="5">
        <v>45</v>
      </c>
      <c r="J111" s="5">
        <f t="shared" si="1"/>
        <v>7380</v>
      </c>
      <c r="K111" s="9">
        <v>11</v>
      </c>
      <c r="L111" s="9" t="s">
        <v>34</v>
      </c>
      <c r="M111" s="9">
        <v>2</v>
      </c>
    </row>
    <row r="112" spans="2:13" ht="15.6" thickTop="1" thickBot="1" x14ac:dyDescent="0.35">
      <c r="B112" s="6">
        <v>110</v>
      </c>
      <c r="C112" s="7" t="s">
        <v>10</v>
      </c>
      <c r="D112" s="18">
        <v>45492</v>
      </c>
      <c r="E112" s="7" t="s">
        <v>19</v>
      </c>
      <c r="F112" s="7" t="s">
        <v>23</v>
      </c>
      <c r="G112" s="7" t="s">
        <v>29</v>
      </c>
      <c r="H112" s="7">
        <v>136</v>
      </c>
      <c r="I112" s="5">
        <v>45</v>
      </c>
      <c r="J112" s="5">
        <f t="shared" si="1"/>
        <v>6120</v>
      </c>
      <c r="K112" s="7">
        <v>19</v>
      </c>
      <c r="L112" s="7" t="s">
        <v>33</v>
      </c>
      <c r="M112" s="7">
        <v>2</v>
      </c>
    </row>
    <row r="113" spans="2:13" ht="15.6" thickTop="1" thickBot="1" x14ac:dyDescent="0.35">
      <c r="B113" s="8">
        <v>111</v>
      </c>
      <c r="C113" s="9" t="s">
        <v>11</v>
      </c>
      <c r="D113" s="19">
        <v>45493</v>
      </c>
      <c r="E113" s="9" t="s">
        <v>21</v>
      </c>
      <c r="F113" s="9" t="s">
        <v>26</v>
      </c>
      <c r="G113" s="9" t="s">
        <v>28</v>
      </c>
      <c r="H113" s="9">
        <v>97</v>
      </c>
      <c r="I113" s="5">
        <v>225</v>
      </c>
      <c r="J113" s="5">
        <f t="shared" si="1"/>
        <v>21825</v>
      </c>
      <c r="K113" s="9">
        <v>17</v>
      </c>
      <c r="L113" s="9" t="s">
        <v>35</v>
      </c>
      <c r="M113" s="9">
        <v>2</v>
      </c>
    </row>
    <row r="114" spans="2:13" ht="15.6" thickTop="1" thickBot="1" x14ac:dyDescent="0.35">
      <c r="B114" s="6">
        <v>112</v>
      </c>
      <c r="C114" s="7" t="s">
        <v>11</v>
      </c>
      <c r="D114" s="18">
        <v>45494</v>
      </c>
      <c r="E114" s="7" t="s">
        <v>21</v>
      </c>
      <c r="F114" s="7" t="s">
        <v>26</v>
      </c>
      <c r="G114" s="7" t="s">
        <v>32</v>
      </c>
      <c r="H114" s="7">
        <v>56</v>
      </c>
      <c r="I114" s="5">
        <v>90</v>
      </c>
      <c r="J114" s="5">
        <f t="shared" si="1"/>
        <v>5040</v>
      </c>
      <c r="K114" s="7">
        <v>12</v>
      </c>
      <c r="L114" s="7" t="s">
        <v>33</v>
      </c>
      <c r="M114" s="7">
        <v>4</v>
      </c>
    </row>
    <row r="115" spans="2:13" ht="15.6" thickTop="1" thickBot="1" x14ac:dyDescent="0.35">
      <c r="B115" s="8">
        <v>113</v>
      </c>
      <c r="C115" s="9" t="s">
        <v>10</v>
      </c>
      <c r="D115" s="19">
        <v>45495</v>
      </c>
      <c r="E115" s="9" t="s">
        <v>22</v>
      </c>
      <c r="F115" s="9" t="s">
        <v>25</v>
      </c>
      <c r="G115" s="9" t="s">
        <v>31</v>
      </c>
      <c r="H115" s="9">
        <v>36</v>
      </c>
      <c r="I115" s="5">
        <v>180</v>
      </c>
      <c r="J115" s="5">
        <f t="shared" si="1"/>
        <v>6480</v>
      </c>
      <c r="K115" s="9">
        <v>14</v>
      </c>
      <c r="L115" s="9" t="s">
        <v>33</v>
      </c>
      <c r="M115" s="9">
        <v>5</v>
      </c>
    </row>
    <row r="116" spans="2:13" ht="15.6" thickTop="1" thickBot="1" x14ac:dyDescent="0.35">
      <c r="B116" s="6">
        <v>114</v>
      </c>
      <c r="C116" s="7" t="s">
        <v>11</v>
      </c>
      <c r="D116" s="18">
        <v>45496</v>
      </c>
      <c r="E116" s="7" t="s">
        <v>19</v>
      </c>
      <c r="F116" s="7" t="s">
        <v>23</v>
      </c>
      <c r="G116" s="7" t="s">
        <v>28</v>
      </c>
      <c r="H116" s="7">
        <v>214</v>
      </c>
      <c r="I116" s="5">
        <v>90</v>
      </c>
      <c r="J116" s="5">
        <f t="shared" si="1"/>
        <v>19260</v>
      </c>
      <c r="K116" s="7">
        <v>15</v>
      </c>
      <c r="L116" s="7" t="s">
        <v>33</v>
      </c>
      <c r="M116" s="7">
        <v>4</v>
      </c>
    </row>
    <row r="117" spans="2:13" ht="15.6" thickTop="1" thickBot="1" x14ac:dyDescent="0.35">
      <c r="B117" s="8">
        <v>115</v>
      </c>
      <c r="C117" s="9" t="s">
        <v>11</v>
      </c>
      <c r="D117" s="19">
        <v>45497</v>
      </c>
      <c r="E117" s="9" t="s">
        <v>12</v>
      </c>
      <c r="F117" s="9" t="s">
        <v>23</v>
      </c>
      <c r="G117" s="9" t="s">
        <v>31</v>
      </c>
      <c r="H117" s="9">
        <v>234</v>
      </c>
      <c r="I117" s="5">
        <v>90</v>
      </c>
      <c r="J117" s="5">
        <f t="shared" si="1"/>
        <v>21060</v>
      </c>
      <c r="K117" s="9">
        <v>16</v>
      </c>
      <c r="L117" s="9" t="s">
        <v>34</v>
      </c>
      <c r="M117" s="9">
        <v>3</v>
      </c>
    </row>
    <row r="118" spans="2:13" ht="15.6" thickTop="1" thickBot="1" x14ac:dyDescent="0.35">
      <c r="B118" s="6">
        <v>116</v>
      </c>
      <c r="C118" s="7" t="s">
        <v>11</v>
      </c>
      <c r="D118" s="18">
        <v>45498</v>
      </c>
      <c r="E118" s="7" t="s">
        <v>20</v>
      </c>
      <c r="F118" s="7" t="s">
        <v>20</v>
      </c>
      <c r="G118" s="7" t="s">
        <v>32</v>
      </c>
      <c r="H118" s="7">
        <v>101</v>
      </c>
      <c r="I118" s="5">
        <v>45</v>
      </c>
      <c r="J118" s="5">
        <f t="shared" si="1"/>
        <v>4545</v>
      </c>
      <c r="K118" s="7">
        <v>13</v>
      </c>
      <c r="L118" s="7" t="s">
        <v>35</v>
      </c>
      <c r="M118" s="7">
        <v>5</v>
      </c>
    </row>
    <row r="119" spans="2:13" ht="15.6" thickTop="1" thickBot="1" x14ac:dyDescent="0.35">
      <c r="B119" s="8">
        <v>117</v>
      </c>
      <c r="C119" s="9" t="s">
        <v>11</v>
      </c>
      <c r="D119" s="19">
        <v>45499</v>
      </c>
      <c r="E119" s="9" t="s">
        <v>12</v>
      </c>
      <c r="F119" s="9" t="s">
        <v>23</v>
      </c>
      <c r="G119" s="9" t="s">
        <v>32</v>
      </c>
      <c r="H119" s="9">
        <v>136</v>
      </c>
      <c r="I119" s="5">
        <v>45</v>
      </c>
      <c r="J119" s="5">
        <f t="shared" si="1"/>
        <v>6120</v>
      </c>
      <c r="K119" s="9">
        <v>11</v>
      </c>
      <c r="L119" s="9" t="s">
        <v>35</v>
      </c>
      <c r="M119" s="9">
        <v>2</v>
      </c>
    </row>
    <row r="120" spans="2:13" ht="15.6" thickTop="1" thickBot="1" x14ac:dyDescent="0.35">
      <c r="B120" s="6">
        <v>118</v>
      </c>
      <c r="C120" s="7" t="s">
        <v>10</v>
      </c>
      <c r="D120" s="18">
        <v>45500</v>
      </c>
      <c r="E120" s="7" t="s">
        <v>22</v>
      </c>
      <c r="F120" s="7" t="s">
        <v>25</v>
      </c>
      <c r="G120" s="7" t="s">
        <v>29</v>
      </c>
      <c r="H120" s="7">
        <v>219</v>
      </c>
      <c r="I120" s="5">
        <v>135</v>
      </c>
      <c r="J120" s="5">
        <f t="shared" si="1"/>
        <v>29565</v>
      </c>
      <c r="K120" s="7">
        <v>25</v>
      </c>
      <c r="L120" s="7" t="s">
        <v>33</v>
      </c>
      <c r="M120" s="7">
        <v>5</v>
      </c>
    </row>
    <row r="121" spans="2:13" ht="15.6" thickTop="1" thickBot="1" x14ac:dyDescent="0.35">
      <c r="B121" s="8">
        <v>119</v>
      </c>
      <c r="C121" s="9" t="s">
        <v>10</v>
      </c>
      <c r="D121" s="19">
        <v>45501</v>
      </c>
      <c r="E121" s="9" t="s">
        <v>13</v>
      </c>
      <c r="F121" s="9" t="s">
        <v>24</v>
      </c>
      <c r="G121" s="9" t="s">
        <v>32</v>
      </c>
      <c r="H121" s="9">
        <v>177</v>
      </c>
      <c r="I121" s="5">
        <v>180</v>
      </c>
      <c r="J121" s="5">
        <f t="shared" si="1"/>
        <v>31860</v>
      </c>
      <c r="K121" s="9">
        <v>23</v>
      </c>
      <c r="L121" s="9" t="s">
        <v>33</v>
      </c>
      <c r="M121" s="9">
        <v>3</v>
      </c>
    </row>
    <row r="122" spans="2:13" ht="15.6" thickTop="1" thickBot="1" x14ac:dyDescent="0.35">
      <c r="B122" s="6">
        <v>120</v>
      </c>
      <c r="C122" s="7" t="s">
        <v>11</v>
      </c>
      <c r="D122" s="18">
        <v>45502</v>
      </c>
      <c r="E122" s="7" t="s">
        <v>21</v>
      </c>
      <c r="F122" s="7" t="s">
        <v>26</v>
      </c>
      <c r="G122" s="7" t="s">
        <v>32</v>
      </c>
      <c r="H122" s="7">
        <v>239</v>
      </c>
      <c r="I122" s="5">
        <v>90</v>
      </c>
      <c r="J122" s="5">
        <f t="shared" si="1"/>
        <v>21510</v>
      </c>
      <c r="K122" s="7">
        <v>8</v>
      </c>
      <c r="L122" s="7" t="s">
        <v>35</v>
      </c>
      <c r="M122" s="7">
        <v>4</v>
      </c>
    </row>
    <row r="123" spans="2:13" ht="15.6" thickTop="1" thickBot="1" x14ac:dyDescent="0.35">
      <c r="B123" s="8">
        <v>121</v>
      </c>
      <c r="C123" s="9" t="s">
        <v>10</v>
      </c>
      <c r="D123" s="19">
        <v>45503</v>
      </c>
      <c r="E123" s="9" t="s">
        <v>14</v>
      </c>
      <c r="F123" s="9" t="s">
        <v>25</v>
      </c>
      <c r="G123" s="9" t="s">
        <v>28</v>
      </c>
      <c r="H123" s="9">
        <v>128</v>
      </c>
      <c r="I123" s="5">
        <v>90</v>
      </c>
      <c r="J123" s="5">
        <f t="shared" si="1"/>
        <v>11520</v>
      </c>
      <c r="K123" s="9">
        <v>20</v>
      </c>
      <c r="L123" s="9" t="s">
        <v>33</v>
      </c>
      <c r="M123" s="9">
        <v>5</v>
      </c>
    </row>
    <row r="124" spans="2:13" ht="15.6" thickTop="1" thickBot="1" x14ac:dyDescent="0.35">
      <c r="B124" s="6">
        <v>122</v>
      </c>
      <c r="C124" s="7" t="s">
        <v>10</v>
      </c>
      <c r="D124" s="18">
        <v>45504</v>
      </c>
      <c r="E124" s="7" t="s">
        <v>16</v>
      </c>
      <c r="F124" s="7" t="s">
        <v>26</v>
      </c>
      <c r="G124" s="7" t="s">
        <v>30</v>
      </c>
      <c r="H124" s="7">
        <v>249</v>
      </c>
      <c r="I124" s="5">
        <v>225</v>
      </c>
      <c r="J124" s="5">
        <f t="shared" si="1"/>
        <v>56025</v>
      </c>
      <c r="K124" s="7">
        <v>13</v>
      </c>
      <c r="L124" s="7" t="s">
        <v>34</v>
      </c>
      <c r="M124" s="7">
        <v>4</v>
      </c>
    </row>
    <row r="125" spans="2:13" ht="15.6" thickTop="1" thickBot="1" x14ac:dyDescent="0.35">
      <c r="B125" s="8">
        <v>123</v>
      </c>
      <c r="C125" s="9" t="s">
        <v>11</v>
      </c>
      <c r="D125" s="19">
        <v>45505</v>
      </c>
      <c r="E125" s="9" t="s">
        <v>16</v>
      </c>
      <c r="F125" s="9" t="s">
        <v>26</v>
      </c>
      <c r="G125" s="9" t="s">
        <v>28</v>
      </c>
      <c r="H125" s="9">
        <v>124</v>
      </c>
      <c r="I125" s="5">
        <v>135</v>
      </c>
      <c r="J125" s="5">
        <f t="shared" si="1"/>
        <v>16740</v>
      </c>
      <c r="K125" s="9">
        <v>18</v>
      </c>
      <c r="L125" s="9" t="s">
        <v>33</v>
      </c>
      <c r="M125" s="9">
        <v>2</v>
      </c>
    </row>
    <row r="126" spans="2:13" ht="15.6" thickTop="1" thickBot="1" x14ac:dyDescent="0.35">
      <c r="B126" s="6">
        <v>124</v>
      </c>
      <c r="C126" s="7" t="s">
        <v>11</v>
      </c>
      <c r="D126" s="18">
        <v>45506</v>
      </c>
      <c r="E126" s="7" t="s">
        <v>15</v>
      </c>
      <c r="F126" s="7" t="s">
        <v>25</v>
      </c>
      <c r="G126" s="7" t="s">
        <v>28</v>
      </c>
      <c r="H126" s="7">
        <v>238</v>
      </c>
      <c r="I126" s="5">
        <v>180</v>
      </c>
      <c r="J126" s="5">
        <f t="shared" si="1"/>
        <v>42840</v>
      </c>
      <c r="K126" s="7">
        <v>19</v>
      </c>
      <c r="L126" s="7" t="s">
        <v>35</v>
      </c>
      <c r="M126" s="7">
        <v>3</v>
      </c>
    </row>
    <row r="127" spans="2:13" ht="15.6" thickTop="1" thickBot="1" x14ac:dyDescent="0.35">
      <c r="B127" s="8">
        <v>125</v>
      </c>
      <c r="C127" s="9" t="s">
        <v>11</v>
      </c>
      <c r="D127" s="19">
        <v>45507</v>
      </c>
      <c r="E127" s="9" t="s">
        <v>19</v>
      </c>
      <c r="F127" s="9" t="s">
        <v>23</v>
      </c>
      <c r="G127" s="9" t="s">
        <v>29</v>
      </c>
      <c r="H127" s="9">
        <v>231</v>
      </c>
      <c r="I127" s="5">
        <v>90</v>
      </c>
      <c r="J127" s="5">
        <f t="shared" si="1"/>
        <v>20790</v>
      </c>
      <c r="K127" s="9">
        <v>18</v>
      </c>
      <c r="L127" s="9" t="s">
        <v>35</v>
      </c>
      <c r="M127" s="9">
        <v>5</v>
      </c>
    </row>
    <row r="128" spans="2:13" ht="15.6" thickTop="1" thickBot="1" x14ac:dyDescent="0.35">
      <c r="B128" s="6">
        <v>126</v>
      </c>
      <c r="C128" s="7" t="s">
        <v>11</v>
      </c>
      <c r="D128" s="18">
        <v>45508</v>
      </c>
      <c r="E128" s="7" t="s">
        <v>18</v>
      </c>
      <c r="F128" s="7" t="s">
        <v>27</v>
      </c>
      <c r="G128" s="7" t="s">
        <v>28</v>
      </c>
      <c r="H128" s="7">
        <v>153</v>
      </c>
      <c r="I128" s="5">
        <v>45</v>
      </c>
      <c r="J128" s="5">
        <f t="shared" si="1"/>
        <v>6885</v>
      </c>
      <c r="K128" s="7">
        <v>12</v>
      </c>
      <c r="L128" s="7" t="s">
        <v>35</v>
      </c>
      <c r="M128" s="7">
        <v>4</v>
      </c>
    </row>
    <row r="129" spans="2:13" ht="15.6" thickTop="1" thickBot="1" x14ac:dyDescent="0.35">
      <c r="B129" s="8">
        <v>127</v>
      </c>
      <c r="C129" s="9" t="s">
        <v>10</v>
      </c>
      <c r="D129" s="19">
        <v>45509</v>
      </c>
      <c r="E129" s="9" t="s">
        <v>19</v>
      </c>
      <c r="F129" s="9" t="s">
        <v>23</v>
      </c>
      <c r="G129" s="9" t="s">
        <v>29</v>
      </c>
      <c r="H129" s="9">
        <v>101</v>
      </c>
      <c r="I129" s="5">
        <v>45</v>
      </c>
      <c r="J129" s="5">
        <f t="shared" si="1"/>
        <v>4545</v>
      </c>
      <c r="K129" s="9">
        <v>19</v>
      </c>
      <c r="L129" s="9" t="s">
        <v>33</v>
      </c>
      <c r="M129" s="9"/>
    </row>
    <row r="130" spans="2:13" ht="15.6" thickTop="1" thickBot="1" x14ac:dyDescent="0.35">
      <c r="B130" s="6">
        <v>128</v>
      </c>
      <c r="C130" s="7" t="s">
        <v>11</v>
      </c>
      <c r="D130" s="18">
        <v>45510</v>
      </c>
      <c r="E130" s="7" t="s">
        <v>15</v>
      </c>
      <c r="F130" s="7" t="s">
        <v>25</v>
      </c>
      <c r="G130" s="7" t="s">
        <v>31</v>
      </c>
      <c r="H130" s="7">
        <v>161</v>
      </c>
      <c r="I130" s="5">
        <v>135</v>
      </c>
      <c r="J130" s="5">
        <f t="shared" si="1"/>
        <v>21735</v>
      </c>
      <c r="K130" s="7">
        <v>19</v>
      </c>
      <c r="L130" s="7" t="s">
        <v>33</v>
      </c>
      <c r="M130" s="7">
        <v>3</v>
      </c>
    </row>
    <row r="131" spans="2:13" ht="15.6" thickTop="1" thickBot="1" x14ac:dyDescent="0.35">
      <c r="B131" s="8">
        <v>129</v>
      </c>
      <c r="C131" s="9" t="s">
        <v>11</v>
      </c>
      <c r="D131" s="19">
        <v>45511</v>
      </c>
      <c r="E131" s="9" t="s">
        <v>21</v>
      </c>
      <c r="F131" s="9" t="s">
        <v>26</v>
      </c>
      <c r="G131" s="9" t="s">
        <v>31</v>
      </c>
      <c r="H131" s="9">
        <v>180</v>
      </c>
      <c r="I131" s="5">
        <v>135</v>
      </c>
      <c r="J131" s="5">
        <f t="shared" si="1"/>
        <v>24300</v>
      </c>
      <c r="K131" s="9">
        <v>9</v>
      </c>
      <c r="L131" s="9" t="s">
        <v>35</v>
      </c>
      <c r="M131" s="9">
        <v>1</v>
      </c>
    </row>
    <row r="132" spans="2:13" ht="15.6" thickTop="1" thickBot="1" x14ac:dyDescent="0.35">
      <c r="B132" s="6">
        <v>130</v>
      </c>
      <c r="C132" s="7" t="s">
        <v>10</v>
      </c>
      <c r="D132" s="18">
        <v>45512</v>
      </c>
      <c r="E132" s="7" t="s">
        <v>20</v>
      </c>
      <c r="F132" s="7" t="s">
        <v>20</v>
      </c>
      <c r="G132" s="7" t="s">
        <v>31</v>
      </c>
      <c r="H132" s="7">
        <v>63</v>
      </c>
      <c r="I132" s="5">
        <v>45</v>
      </c>
      <c r="J132" s="5">
        <f t="shared" ref="J132:J195" si="2">H132*I132</f>
        <v>2835</v>
      </c>
      <c r="K132" s="7">
        <v>24</v>
      </c>
      <c r="L132" s="7" t="s">
        <v>33</v>
      </c>
      <c r="M132" s="7">
        <v>5</v>
      </c>
    </row>
    <row r="133" spans="2:13" ht="15.6" thickTop="1" thickBot="1" x14ac:dyDescent="0.35">
      <c r="B133" s="8">
        <v>131</v>
      </c>
      <c r="C133" s="9" t="s">
        <v>10</v>
      </c>
      <c r="D133" s="19">
        <v>45513</v>
      </c>
      <c r="E133" s="9" t="s">
        <v>17</v>
      </c>
      <c r="F133" s="9" t="s">
        <v>24</v>
      </c>
      <c r="G133" s="9" t="s">
        <v>32</v>
      </c>
      <c r="H133" s="9">
        <v>64</v>
      </c>
      <c r="I133" s="5">
        <v>45</v>
      </c>
      <c r="J133" s="5">
        <f t="shared" si="2"/>
        <v>2880</v>
      </c>
      <c r="K133" s="9">
        <v>19</v>
      </c>
      <c r="L133" s="9" t="s">
        <v>33</v>
      </c>
      <c r="M133" s="9"/>
    </row>
    <row r="134" spans="2:13" ht="15.6" thickTop="1" thickBot="1" x14ac:dyDescent="0.35">
      <c r="B134" s="6">
        <v>132</v>
      </c>
      <c r="C134" s="7" t="s">
        <v>11</v>
      </c>
      <c r="D134" s="18">
        <v>45514</v>
      </c>
      <c r="E134" s="7" t="s">
        <v>20</v>
      </c>
      <c r="F134" s="7" t="s">
        <v>20</v>
      </c>
      <c r="G134" s="7" t="s">
        <v>29</v>
      </c>
      <c r="H134" s="7">
        <v>206</v>
      </c>
      <c r="I134" s="5">
        <v>135</v>
      </c>
      <c r="J134" s="5">
        <f t="shared" si="2"/>
        <v>27810</v>
      </c>
      <c r="K134" s="7">
        <v>8</v>
      </c>
      <c r="L134" s="7" t="s">
        <v>33</v>
      </c>
      <c r="M134" s="7">
        <v>4</v>
      </c>
    </row>
    <row r="135" spans="2:13" ht="15.6" thickTop="1" thickBot="1" x14ac:dyDescent="0.35">
      <c r="B135" s="8">
        <v>133</v>
      </c>
      <c r="C135" s="9" t="s">
        <v>11</v>
      </c>
      <c r="D135" s="19">
        <v>45515</v>
      </c>
      <c r="E135" s="9" t="s">
        <v>19</v>
      </c>
      <c r="F135" s="9" t="s">
        <v>23</v>
      </c>
      <c r="G135" s="9" t="s">
        <v>29</v>
      </c>
      <c r="H135" s="9">
        <v>89</v>
      </c>
      <c r="I135" s="5">
        <v>45</v>
      </c>
      <c r="J135" s="5">
        <f t="shared" si="2"/>
        <v>4005</v>
      </c>
      <c r="K135" s="9">
        <v>17</v>
      </c>
      <c r="L135" s="9" t="s">
        <v>35</v>
      </c>
      <c r="M135" s="9"/>
    </row>
    <row r="136" spans="2:13" ht="15.6" thickTop="1" thickBot="1" x14ac:dyDescent="0.35">
      <c r="B136" s="6">
        <v>134</v>
      </c>
      <c r="C136" s="7" t="s">
        <v>10</v>
      </c>
      <c r="D136" s="18">
        <v>45516</v>
      </c>
      <c r="E136" s="7" t="s">
        <v>16</v>
      </c>
      <c r="F136" s="7" t="s">
        <v>26</v>
      </c>
      <c r="G136" s="7" t="s">
        <v>28</v>
      </c>
      <c r="H136" s="7">
        <v>40</v>
      </c>
      <c r="I136" s="5">
        <v>45</v>
      </c>
      <c r="J136" s="5">
        <f t="shared" si="2"/>
        <v>1800</v>
      </c>
      <c r="K136" s="7">
        <v>24</v>
      </c>
      <c r="L136" s="7" t="s">
        <v>35</v>
      </c>
      <c r="M136" s="7">
        <v>4</v>
      </c>
    </row>
    <row r="137" spans="2:13" ht="15.6" thickTop="1" thickBot="1" x14ac:dyDescent="0.35">
      <c r="B137" s="8">
        <v>135</v>
      </c>
      <c r="C137" s="9" t="s">
        <v>11</v>
      </c>
      <c r="D137" s="19">
        <v>45517</v>
      </c>
      <c r="E137" s="9" t="s">
        <v>17</v>
      </c>
      <c r="F137" s="9" t="s">
        <v>24</v>
      </c>
      <c r="G137" s="9" t="s">
        <v>31</v>
      </c>
      <c r="H137" s="9">
        <v>110</v>
      </c>
      <c r="I137" s="5">
        <v>180</v>
      </c>
      <c r="J137" s="5">
        <f t="shared" si="2"/>
        <v>19800</v>
      </c>
      <c r="K137" s="9">
        <v>9</v>
      </c>
      <c r="L137" s="9" t="s">
        <v>35</v>
      </c>
      <c r="M137" s="9">
        <v>1</v>
      </c>
    </row>
    <row r="138" spans="2:13" ht="15.6" thickTop="1" thickBot="1" x14ac:dyDescent="0.35">
      <c r="B138" s="6">
        <v>136</v>
      </c>
      <c r="C138" s="7" t="s">
        <v>11</v>
      </c>
      <c r="D138" s="18">
        <v>45518</v>
      </c>
      <c r="E138" s="7" t="s">
        <v>15</v>
      </c>
      <c r="F138" s="7" t="s">
        <v>25</v>
      </c>
      <c r="G138" s="7" t="s">
        <v>30</v>
      </c>
      <c r="H138" s="7">
        <v>180</v>
      </c>
      <c r="I138" s="5">
        <v>225</v>
      </c>
      <c r="J138" s="5">
        <f t="shared" si="2"/>
        <v>40500</v>
      </c>
      <c r="K138" s="7">
        <v>18</v>
      </c>
      <c r="L138" s="7" t="s">
        <v>35</v>
      </c>
      <c r="M138" s="7">
        <v>2</v>
      </c>
    </row>
    <row r="139" spans="2:13" ht="15.6" thickTop="1" thickBot="1" x14ac:dyDescent="0.35">
      <c r="B139" s="8">
        <v>137</v>
      </c>
      <c r="C139" s="9" t="s">
        <v>10</v>
      </c>
      <c r="D139" s="19">
        <v>45519</v>
      </c>
      <c r="E139" s="9" t="s">
        <v>18</v>
      </c>
      <c r="F139" s="9" t="s">
        <v>27</v>
      </c>
      <c r="G139" s="9" t="s">
        <v>31</v>
      </c>
      <c r="H139" s="9">
        <v>158</v>
      </c>
      <c r="I139" s="5">
        <v>45</v>
      </c>
      <c r="J139" s="5">
        <f t="shared" si="2"/>
        <v>7110</v>
      </c>
      <c r="K139" s="9">
        <v>11</v>
      </c>
      <c r="L139" s="9" t="s">
        <v>35</v>
      </c>
      <c r="M139" s="9">
        <v>3</v>
      </c>
    </row>
    <row r="140" spans="2:13" ht="15.6" thickTop="1" thickBot="1" x14ac:dyDescent="0.35">
      <c r="B140" s="6">
        <v>138</v>
      </c>
      <c r="C140" s="7" t="s">
        <v>10</v>
      </c>
      <c r="D140" s="18">
        <v>45520</v>
      </c>
      <c r="E140" s="7" t="s">
        <v>22</v>
      </c>
      <c r="F140" s="7" t="s">
        <v>25</v>
      </c>
      <c r="G140" s="7" t="s">
        <v>30</v>
      </c>
      <c r="H140" s="7">
        <v>73</v>
      </c>
      <c r="I140" s="5">
        <v>90</v>
      </c>
      <c r="J140" s="5">
        <f t="shared" si="2"/>
        <v>6570</v>
      </c>
      <c r="K140" s="7">
        <v>21</v>
      </c>
      <c r="L140" s="7" t="s">
        <v>34</v>
      </c>
      <c r="M140" s="7">
        <v>5</v>
      </c>
    </row>
    <row r="141" spans="2:13" ht="15.6" thickTop="1" thickBot="1" x14ac:dyDescent="0.35">
      <c r="B141" s="8">
        <v>139</v>
      </c>
      <c r="C141" s="9" t="s">
        <v>11</v>
      </c>
      <c r="D141" s="19">
        <v>45521</v>
      </c>
      <c r="E141" s="9" t="s">
        <v>18</v>
      </c>
      <c r="F141" s="9" t="s">
        <v>27</v>
      </c>
      <c r="G141" s="9" t="s">
        <v>28</v>
      </c>
      <c r="H141" s="9">
        <v>127</v>
      </c>
      <c r="I141" s="5">
        <v>45</v>
      </c>
      <c r="J141" s="5">
        <f t="shared" si="2"/>
        <v>5715</v>
      </c>
      <c r="K141" s="9">
        <v>13</v>
      </c>
      <c r="L141" s="9" t="s">
        <v>34</v>
      </c>
      <c r="M141" s="9">
        <v>3</v>
      </c>
    </row>
    <row r="142" spans="2:13" ht="15.6" thickTop="1" thickBot="1" x14ac:dyDescent="0.35">
      <c r="B142" s="6">
        <v>140</v>
      </c>
      <c r="C142" s="7" t="s">
        <v>10</v>
      </c>
      <c r="D142" s="18">
        <v>45522</v>
      </c>
      <c r="E142" s="7" t="s">
        <v>21</v>
      </c>
      <c r="F142" s="7" t="s">
        <v>26</v>
      </c>
      <c r="G142" s="7" t="s">
        <v>30</v>
      </c>
      <c r="H142" s="7">
        <v>157</v>
      </c>
      <c r="I142" s="5">
        <v>90</v>
      </c>
      <c r="J142" s="5">
        <f t="shared" si="2"/>
        <v>14130</v>
      </c>
      <c r="K142" s="7">
        <v>10</v>
      </c>
      <c r="L142" s="7" t="s">
        <v>33</v>
      </c>
      <c r="M142" s="7">
        <v>2</v>
      </c>
    </row>
    <row r="143" spans="2:13" ht="15.6" thickTop="1" thickBot="1" x14ac:dyDescent="0.35">
      <c r="B143" s="8">
        <v>141</v>
      </c>
      <c r="C143" s="9" t="s">
        <v>10</v>
      </c>
      <c r="D143" s="19">
        <v>45523</v>
      </c>
      <c r="E143" s="9" t="s">
        <v>19</v>
      </c>
      <c r="F143" s="9" t="s">
        <v>23</v>
      </c>
      <c r="G143" s="9" t="s">
        <v>28</v>
      </c>
      <c r="H143" s="9">
        <v>150</v>
      </c>
      <c r="I143" s="5">
        <v>45</v>
      </c>
      <c r="J143" s="5">
        <f t="shared" si="2"/>
        <v>6750</v>
      </c>
      <c r="K143" s="9">
        <v>17</v>
      </c>
      <c r="L143" s="9" t="s">
        <v>33</v>
      </c>
      <c r="M143" s="9">
        <v>1</v>
      </c>
    </row>
    <row r="144" spans="2:13" ht="15.6" thickTop="1" thickBot="1" x14ac:dyDescent="0.35">
      <c r="B144" s="6">
        <v>142</v>
      </c>
      <c r="C144" s="7" t="s">
        <v>11</v>
      </c>
      <c r="D144" s="18">
        <v>45524</v>
      </c>
      <c r="E144" s="7" t="s">
        <v>17</v>
      </c>
      <c r="F144" s="7" t="s">
        <v>24</v>
      </c>
      <c r="G144" s="7" t="s">
        <v>32</v>
      </c>
      <c r="H144" s="7">
        <v>133</v>
      </c>
      <c r="I144" s="5">
        <v>135</v>
      </c>
      <c r="J144" s="5">
        <f t="shared" si="2"/>
        <v>17955</v>
      </c>
      <c r="K144" s="7">
        <v>12</v>
      </c>
      <c r="L144" s="7" t="s">
        <v>33</v>
      </c>
      <c r="M144" s="7">
        <v>2</v>
      </c>
    </row>
    <row r="145" spans="2:13" ht="15.6" thickTop="1" thickBot="1" x14ac:dyDescent="0.35">
      <c r="B145" s="8">
        <v>143</v>
      </c>
      <c r="C145" s="9" t="s">
        <v>10</v>
      </c>
      <c r="D145" s="19">
        <v>45525</v>
      </c>
      <c r="E145" s="9" t="s">
        <v>21</v>
      </c>
      <c r="F145" s="9" t="s">
        <v>26</v>
      </c>
      <c r="G145" s="9" t="s">
        <v>30</v>
      </c>
      <c r="H145" s="9">
        <v>153</v>
      </c>
      <c r="I145" s="5">
        <v>135</v>
      </c>
      <c r="J145" s="5">
        <f t="shared" si="2"/>
        <v>20655</v>
      </c>
      <c r="K145" s="9">
        <v>15</v>
      </c>
      <c r="L145" s="9" t="s">
        <v>34</v>
      </c>
      <c r="M145" s="9">
        <v>4</v>
      </c>
    </row>
    <row r="146" spans="2:13" ht="15.6" thickTop="1" thickBot="1" x14ac:dyDescent="0.35">
      <c r="B146" s="6">
        <v>144</v>
      </c>
      <c r="C146" s="7" t="s">
        <v>11</v>
      </c>
      <c r="D146" s="18">
        <v>45526</v>
      </c>
      <c r="E146" s="7" t="s">
        <v>22</v>
      </c>
      <c r="F146" s="7" t="s">
        <v>25</v>
      </c>
      <c r="G146" s="7" t="s">
        <v>30</v>
      </c>
      <c r="H146" s="7">
        <v>96</v>
      </c>
      <c r="I146" s="5">
        <v>135</v>
      </c>
      <c r="J146" s="5">
        <f t="shared" si="2"/>
        <v>12960</v>
      </c>
      <c r="K146" s="7">
        <v>16</v>
      </c>
      <c r="L146" s="7" t="s">
        <v>33</v>
      </c>
      <c r="M146" s="7">
        <v>4</v>
      </c>
    </row>
    <row r="147" spans="2:13" ht="15.6" thickTop="1" thickBot="1" x14ac:dyDescent="0.35">
      <c r="B147" s="8">
        <v>145</v>
      </c>
      <c r="C147" s="9" t="s">
        <v>10</v>
      </c>
      <c r="D147" s="19">
        <v>45527</v>
      </c>
      <c r="E147" s="9" t="s">
        <v>13</v>
      </c>
      <c r="F147" s="9" t="s">
        <v>24</v>
      </c>
      <c r="G147" s="9" t="s">
        <v>29</v>
      </c>
      <c r="H147" s="9">
        <v>220</v>
      </c>
      <c r="I147" s="5">
        <v>45</v>
      </c>
      <c r="J147" s="5">
        <f t="shared" si="2"/>
        <v>9900</v>
      </c>
      <c r="K147" s="9">
        <v>18</v>
      </c>
      <c r="L147" s="9" t="s">
        <v>33</v>
      </c>
      <c r="M147" s="9">
        <v>5</v>
      </c>
    </row>
    <row r="148" spans="2:13" ht="15.6" thickTop="1" thickBot="1" x14ac:dyDescent="0.35">
      <c r="B148" s="6">
        <v>146</v>
      </c>
      <c r="C148" s="7" t="s">
        <v>10</v>
      </c>
      <c r="D148" s="18">
        <v>45528</v>
      </c>
      <c r="E148" s="7" t="s">
        <v>22</v>
      </c>
      <c r="F148" s="7" t="s">
        <v>25</v>
      </c>
      <c r="G148" s="7" t="s">
        <v>31</v>
      </c>
      <c r="H148" s="7">
        <v>227</v>
      </c>
      <c r="I148" s="5">
        <v>45</v>
      </c>
      <c r="J148" s="5">
        <f t="shared" si="2"/>
        <v>10215</v>
      </c>
      <c r="K148" s="7">
        <v>24</v>
      </c>
      <c r="L148" s="7" t="s">
        <v>35</v>
      </c>
      <c r="M148" s="7">
        <v>2</v>
      </c>
    </row>
    <row r="149" spans="2:13" ht="15.6" thickTop="1" thickBot="1" x14ac:dyDescent="0.35">
      <c r="B149" s="8">
        <v>147</v>
      </c>
      <c r="C149" s="9" t="s">
        <v>10</v>
      </c>
      <c r="D149" s="19">
        <v>45529</v>
      </c>
      <c r="E149" s="9" t="s">
        <v>19</v>
      </c>
      <c r="F149" s="9" t="s">
        <v>23</v>
      </c>
      <c r="G149" s="9" t="s">
        <v>30</v>
      </c>
      <c r="H149" s="9">
        <v>160</v>
      </c>
      <c r="I149" s="5">
        <v>225</v>
      </c>
      <c r="J149" s="5">
        <f t="shared" si="2"/>
        <v>36000</v>
      </c>
      <c r="K149" s="9">
        <v>16</v>
      </c>
      <c r="L149" s="9" t="s">
        <v>35</v>
      </c>
      <c r="M149" s="9">
        <v>4</v>
      </c>
    </row>
    <row r="150" spans="2:13" ht="15.6" thickTop="1" thickBot="1" x14ac:dyDescent="0.35">
      <c r="B150" s="6">
        <v>148</v>
      </c>
      <c r="C150" s="7" t="s">
        <v>11</v>
      </c>
      <c r="D150" s="18">
        <v>45530</v>
      </c>
      <c r="E150" s="7" t="s">
        <v>15</v>
      </c>
      <c r="F150" s="7" t="s">
        <v>25</v>
      </c>
      <c r="G150" s="7" t="s">
        <v>32</v>
      </c>
      <c r="H150" s="7">
        <v>34</v>
      </c>
      <c r="I150" s="5">
        <v>45</v>
      </c>
      <c r="J150" s="5">
        <f t="shared" si="2"/>
        <v>1530</v>
      </c>
      <c r="K150" s="7">
        <v>9</v>
      </c>
      <c r="L150" s="7" t="s">
        <v>34</v>
      </c>
      <c r="M150" s="7"/>
    </row>
    <row r="151" spans="2:13" ht="15.6" thickTop="1" thickBot="1" x14ac:dyDescent="0.35">
      <c r="B151" s="8">
        <v>149</v>
      </c>
      <c r="C151" s="9" t="s">
        <v>10</v>
      </c>
      <c r="D151" s="19">
        <v>45531</v>
      </c>
      <c r="E151" s="9" t="s">
        <v>19</v>
      </c>
      <c r="F151" s="9" t="s">
        <v>23</v>
      </c>
      <c r="G151" s="9" t="s">
        <v>32</v>
      </c>
      <c r="H151" s="9">
        <v>36</v>
      </c>
      <c r="I151" s="5">
        <v>225</v>
      </c>
      <c r="J151" s="5">
        <f t="shared" si="2"/>
        <v>8100</v>
      </c>
      <c r="K151" s="9">
        <v>20</v>
      </c>
      <c r="L151" s="9" t="s">
        <v>33</v>
      </c>
      <c r="M151" s="9">
        <v>1</v>
      </c>
    </row>
    <row r="152" spans="2:13" ht="15.6" thickTop="1" thickBot="1" x14ac:dyDescent="0.35">
      <c r="B152" s="6">
        <v>150</v>
      </c>
      <c r="C152" s="7" t="s">
        <v>11</v>
      </c>
      <c r="D152" s="18">
        <v>45532</v>
      </c>
      <c r="E152" s="7" t="s">
        <v>17</v>
      </c>
      <c r="F152" s="7" t="s">
        <v>24</v>
      </c>
      <c r="G152" s="7" t="s">
        <v>32</v>
      </c>
      <c r="H152" s="7">
        <v>126</v>
      </c>
      <c r="I152" s="5">
        <v>45</v>
      </c>
      <c r="J152" s="5">
        <f t="shared" si="2"/>
        <v>5670</v>
      </c>
      <c r="K152" s="7">
        <v>10</v>
      </c>
      <c r="L152" s="7" t="s">
        <v>35</v>
      </c>
      <c r="M152" s="7">
        <v>1</v>
      </c>
    </row>
    <row r="153" spans="2:13" ht="15.6" thickTop="1" thickBot="1" x14ac:dyDescent="0.35">
      <c r="B153" s="8">
        <v>151</v>
      </c>
      <c r="C153" s="9" t="s">
        <v>10</v>
      </c>
      <c r="D153" s="19">
        <v>45533</v>
      </c>
      <c r="E153" s="9" t="s">
        <v>15</v>
      </c>
      <c r="F153" s="9" t="s">
        <v>25</v>
      </c>
      <c r="G153" s="9" t="s">
        <v>31</v>
      </c>
      <c r="H153" s="9">
        <v>203</v>
      </c>
      <c r="I153" s="5">
        <v>90</v>
      </c>
      <c r="J153" s="5">
        <f t="shared" si="2"/>
        <v>18270</v>
      </c>
      <c r="K153" s="9">
        <v>18</v>
      </c>
      <c r="L153" s="9" t="s">
        <v>35</v>
      </c>
      <c r="M153" s="9">
        <v>5</v>
      </c>
    </row>
    <row r="154" spans="2:13" ht="15.6" thickTop="1" thickBot="1" x14ac:dyDescent="0.35">
      <c r="B154" s="6">
        <v>152</v>
      </c>
      <c r="C154" s="7" t="s">
        <v>11</v>
      </c>
      <c r="D154" s="18">
        <v>45534</v>
      </c>
      <c r="E154" s="7" t="s">
        <v>15</v>
      </c>
      <c r="F154" s="7" t="s">
        <v>25</v>
      </c>
      <c r="G154" s="7" t="s">
        <v>31</v>
      </c>
      <c r="H154" s="7">
        <v>147</v>
      </c>
      <c r="I154" s="5">
        <v>135</v>
      </c>
      <c r="J154" s="5">
        <f t="shared" si="2"/>
        <v>19845</v>
      </c>
      <c r="K154" s="7">
        <v>12</v>
      </c>
      <c r="L154" s="7" t="s">
        <v>33</v>
      </c>
      <c r="M154" s="7">
        <v>1</v>
      </c>
    </row>
    <row r="155" spans="2:13" ht="15.6" thickTop="1" thickBot="1" x14ac:dyDescent="0.35">
      <c r="B155" s="8">
        <v>153</v>
      </c>
      <c r="C155" s="9" t="s">
        <v>11</v>
      </c>
      <c r="D155" s="19">
        <v>45535</v>
      </c>
      <c r="E155" s="9" t="s">
        <v>21</v>
      </c>
      <c r="F155" s="9" t="s">
        <v>26</v>
      </c>
      <c r="G155" s="9" t="s">
        <v>29</v>
      </c>
      <c r="H155" s="9">
        <v>80</v>
      </c>
      <c r="I155" s="5">
        <v>135</v>
      </c>
      <c r="J155" s="5">
        <f t="shared" si="2"/>
        <v>10800</v>
      </c>
      <c r="K155" s="9">
        <v>12</v>
      </c>
      <c r="L155" s="9" t="s">
        <v>35</v>
      </c>
      <c r="M155" s="9">
        <v>1</v>
      </c>
    </row>
    <row r="156" spans="2:13" ht="15.6" thickTop="1" thickBot="1" x14ac:dyDescent="0.35">
      <c r="B156" s="6">
        <v>154</v>
      </c>
      <c r="C156" s="7" t="s">
        <v>11</v>
      </c>
      <c r="D156" s="18">
        <v>45536</v>
      </c>
      <c r="E156" s="7" t="s">
        <v>22</v>
      </c>
      <c r="F156" s="7" t="s">
        <v>25</v>
      </c>
      <c r="G156" s="7" t="s">
        <v>30</v>
      </c>
      <c r="H156" s="7">
        <v>231</v>
      </c>
      <c r="I156" s="5">
        <v>225</v>
      </c>
      <c r="J156" s="5">
        <f t="shared" si="2"/>
        <v>51975</v>
      </c>
      <c r="K156" s="7">
        <v>7</v>
      </c>
      <c r="L156" s="7" t="s">
        <v>34</v>
      </c>
      <c r="M156" s="7">
        <v>2</v>
      </c>
    </row>
    <row r="157" spans="2:13" ht="15.6" thickTop="1" thickBot="1" x14ac:dyDescent="0.35">
      <c r="B157" s="8">
        <v>155</v>
      </c>
      <c r="C157" s="9" t="s">
        <v>11</v>
      </c>
      <c r="D157" s="19">
        <v>45537</v>
      </c>
      <c r="E157" s="9" t="s">
        <v>17</v>
      </c>
      <c r="F157" s="9" t="s">
        <v>24</v>
      </c>
      <c r="G157" s="9" t="s">
        <v>30</v>
      </c>
      <c r="H157" s="9">
        <v>168</v>
      </c>
      <c r="I157" s="5">
        <v>90</v>
      </c>
      <c r="J157" s="5">
        <f t="shared" si="2"/>
        <v>15120</v>
      </c>
      <c r="K157" s="9">
        <v>19</v>
      </c>
      <c r="L157" s="9" t="s">
        <v>34</v>
      </c>
      <c r="M157" s="9">
        <v>4</v>
      </c>
    </row>
    <row r="158" spans="2:13" ht="15.6" thickTop="1" thickBot="1" x14ac:dyDescent="0.35">
      <c r="B158" s="6">
        <v>156</v>
      </c>
      <c r="C158" s="7" t="s">
        <v>11</v>
      </c>
      <c r="D158" s="18">
        <v>45538</v>
      </c>
      <c r="E158" s="7" t="s">
        <v>14</v>
      </c>
      <c r="F158" s="7" t="s">
        <v>25</v>
      </c>
      <c r="G158" s="7" t="s">
        <v>28</v>
      </c>
      <c r="H158" s="7">
        <v>43</v>
      </c>
      <c r="I158" s="5">
        <v>45</v>
      </c>
      <c r="J158" s="5">
        <f t="shared" si="2"/>
        <v>1935</v>
      </c>
      <c r="K158" s="7">
        <v>19</v>
      </c>
      <c r="L158" s="7" t="s">
        <v>34</v>
      </c>
      <c r="M158" s="7">
        <v>3</v>
      </c>
    </row>
    <row r="159" spans="2:13" ht="15.6" thickTop="1" thickBot="1" x14ac:dyDescent="0.35">
      <c r="B159" s="8">
        <v>157</v>
      </c>
      <c r="C159" s="9" t="s">
        <v>11</v>
      </c>
      <c r="D159" s="19">
        <v>45539</v>
      </c>
      <c r="E159" s="9" t="s">
        <v>19</v>
      </c>
      <c r="F159" s="9" t="s">
        <v>23</v>
      </c>
      <c r="G159" s="9" t="s">
        <v>32</v>
      </c>
      <c r="H159" s="9">
        <v>57</v>
      </c>
      <c r="I159" s="5">
        <v>225</v>
      </c>
      <c r="J159" s="5">
        <f t="shared" si="2"/>
        <v>12825</v>
      </c>
      <c r="K159" s="9">
        <v>10</v>
      </c>
      <c r="L159" s="9" t="s">
        <v>35</v>
      </c>
      <c r="M159" s="9">
        <v>3</v>
      </c>
    </row>
    <row r="160" spans="2:13" ht="15.6" thickTop="1" thickBot="1" x14ac:dyDescent="0.35">
      <c r="B160" s="6">
        <v>158</v>
      </c>
      <c r="C160" s="7" t="s">
        <v>10</v>
      </c>
      <c r="D160" s="18">
        <v>45540</v>
      </c>
      <c r="E160" s="7" t="s">
        <v>21</v>
      </c>
      <c r="F160" s="7" t="s">
        <v>26</v>
      </c>
      <c r="G160" s="7" t="s">
        <v>30</v>
      </c>
      <c r="H160" s="7">
        <v>191</v>
      </c>
      <c r="I160" s="5">
        <v>180</v>
      </c>
      <c r="J160" s="5">
        <f t="shared" si="2"/>
        <v>34380</v>
      </c>
      <c r="K160" s="7">
        <v>21</v>
      </c>
      <c r="L160" s="7" t="s">
        <v>34</v>
      </c>
      <c r="M160" s="7"/>
    </row>
    <row r="161" spans="2:13" ht="15.6" thickTop="1" thickBot="1" x14ac:dyDescent="0.35">
      <c r="B161" s="8">
        <v>159</v>
      </c>
      <c r="C161" s="9" t="s">
        <v>10</v>
      </c>
      <c r="D161" s="19">
        <v>45541</v>
      </c>
      <c r="E161" s="9" t="s">
        <v>17</v>
      </c>
      <c r="F161" s="9" t="s">
        <v>24</v>
      </c>
      <c r="G161" s="9" t="s">
        <v>28</v>
      </c>
      <c r="H161" s="9">
        <v>139</v>
      </c>
      <c r="I161" s="5">
        <v>90</v>
      </c>
      <c r="J161" s="5">
        <f t="shared" si="2"/>
        <v>12510</v>
      </c>
      <c r="K161" s="9">
        <v>16</v>
      </c>
      <c r="L161" s="9" t="s">
        <v>33</v>
      </c>
      <c r="M161" s="9">
        <v>1</v>
      </c>
    </row>
    <row r="162" spans="2:13" ht="15.6" thickTop="1" thickBot="1" x14ac:dyDescent="0.35">
      <c r="B162" s="6">
        <v>160</v>
      </c>
      <c r="C162" s="7" t="s">
        <v>11</v>
      </c>
      <c r="D162" s="18">
        <v>45542</v>
      </c>
      <c r="E162" s="7" t="s">
        <v>17</v>
      </c>
      <c r="F162" s="7" t="s">
        <v>24</v>
      </c>
      <c r="G162" s="7" t="s">
        <v>29</v>
      </c>
      <c r="H162" s="7">
        <v>122</v>
      </c>
      <c r="I162" s="5">
        <v>135</v>
      </c>
      <c r="J162" s="5">
        <f t="shared" si="2"/>
        <v>16470</v>
      </c>
      <c r="K162" s="7">
        <v>15</v>
      </c>
      <c r="L162" s="7" t="s">
        <v>34</v>
      </c>
      <c r="M162" s="7">
        <v>3</v>
      </c>
    </row>
    <row r="163" spans="2:13" ht="15.6" thickTop="1" thickBot="1" x14ac:dyDescent="0.35">
      <c r="B163" s="8">
        <v>161</v>
      </c>
      <c r="C163" s="9" t="s">
        <v>11</v>
      </c>
      <c r="D163" s="19">
        <v>45543</v>
      </c>
      <c r="E163" s="9" t="s">
        <v>16</v>
      </c>
      <c r="F163" s="9" t="s">
        <v>26</v>
      </c>
      <c r="G163" s="9" t="s">
        <v>31</v>
      </c>
      <c r="H163" s="9">
        <v>222</v>
      </c>
      <c r="I163" s="5">
        <v>135</v>
      </c>
      <c r="J163" s="5">
        <f t="shared" si="2"/>
        <v>29970</v>
      </c>
      <c r="K163" s="9">
        <v>12</v>
      </c>
      <c r="L163" s="9" t="s">
        <v>34</v>
      </c>
      <c r="M163" s="9">
        <v>3</v>
      </c>
    </row>
    <row r="164" spans="2:13" ht="15.6" thickTop="1" thickBot="1" x14ac:dyDescent="0.35">
      <c r="B164" s="6">
        <v>162</v>
      </c>
      <c r="C164" s="7" t="s">
        <v>11</v>
      </c>
      <c r="D164" s="18">
        <v>45544</v>
      </c>
      <c r="E164" s="7" t="s">
        <v>14</v>
      </c>
      <c r="F164" s="7" t="s">
        <v>25</v>
      </c>
      <c r="G164" s="7" t="s">
        <v>31</v>
      </c>
      <c r="H164" s="7">
        <v>229</v>
      </c>
      <c r="I164" s="5">
        <v>225</v>
      </c>
      <c r="J164" s="5">
        <f t="shared" si="2"/>
        <v>51525</v>
      </c>
      <c r="K164" s="7">
        <v>17</v>
      </c>
      <c r="L164" s="7" t="s">
        <v>34</v>
      </c>
      <c r="M164" s="7">
        <v>4</v>
      </c>
    </row>
    <row r="165" spans="2:13" ht="15.6" thickTop="1" thickBot="1" x14ac:dyDescent="0.35">
      <c r="B165" s="8">
        <v>163</v>
      </c>
      <c r="C165" s="9" t="s">
        <v>11</v>
      </c>
      <c r="D165" s="19">
        <v>45545</v>
      </c>
      <c r="E165" s="9" t="s">
        <v>19</v>
      </c>
      <c r="F165" s="9" t="s">
        <v>23</v>
      </c>
      <c r="G165" s="9" t="s">
        <v>29</v>
      </c>
      <c r="H165" s="9">
        <v>39</v>
      </c>
      <c r="I165" s="5">
        <v>225</v>
      </c>
      <c r="J165" s="5">
        <f t="shared" si="2"/>
        <v>8775</v>
      </c>
      <c r="K165" s="9">
        <v>19</v>
      </c>
      <c r="L165" s="9" t="s">
        <v>34</v>
      </c>
      <c r="M165" s="9"/>
    </row>
    <row r="166" spans="2:13" ht="15.6" thickTop="1" thickBot="1" x14ac:dyDescent="0.35">
      <c r="B166" s="6">
        <v>164</v>
      </c>
      <c r="C166" s="7" t="s">
        <v>10</v>
      </c>
      <c r="D166" s="18">
        <v>45546</v>
      </c>
      <c r="E166" s="7" t="s">
        <v>18</v>
      </c>
      <c r="F166" s="7" t="s">
        <v>27</v>
      </c>
      <c r="G166" s="7" t="s">
        <v>30</v>
      </c>
      <c r="H166" s="7">
        <v>167</v>
      </c>
      <c r="I166" s="5">
        <v>225</v>
      </c>
      <c r="J166" s="5">
        <f t="shared" si="2"/>
        <v>37575</v>
      </c>
      <c r="K166" s="7">
        <v>11</v>
      </c>
      <c r="L166" s="7" t="s">
        <v>33</v>
      </c>
      <c r="M166" s="7"/>
    </row>
    <row r="167" spans="2:13" ht="15.6" thickTop="1" thickBot="1" x14ac:dyDescent="0.35">
      <c r="B167" s="8">
        <v>165</v>
      </c>
      <c r="C167" s="9" t="s">
        <v>10</v>
      </c>
      <c r="D167" s="19">
        <v>45547</v>
      </c>
      <c r="E167" s="9" t="s">
        <v>22</v>
      </c>
      <c r="F167" s="9" t="s">
        <v>25</v>
      </c>
      <c r="G167" s="9" t="s">
        <v>28</v>
      </c>
      <c r="H167" s="9">
        <v>131</v>
      </c>
      <c r="I167" s="5">
        <v>225</v>
      </c>
      <c r="J167" s="5">
        <f t="shared" si="2"/>
        <v>29475</v>
      </c>
      <c r="K167" s="9">
        <v>22</v>
      </c>
      <c r="L167" s="9" t="s">
        <v>33</v>
      </c>
      <c r="M167" s="9"/>
    </row>
    <row r="168" spans="2:13" ht="15.6" thickTop="1" thickBot="1" x14ac:dyDescent="0.35">
      <c r="B168" s="6">
        <v>166</v>
      </c>
      <c r="C168" s="7" t="s">
        <v>10</v>
      </c>
      <c r="D168" s="18">
        <v>45548</v>
      </c>
      <c r="E168" s="7" t="s">
        <v>12</v>
      </c>
      <c r="F168" s="7" t="s">
        <v>23</v>
      </c>
      <c r="G168" s="7" t="s">
        <v>32</v>
      </c>
      <c r="H168" s="7">
        <v>97</v>
      </c>
      <c r="I168" s="5">
        <v>225</v>
      </c>
      <c r="J168" s="5">
        <f t="shared" si="2"/>
        <v>21825</v>
      </c>
      <c r="K168" s="7">
        <v>12</v>
      </c>
      <c r="L168" s="7" t="s">
        <v>34</v>
      </c>
      <c r="M168" s="7"/>
    </row>
    <row r="169" spans="2:13" ht="15.6" thickTop="1" thickBot="1" x14ac:dyDescent="0.35">
      <c r="B169" s="8">
        <v>167</v>
      </c>
      <c r="C169" s="9" t="s">
        <v>11</v>
      </c>
      <c r="D169" s="19">
        <v>45549</v>
      </c>
      <c r="E169" s="9" t="s">
        <v>18</v>
      </c>
      <c r="F169" s="9" t="s">
        <v>27</v>
      </c>
      <c r="G169" s="9" t="s">
        <v>31</v>
      </c>
      <c r="H169" s="9">
        <v>202</v>
      </c>
      <c r="I169" s="5">
        <v>180</v>
      </c>
      <c r="J169" s="5">
        <f t="shared" si="2"/>
        <v>36360</v>
      </c>
      <c r="K169" s="9">
        <v>13</v>
      </c>
      <c r="L169" s="9" t="s">
        <v>34</v>
      </c>
      <c r="M169" s="9"/>
    </row>
    <row r="170" spans="2:13" ht="15.6" thickTop="1" thickBot="1" x14ac:dyDescent="0.35">
      <c r="B170" s="6">
        <v>168</v>
      </c>
      <c r="C170" s="7" t="s">
        <v>10</v>
      </c>
      <c r="D170" s="18">
        <v>45550</v>
      </c>
      <c r="E170" s="7" t="s">
        <v>13</v>
      </c>
      <c r="F170" s="7" t="s">
        <v>24</v>
      </c>
      <c r="G170" s="7" t="s">
        <v>30</v>
      </c>
      <c r="H170" s="7">
        <v>59</v>
      </c>
      <c r="I170" s="5">
        <v>90</v>
      </c>
      <c r="J170" s="5">
        <f t="shared" si="2"/>
        <v>5310</v>
      </c>
      <c r="K170" s="7">
        <v>19</v>
      </c>
      <c r="L170" s="7" t="s">
        <v>34</v>
      </c>
      <c r="M170" s="7">
        <v>2</v>
      </c>
    </row>
    <row r="171" spans="2:13" ht="15.6" thickTop="1" thickBot="1" x14ac:dyDescent="0.35">
      <c r="B171" s="8">
        <v>169</v>
      </c>
      <c r="C171" s="9" t="s">
        <v>10</v>
      </c>
      <c r="D171" s="19">
        <v>45551</v>
      </c>
      <c r="E171" s="9" t="s">
        <v>15</v>
      </c>
      <c r="F171" s="9" t="s">
        <v>25</v>
      </c>
      <c r="G171" s="9" t="s">
        <v>32</v>
      </c>
      <c r="H171" s="9">
        <v>123</v>
      </c>
      <c r="I171" s="5">
        <v>45</v>
      </c>
      <c r="J171" s="5">
        <f t="shared" si="2"/>
        <v>5535</v>
      </c>
      <c r="K171" s="9">
        <v>25</v>
      </c>
      <c r="L171" s="9" t="s">
        <v>33</v>
      </c>
      <c r="M171" s="9">
        <v>2</v>
      </c>
    </row>
    <row r="172" spans="2:13" ht="15.6" thickTop="1" thickBot="1" x14ac:dyDescent="0.35">
      <c r="B172" s="6">
        <v>170</v>
      </c>
      <c r="C172" s="7" t="s">
        <v>11</v>
      </c>
      <c r="D172" s="18">
        <v>45552</v>
      </c>
      <c r="E172" s="7" t="s">
        <v>19</v>
      </c>
      <c r="F172" s="7" t="s">
        <v>23</v>
      </c>
      <c r="G172" s="7" t="s">
        <v>28</v>
      </c>
      <c r="H172" s="7">
        <v>74</v>
      </c>
      <c r="I172" s="5">
        <v>45</v>
      </c>
      <c r="J172" s="5">
        <f t="shared" si="2"/>
        <v>3330</v>
      </c>
      <c r="K172" s="7">
        <v>19</v>
      </c>
      <c r="L172" s="7" t="s">
        <v>35</v>
      </c>
      <c r="M172" s="7">
        <v>5</v>
      </c>
    </row>
    <row r="173" spans="2:13" ht="15.6" thickTop="1" thickBot="1" x14ac:dyDescent="0.35">
      <c r="B173" s="8">
        <v>171</v>
      </c>
      <c r="C173" s="9" t="s">
        <v>11</v>
      </c>
      <c r="D173" s="19">
        <v>45553</v>
      </c>
      <c r="E173" s="9" t="s">
        <v>17</v>
      </c>
      <c r="F173" s="9" t="s">
        <v>24</v>
      </c>
      <c r="G173" s="9" t="s">
        <v>31</v>
      </c>
      <c r="H173" s="9">
        <v>197</v>
      </c>
      <c r="I173" s="5">
        <v>180</v>
      </c>
      <c r="J173" s="5">
        <f t="shared" si="2"/>
        <v>35460</v>
      </c>
      <c r="K173" s="9">
        <v>11</v>
      </c>
      <c r="L173" s="9" t="s">
        <v>34</v>
      </c>
      <c r="M173" s="9"/>
    </row>
    <row r="174" spans="2:13" ht="15.6" thickTop="1" thickBot="1" x14ac:dyDescent="0.35">
      <c r="B174" s="6">
        <v>172</v>
      </c>
      <c r="C174" s="7" t="s">
        <v>11</v>
      </c>
      <c r="D174" s="18">
        <v>45554</v>
      </c>
      <c r="E174" s="7" t="s">
        <v>12</v>
      </c>
      <c r="F174" s="7" t="s">
        <v>23</v>
      </c>
      <c r="G174" s="7" t="s">
        <v>29</v>
      </c>
      <c r="H174" s="7">
        <v>71</v>
      </c>
      <c r="I174" s="5">
        <v>90</v>
      </c>
      <c r="J174" s="5">
        <f t="shared" si="2"/>
        <v>6390</v>
      </c>
      <c r="K174" s="7">
        <v>11</v>
      </c>
      <c r="L174" s="7" t="s">
        <v>35</v>
      </c>
      <c r="M174" s="7">
        <v>1</v>
      </c>
    </row>
    <row r="175" spans="2:13" ht="15.6" thickTop="1" thickBot="1" x14ac:dyDescent="0.35">
      <c r="B175" s="8">
        <v>173</v>
      </c>
      <c r="C175" s="9" t="s">
        <v>10</v>
      </c>
      <c r="D175" s="19">
        <v>45555</v>
      </c>
      <c r="E175" s="9" t="s">
        <v>12</v>
      </c>
      <c r="F175" s="9" t="s">
        <v>23</v>
      </c>
      <c r="G175" s="9" t="s">
        <v>32</v>
      </c>
      <c r="H175" s="9">
        <v>156</v>
      </c>
      <c r="I175" s="5">
        <v>90</v>
      </c>
      <c r="J175" s="5">
        <f t="shared" si="2"/>
        <v>14040</v>
      </c>
      <c r="K175" s="9">
        <v>10</v>
      </c>
      <c r="L175" s="9" t="s">
        <v>33</v>
      </c>
      <c r="M175" s="9">
        <v>5</v>
      </c>
    </row>
    <row r="176" spans="2:13" ht="15.6" thickTop="1" thickBot="1" x14ac:dyDescent="0.35">
      <c r="B176" s="6">
        <v>174</v>
      </c>
      <c r="C176" s="7" t="s">
        <v>10</v>
      </c>
      <c r="D176" s="18">
        <v>45556</v>
      </c>
      <c r="E176" s="7" t="s">
        <v>20</v>
      </c>
      <c r="F176" s="7" t="s">
        <v>20</v>
      </c>
      <c r="G176" s="7" t="s">
        <v>32</v>
      </c>
      <c r="H176" s="7">
        <v>157</v>
      </c>
      <c r="I176" s="5">
        <v>180</v>
      </c>
      <c r="J176" s="5">
        <f t="shared" si="2"/>
        <v>28260</v>
      </c>
      <c r="K176" s="7">
        <v>21</v>
      </c>
      <c r="L176" s="7" t="s">
        <v>33</v>
      </c>
      <c r="M176" s="7">
        <v>3</v>
      </c>
    </row>
    <row r="177" spans="2:13" ht="15.6" thickTop="1" thickBot="1" x14ac:dyDescent="0.35">
      <c r="B177" s="8">
        <v>175</v>
      </c>
      <c r="C177" s="9" t="s">
        <v>10</v>
      </c>
      <c r="D177" s="19">
        <v>45557</v>
      </c>
      <c r="E177" s="9" t="s">
        <v>17</v>
      </c>
      <c r="F177" s="9" t="s">
        <v>24</v>
      </c>
      <c r="G177" s="9" t="s">
        <v>30</v>
      </c>
      <c r="H177" s="9">
        <v>242</v>
      </c>
      <c r="I177" s="5">
        <v>225</v>
      </c>
      <c r="J177" s="5">
        <f t="shared" si="2"/>
        <v>54450</v>
      </c>
      <c r="K177" s="9">
        <v>12</v>
      </c>
      <c r="L177" s="9" t="s">
        <v>34</v>
      </c>
      <c r="M177" s="9"/>
    </row>
    <row r="178" spans="2:13" ht="15.6" thickTop="1" thickBot="1" x14ac:dyDescent="0.35">
      <c r="B178" s="6">
        <v>176</v>
      </c>
      <c r="C178" s="7" t="s">
        <v>11</v>
      </c>
      <c r="D178" s="18">
        <v>45558</v>
      </c>
      <c r="E178" s="7" t="s">
        <v>13</v>
      </c>
      <c r="F178" s="7" t="s">
        <v>24</v>
      </c>
      <c r="G178" s="7" t="s">
        <v>29</v>
      </c>
      <c r="H178" s="7">
        <v>50</v>
      </c>
      <c r="I178" s="5">
        <v>45</v>
      </c>
      <c r="J178" s="5">
        <f t="shared" si="2"/>
        <v>2250</v>
      </c>
      <c r="K178" s="7">
        <v>17</v>
      </c>
      <c r="L178" s="7" t="s">
        <v>34</v>
      </c>
      <c r="M178" s="7">
        <v>3</v>
      </c>
    </row>
    <row r="179" spans="2:13" ht="15.6" thickTop="1" thickBot="1" x14ac:dyDescent="0.35">
      <c r="B179" s="8">
        <v>177</v>
      </c>
      <c r="C179" s="9" t="s">
        <v>10</v>
      </c>
      <c r="D179" s="19">
        <v>45559</v>
      </c>
      <c r="E179" s="9" t="s">
        <v>12</v>
      </c>
      <c r="F179" s="9" t="s">
        <v>23</v>
      </c>
      <c r="G179" s="9" t="s">
        <v>31</v>
      </c>
      <c r="H179" s="9">
        <v>39</v>
      </c>
      <c r="I179" s="5">
        <v>225</v>
      </c>
      <c r="J179" s="5">
        <f t="shared" si="2"/>
        <v>8775</v>
      </c>
      <c r="K179" s="9">
        <v>18</v>
      </c>
      <c r="L179" s="9" t="s">
        <v>33</v>
      </c>
      <c r="M179" s="9"/>
    </row>
    <row r="180" spans="2:13" ht="15.6" thickTop="1" thickBot="1" x14ac:dyDescent="0.35">
      <c r="B180" s="6">
        <v>178</v>
      </c>
      <c r="C180" s="7" t="s">
        <v>10</v>
      </c>
      <c r="D180" s="18">
        <v>45560</v>
      </c>
      <c r="E180" s="7" t="s">
        <v>17</v>
      </c>
      <c r="F180" s="7" t="s">
        <v>24</v>
      </c>
      <c r="G180" s="7" t="s">
        <v>30</v>
      </c>
      <c r="H180" s="7">
        <v>55</v>
      </c>
      <c r="I180" s="5">
        <v>90</v>
      </c>
      <c r="J180" s="5">
        <f t="shared" si="2"/>
        <v>4950</v>
      </c>
      <c r="K180" s="7">
        <v>22</v>
      </c>
      <c r="L180" s="7" t="s">
        <v>33</v>
      </c>
      <c r="M180" s="7"/>
    </row>
    <row r="181" spans="2:13" ht="15.6" thickTop="1" thickBot="1" x14ac:dyDescent="0.35">
      <c r="B181" s="8">
        <v>179</v>
      </c>
      <c r="C181" s="9" t="s">
        <v>10</v>
      </c>
      <c r="D181" s="19">
        <v>45561</v>
      </c>
      <c r="E181" s="9" t="s">
        <v>15</v>
      </c>
      <c r="F181" s="9" t="s">
        <v>25</v>
      </c>
      <c r="G181" s="9" t="s">
        <v>28</v>
      </c>
      <c r="H181" s="9">
        <v>145</v>
      </c>
      <c r="I181" s="5">
        <v>180</v>
      </c>
      <c r="J181" s="5">
        <f t="shared" si="2"/>
        <v>26100</v>
      </c>
      <c r="K181" s="9">
        <v>10</v>
      </c>
      <c r="L181" s="9" t="s">
        <v>34</v>
      </c>
      <c r="M181" s="9">
        <v>2</v>
      </c>
    </row>
    <row r="182" spans="2:13" ht="15.6" thickTop="1" thickBot="1" x14ac:dyDescent="0.35">
      <c r="B182" s="6">
        <v>180</v>
      </c>
      <c r="C182" s="7" t="s">
        <v>11</v>
      </c>
      <c r="D182" s="18">
        <v>45562</v>
      </c>
      <c r="E182" s="7" t="s">
        <v>16</v>
      </c>
      <c r="F182" s="7" t="s">
        <v>26</v>
      </c>
      <c r="G182" s="7" t="s">
        <v>29</v>
      </c>
      <c r="H182" s="7">
        <v>146</v>
      </c>
      <c r="I182" s="5">
        <v>90</v>
      </c>
      <c r="J182" s="5">
        <f t="shared" si="2"/>
        <v>13140</v>
      </c>
      <c r="K182" s="7">
        <v>16</v>
      </c>
      <c r="L182" s="7" t="s">
        <v>35</v>
      </c>
      <c r="M182" s="7">
        <v>4</v>
      </c>
    </row>
    <row r="183" spans="2:13" ht="15.6" thickTop="1" thickBot="1" x14ac:dyDescent="0.35">
      <c r="B183" s="8">
        <v>181</v>
      </c>
      <c r="C183" s="9" t="s">
        <v>10</v>
      </c>
      <c r="D183" s="19">
        <v>45563</v>
      </c>
      <c r="E183" s="9" t="s">
        <v>17</v>
      </c>
      <c r="F183" s="9" t="s">
        <v>24</v>
      </c>
      <c r="G183" s="9" t="s">
        <v>31</v>
      </c>
      <c r="H183" s="9">
        <v>193</v>
      </c>
      <c r="I183" s="5">
        <v>225</v>
      </c>
      <c r="J183" s="5">
        <f t="shared" si="2"/>
        <v>43425</v>
      </c>
      <c r="K183" s="9">
        <v>20</v>
      </c>
      <c r="L183" s="9" t="s">
        <v>34</v>
      </c>
      <c r="M183" s="9">
        <v>4</v>
      </c>
    </row>
    <row r="184" spans="2:13" ht="15.6" thickTop="1" thickBot="1" x14ac:dyDescent="0.35">
      <c r="B184" s="6">
        <v>182</v>
      </c>
      <c r="C184" s="7" t="s">
        <v>11</v>
      </c>
      <c r="D184" s="18">
        <v>45564</v>
      </c>
      <c r="E184" s="7" t="s">
        <v>18</v>
      </c>
      <c r="F184" s="7" t="s">
        <v>27</v>
      </c>
      <c r="G184" s="7" t="s">
        <v>29</v>
      </c>
      <c r="H184" s="7">
        <v>62</v>
      </c>
      <c r="I184" s="5">
        <v>90</v>
      </c>
      <c r="J184" s="5">
        <f t="shared" si="2"/>
        <v>5580</v>
      </c>
      <c r="K184" s="7">
        <v>16</v>
      </c>
      <c r="L184" s="7" t="s">
        <v>35</v>
      </c>
      <c r="M184" s="7">
        <v>2</v>
      </c>
    </row>
    <row r="185" spans="2:13" ht="15.6" thickTop="1" thickBot="1" x14ac:dyDescent="0.35">
      <c r="B185" s="8">
        <v>183</v>
      </c>
      <c r="C185" s="9" t="s">
        <v>11</v>
      </c>
      <c r="D185" s="19">
        <v>45565</v>
      </c>
      <c r="E185" s="9" t="s">
        <v>20</v>
      </c>
      <c r="F185" s="9" t="s">
        <v>20</v>
      </c>
      <c r="G185" s="9" t="s">
        <v>30</v>
      </c>
      <c r="H185" s="9">
        <v>100</v>
      </c>
      <c r="I185" s="5">
        <v>135</v>
      </c>
      <c r="J185" s="5">
        <f t="shared" si="2"/>
        <v>13500</v>
      </c>
      <c r="K185" s="9">
        <v>8</v>
      </c>
      <c r="L185" s="9" t="s">
        <v>35</v>
      </c>
      <c r="M185" s="9">
        <v>3</v>
      </c>
    </row>
    <row r="186" spans="2:13" ht="15.6" thickTop="1" thickBot="1" x14ac:dyDescent="0.35">
      <c r="B186" s="6">
        <v>184</v>
      </c>
      <c r="C186" s="7" t="s">
        <v>10</v>
      </c>
      <c r="D186" s="18">
        <v>45566</v>
      </c>
      <c r="E186" s="7" t="s">
        <v>20</v>
      </c>
      <c r="F186" s="7" t="s">
        <v>20</v>
      </c>
      <c r="G186" s="7" t="s">
        <v>32</v>
      </c>
      <c r="H186" s="7">
        <v>249</v>
      </c>
      <c r="I186" s="5">
        <v>45</v>
      </c>
      <c r="J186" s="5">
        <f t="shared" si="2"/>
        <v>11205</v>
      </c>
      <c r="K186" s="7">
        <v>18</v>
      </c>
      <c r="L186" s="7" t="s">
        <v>33</v>
      </c>
      <c r="M186" s="7">
        <v>5</v>
      </c>
    </row>
    <row r="187" spans="2:13" ht="15.6" thickTop="1" thickBot="1" x14ac:dyDescent="0.35">
      <c r="B187" s="8">
        <v>185</v>
      </c>
      <c r="C187" s="9" t="s">
        <v>11</v>
      </c>
      <c r="D187" s="19">
        <v>45567</v>
      </c>
      <c r="E187" s="9" t="s">
        <v>19</v>
      </c>
      <c r="F187" s="9" t="s">
        <v>23</v>
      </c>
      <c r="G187" s="9" t="s">
        <v>31</v>
      </c>
      <c r="H187" s="9">
        <v>129</v>
      </c>
      <c r="I187" s="5">
        <v>180</v>
      </c>
      <c r="J187" s="5">
        <f t="shared" si="2"/>
        <v>23220</v>
      </c>
      <c r="K187" s="9">
        <v>10</v>
      </c>
      <c r="L187" s="9" t="s">
        <v>34</v>
      </c>
      <c r="M187" s="9">
        <v>3</v>
      </c>
    </row>
    <row r="188" spans="2:13" ht="15.6" thickTop="1" thickBot="1" x14ac:dyDescent="0.35">
      <c r="B188" s="6">
        <v>186</v>
      </c>
      <c r="C188" s="7" t="s">
        <v>11</v>
      </c>
      <c r="D188" s="18">
        <v>45568</v>
      </c>
      <c r="E188" s="7" t="s">
        <v>18</v>
      </c>
      <c r="F188" s="7" t="s">
        <v>27</v>
      </c>
      <c r="G188" s="7" t="s">
        <v>30</v>
      </c>
      <c r="H188" s="7">
        <v>85</v>
      </c>
      <c r="I188" s="5">
        <v>135</v>
      </c>
      <c r="J188" s="5">
        <f t="shared" si="2"/>
        <v>11475</v>
      </c>
      <c r="K188" s="7">
        <v>14</v>
      </c>
      <c r="L188" s="7" t="s">
        <v>34</v>
      </c>
      <c r="M188" s="7">
        <v>1</v>
      </c>
    </row>
    <row r="189" spans="2:13" ht="15.6" thickTop="1" thickBot="1" x14ac:dyDescent="0.35">
      <c r="B189" s="8">
        <v>187</v>
      </c>
      <c r="C189" s="9" t="s">
        <v>10</v>
      </c>
      <c r="D189" s="19">
        <v>45569</v>
      </c>
      <c r="E189" s="9" t="s">
        <v>15</v>
      </c>
      <c r="F189" s="9" t="s">
        <v>25</v>
      </c>
      <c r="G189" s="9" t="s">
        <v>32</v>
      </c>
      <c r="H189" s="9">
        <v>35</v>
      </c>
      <c r="I189" s="5">
        <v>45</v>
      </c>
      <c r="J189" s="5">
        <f t="shared" si="2"/>
        <v>1575</v>
      </c>
      <c r="K189" s="9">
        <v>11</v>
      </c>
      <c r="L189" s="9" t="s">
        <v>33</v>
      </c>
      <c r="M189" s="9">
        <v>4</v>
      </c>
    </row>
    <row r="190" spans="2:13" ht="15.6" thickTop="1" thickBot="1" x14ac:dyDescent="0.35">
      <c r="B190" s="6">
        <v>188</v>
      </c>
      <c r="C190" s="7" t="s">
        <v>10</v>
      </c>
      <c r="D190" s="18">
        <v>45570</v>
      </c>
      <c r="E190" s="7" t="s">
        <v>16</v>
      </c>
      <c r="F190" s="7" t="s">
        <v>26</v>
      </c>
      <c r="G190" s="7" t="s">
        <v>30</v>
      </c>
      <c r="H190" s="7">
        <v>223</v>
      </c>
      <c r="I190" s="5">
        <v>180</v>
      </c>
      <c r="J190" s="5">
        <f t="shared" si="2"/>
        <v>40140</v>
      </c>
      <c r="K190" s="7">
        <v>21</v>
      </c>
      <c r="L190" s="7" t="s">
        <v>33</v>
      </c>
      <c r="M190" s="7">
        <v>3</v>
      </c>
    </row>
    <row r="191" spans="2:13" ht="15.6" thickTop="1" thickBot="1" x14ac:dyDescent="0.35">
      <c r="B191" s="8">
        <v>189</v>
      </c>
      <c r="C191" s="9" t="s">
        <v>10</v>
      </c>
      <c r="D191" s="19">
        <v>45571</v>
      </c>
      <c r="E191" s="9" t="s">
        <v>14</v>
      </c>
      <c r="F191" s="9" t="s">
        <v>25</v>
      </c>
      <c r="G191" s="9" t="s">
        <v>29</v>
      </c>
      <c r="H191" s="9">
        <v>136</v>
      </c>
      <c r="I191" s="5">
        <v>90</v>
      </c>
      <c r="J191" s="5">
        <f t="shared" si="2"/>
        <v>12240</v>
      </c>
      <c r="K191" s="9">
        <v>11</v>
      </c>
      <c r="L191" s="9" t="s">
        <v>34</v>
      </c>
      <c r="M191" s="9">
        <v>4</v>
      </c>
    </row>
    <row r="192" spans="2:13" ht="15.6" thickTop="1" thickBot="1" x14ac:dyDescent="0.35">
      <c r="B192" s="6">
        <v>190</v>
      </c>
      <c r="C192" s="7" t="s">
        <v>11</v>
      </c>
      <c r="D192" s="18">
        <v>45572</v>
      </c>
      <c r="E192" s="7" t="s">
        <v>21</v>
      </c>
      <c r="F192" s="7" t="s">
        <v>26</v>
      </c>
      <c r="G192" s="7" t="s">
        <v>31</v>
      </c>
      <c r="H192" s="7">
        <v>119</v>
      </c>
      <c r="I192" s="5">
        <v>180</v>
      </c>
      <c r="J192" s="5">
        <f t="shared" si="2"/>
        <v>21420</v>
      </c>
      <c r="K192" s="7">
        <v>14</v>
      </c>
      <c r="L192" s="7" t="s">
        <v>34</v>
      </c>
      <c r="M192" s="7">
        <v>1</v>
      </c>
    </row>
    <row r="193" spans="2:13" ht="15.6" thickTop="1" thickBot="1" x14ac:dyDescent="0.35">
      <c r="B193" s="8">
        <v>191</v>
      </c>
      <c r="C193" s="9" t="s">
        <v>11</v>
      </c>
      <c r="D193" s="19">
        <v>45573</v>
      </c>
      <c r="E193" s="9" t="s">
        <v>21</v>
      </c>
      <c r="F193" s="9" t="s">
        <v>26</v>
      </c>
      <c r="G193" s="9" t="s">
        <v>32</v>
      </c>
      <c r="H193" s="9">
        <v>44</v>
      </c>
      <c r="I193" s="5">
        <v>180</v>
      </c>
      <c r="J193" s="5">
        <f t="shared" si="2"/>
        <v>7920</v>
      </c>
      <c r="K193" s="9">
        <v>15</v>
      </c>
      <c r="L193" s="9" t="s">
        <v>34</v>
      </c>
      <c r="M193" s="9"/>
    </row>
    <row r="194" spans="2:13" ht="15.6" thickTop="1" thickBot="1" x14ac:dyDescent="0.35">
      <c r="B194" s="6">
        <v>192</v>
      </c>
      <c r="C194" s="7" t="s">
        <v>11</v>
      </c>
      <c r="D194" s="18">
        <v>45574</v>
      </c>
      <c r="E194" s="7" t="s">
        <v>21</v>
      </c>
      <c r="F194" s="7" t="s">
        <v>26</v>
      </c>
      <c r="G194" s="7" t="s">
        <v>28</v>
      </c>
      <c r="H194" s="7">
        <v>230</v>
      </c>
      <c r="I194" s="5">
        <v>45</v>
      </c>
      <c r="J194" s="5">
        <f t="shared" si="2"/>
        <v>10350</v>
      </c>
      <c r="K194" s="7">
        <v>14</v>
      </c>
      <c r="L194" s="7" t="s">
        <v>35</v>
      </c>
      <c r="M194" s="7">
        <v>4</v>
      </c>
    </row>
    <row r="195" spans="2:13" ht="15.6" thickTop="1" thickBot="1" x14ac:dyDescent="0.35">
      <c r="B195" s="8">
        <v>193</v>
      </c>
      <c r="C195" s="9" t="s">
        <v>10</v>
      </c>
      <c r="D195" s="19">
        <v>45575</v>
      </c>
      <c r="E195" s="9" t="s">
        <v>14</v>
      </c>
      <c r="F195" s="9" t="s">
        <v>25</v>
      </c>
      <c r="G195" s="9" t="s">
        <v>32</v>
      </c>
      <c r="H195" s="9">
        <v>35</v>
      </c>
      <c r="I195" s="5">
        <v>90</v>
      </c>
      <c r="J195" s="5">
        <f t="shared" si="2"/>
        <v>3150</v>
      </c>
      <c r="K195" s="9">
        <v>19</v>
      </c>
      <c r="L195" s="9" t="s">
        <v>35</v>
      </c>
      <c r="M195" s="9">
        <v>3</v>
      </c>
    </row>
    <row r="196" spans="2:13" ht="15.6" thickTop="1" thickBot="1" x14ac:dyDescent="0.35">
      <c r="B196" s="6">
        <v>194</v>
      </c>
      <c r="C196" s="7" t="s">
        <v>10</v>
      </c>
      <c r="D196" s="18">
        <v>45576</v>
      </c>
      <c r="E196" s="7" t="s">
        <v>20</v>
      </c>
      <c r="F196" s="7" t="s">
        <v>20</v>
      </c>
      <c r="G196" s="7" t="s">
        <v>30</v>
      </c>
      <c r="H196" s="7">
        <v>228</v>
      </c>
      <c r="I196" s="5">
        <v>45</v>
      </c>
      <c r="J196" s="5">
        <f t="shared" ref="J196:J259" si="3">H196*I196</f>
        <v>10260</v>
      </c>
      <c r="K196" s="7">
        <v>21</v>
      </c>
      <c r="L196" s="7" t="s">
        <v>35</v>
      </c>
      <c r="M196" s="7">
        <v>2</v>
      </c>
    </row>
    <row r="197" spans="2:13" ht="15.6" thickTop="1" thickBot="1" x14ac:dyDescent="0.35">
      <c r="B197" s="8">
        <v>195</v>
      </c>
      <c r="C197" s="9" t="s">
        <v>11</v>
      </c>
      <c r="D197" s="19">
        <v>45577</v>
      </c>
      <c r="E197" s="9" t="s">
        <v>18</v>
      </c>
      <c r="F197" s="9" t="s">
        <v>27</v>
      </c>
      <c r="G197" s="9" t="s">
        <v>29</v>
      </c>
      <c r="H197" s="9">
        <v>100</v>
      </c>
      <c r="I197" s="5">
        <v>225</v>
      </c>
      <c r="J197" s="5">
        <f t="shared" si="3"/>
        <v>22500</v>
      </c>
      <c r="K197" s="9">
        <v>14</v>
      </c>
      <c r="L197" s="9" t="s">
        <v>35</v>
      </c>
      <c r="M197" s="9">
        <v>2</v>
      </c>
    </row>
    <row r="198" spans="2:13" ht="15.6" thickTop="1" thickBot="1" x14ac:dyDescent="0.35">
      <c r="B198" s="6">
        <v>196</v>
      </c>
      <c r="C198" s="7" t="s">
        <v>10</v>
      </c>
      <c r="D198" s="18">
        <v>45578</v>
      </c>
      <c r="E198" s="7" t="s">
        <v>12</v>
      </c>
      <c r="F198" s="7" t="s">
        <v>23</v>
      </c>
      <c r="G198" s="7" t="s">
        <v>31</v>
      </c>
      <c r="H198" s="7">
        <v>47</v>
      </c>
      <c r="I198" s="5">
        <v>135</v>
      </c>
      <c r="J198" s="5">
        <f t="shared" si="3"/>
        <v>6345</v>
      </c>
      <c r="K198" s="7">
        <v>21</v>
      </c>
      <c r="L198" s="7" t="s">
        <v>35</v>
      </c>
      <c r="M198" s="7">
        <v>3</v>
      </c>
    </row>
    <row r="199" spans="2:13" ht="15.6" thickTop="1" thickBot="1" x14ac:dyDescent="0.35">
      <c r="B199" s="8">
        <v>197</v>
      </c>
      <c r="C199" s="9" t="s">
        <v>10</v>
      </c>
      <c r="D199" s="19">
        <v>45579</v>
      </c>
      <c r="E199" s="9" t="s">
        <v>12</v>
      </c>
      <c r="F199" s="9" t="s">
        <v>23</v>
      </c>
      <c r="G199" s="9" t="s">
        <v>29</v>
      </c>
      <c r="H199" s="9">
        <v>194</v>
      </c>
      <c r="I199" s="5">
        <v>90</v>
      </c>
      <c r="J199" s="5">
        <f t="shared" si="3"/>
        <v>17460</v>
      </c>
      <c r="K199" s="9">
        <v>16</v>
      </c>
      <c r="L199" s="9" t="s">
        <v>33</v>
      </c>
      <c r="M199" s="9"/>
    </row>
    <row r="200" spans="2:13" ht="15.6" thickTop="1" thickBot="1" x14ac:dyDescent="0.35">
      <c r="B200" s="6">
        <v>198</v>
      </c>
      <c r="C200" s="7" t="s">
        <v>11</v>
      </c>
      <c r="D200" s="18">
        <v>45580</v>
      </c>
      <c r="E200" s="7" t="s">
        <v>13</v>
      </c>
      <c r="F200" s="7" t="s">
        <v>24</v>
      </c>
      <c r="G200" s="7" t="s">
        <v>31</v>
      </c>
      <c r="H200" s="7">
        <v>215</v>
      </c>
      <c r="I200" s="5">
        <v>45</v>
      </c>
      <c r="J200" s="5">
        <f t="shared" si="3"/>
        <v>9675</v>
      </c>
      <c r="K200" s="7">
        <v>8</v>
      </c>
      <c r="L200" s="7" t="s">
        <v>33</v>
      </c>
      <c r="M200" s="7">
        <v>1</v>
      </c>
    </row>
    <row r="201" spans="2:13" ht="15.6" thickTop="1" thickBot="1" x14ac:dyDescent="0.35">
      <c r="B201" s="8">
        <v>199</v>
      </c>
      <c r="C201" s="9" t="s">
        <v>11</v>
      </c>
      <c r="D201" s="19">
        <v>45581</v>
      </c>
      <c r="E201" s="9" t="s">
        <v>22</v>
      </c>
      <c r="F201" s="9" t="s">
        <v>25</v>
      </c>
      <c r="G201" s="9" t="s">
        <v>31</v>
      </c>
      <c r="H201" s="9">
        <v>156</v>
      </c>
      <c r="I201" s="5">
        <v>180</v>
      </c>
      <c r="J201" s="5">
        <f t="shared" si="3"/>
        <v>28080</v>
      </c>
      <c r="K201" s="9">
        <v>17</v>
      </c>
      <c r="L201" s="9" t="s">
        <v>35</v>
      </c>
      <c r="M201" s="9">
        <v>3</v>
      </c>
    </row>
    <row r="202" spans="2:13" ht="15.6" thickTop="1" thickBot="1" x14ac:dyDescent="0.35">
      <c r="B202" s="6">
        <v>200</v>
      </c>
      <c r="C202" s="7" t="s">
        <v>11</v>
      </c>
      <c r="D202" s="18">
        <v>45582</v>
      </c>
      <c r="E202" s="7" t="s">
        <v>18</v>
      </c>
      <c r="F202" s="7" t="s">
        <v>27</v>
      </c>
      <c r="G202" s="7" t="s">
        <v>32</v>
      </c>
      <c r="H202" s="7">
        <v>42</v>
      </c>
      <c r="I202" s="5">
        <v>225</v>
      </c>
      <c r="J202" s="5">
        <f t="shared" si="3"/>
        <v>9450</v>
      </c>
      <c r="K202" s="7">
        <v>14</v>
      </c>
      <c r="L202" s="7" t="s">
        <v>35</v>
      </c>
      <c r="M202" s="7">
        <v>5</v>
      </c>
    </row>
    <row r="203" spans="2:13" ht="15.6" thickTop="1" thickBot="1" x14ac:dyDescent="0.35">
      <c r="B203" s="8">
        <v>201</v>
      </c>
      <c r="C203" s="9" t="s">
        <v>11</v>
      </c>
      <c r="D203" s="19">
        <v>45583</v>
      </c>
      <c r="E203" s="9" t="s">
        <v>15</v>
      </c>
      <c r="F203" s="9" t="s">
        <v>25</v>
      </c>
      <c r="G203" s="9" t="s">
        <v>32</v>
      </c>
      <c r="H203" s="9">
        <v>132</v>
      </c>
      <c r="I203" s="5">
        <v>225</v>
      </c>
      <c r="J203" s="5">
        <f t="shared" si="3"/>
        <v>29700</v>
      </c>
      <c r="K203" s="9">
        <v>16</v>
      </c>
      <c r="L203" s="9" t="s">
        <v>35</v>
      </c>
      <c r="M203" s="9">
        <v>3</v>
      </c>
    </row>
    <row r="204" spans="2:13" ht="15.6" thickTop="1" thickBot="1" x14ac:dyDescent="0.35">
      <c r="B204" s="6">
        <v>202</v>
      </c>
      <c r="C204" s="7" t="s">
        <v>10</v>
      </c>
      <c r="D204" s="18">
        <v>45584</v>
      </c>
      <c r="E204" s="7" t="s">
        <v>21</v>
      </c>
      <c r="F204" s="7" t="s">
        <v>26</v>
      </c>
      <c r="G204" s="7" t="s">
        <v>31</v>
      </c>
      <c r="H204" s="7">
        <v>102</v>
      </c>
      <c r="I204" s="5">
        <v>180</v>
      </c>
      <c r="J204" s="5">
        <f t="shared" si="3"/>
        <v>18360</v>
      </c>
      <c r="K204" s="7">
        <v>16</v>
      </c>
      <c r="L204" s="7" t="s">
        <v>34</v>
      </c>
      <c r="M204" s="7">
        <v>4</v>
      </c>
    </row>
    <row r="205" spans="2:13" ht="15.6" thickTop="1" thickBot="1" x14ac:dyDescent="0.35">
      <c r="B205" s="8">
        <v>203</v>
      </c>
      <c r="C205" s="9" t="s">
        <v>11</v>
      </c>
      <c r="D205" s="19">
        <v>45585</v>
      </c>
      <c r="E205" s="9" t="s">
        <v>14</v>
      </c>
      <c r="F205" s="9" t="s">
        <v>25</v>
      </c>
      <c r="G205" s="9" t="s">
        <v>31</v>
      </c>
      <c r="H205" s="9">
        <v>48</v>
      </c>
      <c r="I205" s="5">
        <v>135</v>
      </c>
      <c r="J205" s="5">
        <f t="shared" si="3"/>
        <v>6480</v>
      </c>
      <c r="K205" s="9">
        <v>14</v>
      </c>
      <c r="L205" s="9" t="s">
        <v>34</v>
      </c>
      <c r="M205" s="9">
        <v>2</v>
      </c>
    </row>
    <row r="206" spans="2:13" ht="15.6" thickTop="1" thickBot="1" x14ac:dyDescent="0.35">
      <c r="B206" s="6">
        <v>204</v>
      </c>
      <c r="C206" s="7" t="s">
        <v>10</v>
      </c>
      <c r="D206" s="18">
        <v>45586</v>
      </c>
      <c r="E206" s="7" t="s">
        <v>19</v>
      </c>
      <c r="F206" s="7" t="s">
        <v>23</v>
      </c>
      <c r="G206" s="7" t="s">
        <v>30</v>
      </c>
      <c r="H206" s="7">
        <v>229</v>
      </c>
      <c r="I206" s="5">
        <v>135</v>
      </c>
      <c r="J206" s="5">
        <f t="shared" si="3"/>
        <v>30915</v>
      </c>
      <c r="K206" s="7">
        <v>12</v>
      </c>
      <c r="L206" s="7" t="s">
        <v>34</v>
      </c>
      <c r="M206" s="7">
        <v>5</v>
      </c>
    </row>
    <row r="207" spans="2:13" ht="15.6" thickTop="1" thickBot="1" x14ac:dyDescent="0.35">
      <c r="B207" s="8">
        <v>205</v>
      </c>
      <c r="C207" s="9" t="s">
        <v>10</v>
      </c>
      <c r="D207" s="19">
        <v>45587</v>
      </c>
      <c r="E207" s="9" t="s">
        <v>12</v>
      </c>
      <c r="F207" s="9" t="s">
        <v>23</v>
      </c>
      <c r="G207" s="9" t="s">
        <v>32</v>
      </c>
      <c r="H207" s="9">
        <v>52</v>
      </c>
      <c r="I207" s="5">
        <v>90</v>
      </c>
      <c r="J207" s="5">
        <f t="shared" si="3"/>
        <v>4680</v>
      </c>
      <c r="K207" s="9">
        <v>25</v>
      </c>
      <c r="L207" s="9" t="s">
        <v>35</v>
      </c>
      <c r="M207" s="9">
        <v>5</v>
      </c>
    </row>
    <row r="208" spans="2:13" ht="15.6" thickTop="1" thickBot="1" x14ac:dyDescent="0.35">
      <c r="B208" s="6">
        <v>206</v>
      </c>
      <c r="C208" s="7" t="s">
        <v>11</v>
      </c>
      <c r="D208" s="18">
        <v>45588</v>
      </c>
      <c r="E208" s="7" t="s">
        <v>13</v>
      </c>
      <c r="F208" s="7" t="s">
        <v>24</v>
      </c>
      <c r="G208" s="7" t="s">
        <v>31</v>
      </c>
      <c r="H208" s="7">
        <v>112</v>
      </c>
      <c r="I208" s="5">
        <v>45</v>
      </c>
      <c r="J208" s="5">
        <f t="shared" si="3"/>
        <v>5040</v>
      </c>
      <c r="K208" s="7">
        <v>18</v>
      </c>
      <c r="L208" s="7" t="s">
        <v>34</v>
      </c>
      <c r="M208" s="7">
        <v>3</v>
      </c>
    </row>
    <row r="209" spans="2:13" ht="15.6" thickTop="1" thickBot="1" x14ac:dyDescent="0.35">
      <c r="B209" s="8">
        <v>207</v>
      </c>
      <c r="C209" s="9" t="s">
        <v>10</v>
      </c>
      <c r="D209" s="19">
        <v>45589</v>
      </c>
      <c r="E209" s="9" t="s">
        <v>22</v>
      </c>
      <c r="F209" s="9" t="s">
        <v>25</v>
      </c>
      <c r="G209" s="9" t="s">
        <v>32</v>
      </c>
      <c r="H209" s="9">
        <v>59</v>
      </c>
      <c r="I209" s="5">
        <v>180</v>
      </c>
      <c r="J209" s="5">
        <f t="shared" si="3"/>
        <v>10620</v>
      </c>
      <c r="K209" s="9">
        <v>14</v>
      </c>
      <c r="L209" s="9" t="s">
        <v>35</v>
      </c>
      <c r="M209" s="9">
        <v>2</v>
      </c>
    </row>
    <row r="210" spans="2:13" ht="15.6" thickTop="1" thickBot="1" x14ac:dyDescent="0.35">
      <c r="B210" s="6">
        <v>208</v>
      </c>
      <c r="C210" s="7" t="s">
        <v>11</v>
      </c>
      <c r="D210" s="18">
        <v>45590</v>
      </c>
      <c r="E210" s="7" t="s">
        <v>13</v>
      </c>
      <c r="F210" s="7" t="s">
        <v>24</v>
      </c>
      <c r="G210" s="7" t="s">
        <v>28</v>
      </c>
      <c r="H210" s="7">
        <v>162</v>
      </c>
      <c r="I210" s="5">
        <v>90</v>
      </c>
      <c r="J210" s="5">
        <f t="shared" si="3"/>
        <v>14580</v>
      </c>
      <c r="K210" s="7">
        <v>10</v>
      </c>
      <c r="L210" s="7" t="s">
        <v>34</v>
      </c>
      <c r="M210" s="7"/>
    </row>
    <row r="211" spans="2:13" ht="15.6" thickTop="1" thickBot="1" x14ac:dyDescent="0.35">
      <c r="B211" s="8">
        <v>209</v>
      </c>
      <c r="C211" s="9" t="s">
        <v>10</v>
      </c>
      <c r="D211" s="19">
        <v>45591</v>
      </c>
      <c r="E211" s="9" t="s">
        <v>13</v>
      </c>
      <c r="F211" s="9" t="s">
        <v>24</v>
      </c>
      <c r="G211" s="9" t="s">
        <v>30</v>
      </c>
      <c r="H211" s="9">
        <v>184</v>
      </c>
      <c r="I211" s="5">
        <v>135</v>
      </c>
      <c r="J211" s="5">
        <f t="shared" si="3"/>
        <v>24840</v>
      </c>
      <c r="K211" s="9">
        <v>18</v>
      </c>
      <c r="L211" s="9" t="s">
        <v>35</v>
      </c>
      <c r="M211" s="9">
        <v>1</v>
      </c>
    </row>
    <row r="212" spans="2:13" ht="15.6" thickTop="1" thickBot="1" x14ac:dyDescent="0.35">
      <c r="B212" s="6">
        <v>210</v>
      </c>
      <c r="C212" s="7" t="s">
        <v>11</v>
      </c>
      <c r="D212" s="18">
        <v>45592</v>
      </c>
      <c r="E212" s="7" t="s">
        <v>19</v>
      </c>
      <c r="F212" s="7" t="s">
        <v>23</v>
      </c>
      <c r="G212" s="7" t="s">
        <v>31</v>
      </c>
      <c r="H212" s="7">
        <v>113</v>
      </c>
      <c r="I212" s="5">
        <v>180</v>
      </c>
      <c r="J212" s="5">
        <f t="shared" si="3"/>
        <v>20340</v>
      </c>
      <c r="K212" s="7">
        <v>11</v>
      </c>
      <c r="L212" s="7" t="s">
        <v>35</v>
      </c>
      <c r="M212" s="7"/>
    </row>
    <row r="213" spans="2:13" ht="15.6" thickTop="1" thickBot="1" x14ac:dyDescent="0.35">
      <c r="B213" s="8">
        <v>211</v>
      </c>
      <c r="C213" s="9" t="s">
        <v>10</v>
      </c>
      <c r="D213" s="19">
        <v>45593</v>
      </c>
      <c r="E213" s="9" t="s">
        <v>14</v>
      </c>
      <c r="F213" s="9" t="s">
        <v>25</v>
      </c>
      <c r="G213" s="9" t="s">
        <v>30</v>
      </c>
      <c r="H213" s="9">
        <v>158</v>
      </c>
      <c r="I213" s="5">
        <v>180</v>
      </c>
      <c r="J213" s="5">
        <f t="shared" si="3"/>
        <v>28440</v>
      </c>
      <c r="K213" s="9">
        <v>12</v>
      </c>
      <c r="L213" s="9" t="s">
        <v>34</v>
      </c>
      <c r="M213" s="9">
        <v>3</v>
      </c>
    </row>
    <row r="214" spans="2:13" ht="15.6" thickTop="1" thickBot="1" x14ac:dyDescent="0.35">
      <c r="B214" s="6">
        <v>212</v>
      </c>
      <c r="C214" s="7" t="s">
        <v>10</v>
      </c>
      <c r="D214" s="18">
        <v>45594</v>
      </c>
      <c r="E214" s="7" t="s">
        <v>18</v>
      </c>
      <c r="F214" s="7" t="s">
        <v>27</v>
      </c>
      <c r="G214" s="7" t="s">
        <v>29</v>
      </c>
      <c r="H214" s="7">
        <v>189</v>
      </c>
      <c r="I214" s="5">
        <v>225</v>
      </c>
      <c r="J214" s="5">
        <f t="shared" si="3"/>
        <v>42525</v>
      </c>
      <c r="K214" s="7">
        <v>22</v>
      </c>
      <c r="L214" s="7" t="s">
        <v>34</v>
      </c>
      <c r="M214" s="7">
        <v>4</v>
      </c>
    </row>
    <row r="215" spans="2:13" ht="15.6" thickTop="1" thickBot="1" x14ac:dyDescent="0.35">
      <c r="B215" s="8">
        <v>213</v>
      </c>
      <c r="C215" s="9" t="s">
        <v>11</v>
      </c>
      <c r="D215" s="19">
        <v>45595</v>
      </c>
      <c r="E215" s="9" t="s">
        <v>16</v>
      </c>
      <c r="F215" s="9" t="s">
        <v>26</v>
      </c>
      <c r="G215" s="9" t="s">
        <v>30</v>
      </c>
      <c r="H215" s="9">
        <v>98</v>
      </c>
      <c r="I215" s="5">
        <v>225</v>
      </c>
      <c r="J215" s="5">
        <f t="shared" si="3"/>
        <v>22050</v>
      </c>
      <c r="K215" s="9">
        <v>19</v>
      </c>
      <c r="L215" s="9" t="s">
        <v>35</v>
      </c>
      <c r="M215" s="9"/>
    </row>
    <row r="216" spans="2:13" ht="15.6" thickTop="1" thickBot="1" x14ac:dyDescent="0.35">
      <c r="B216" s="6">
        <v>214</v>
      </c>
      <c r="C216" s="7" t="s">
        <v>10</v>
      </c>
      <c r="D216" s="18">
        <v>45596</v>
      </c>
      <c r="E216" s="7" t="s">
        <v>14</v>
      </c>
      <c r="F216" s="7" t="s">
        <v>25</v>
      </c>
      <c r="G216" s="7" t="s">
        <v>32</v>
      </c>
      <c r="H216" s="7">
        <v>162</v>
      </c>
      <c r="I216" s="5">
        <v>90</v>
      </c>
      <c r="J216" s="5">
        <f t="shared" si="3"/>
        <v>14580</v>
      </c>
      <c r="K216" s="7">
        <v>13</v>
      </c>
      <c r="L216" s="7" t="s">
        <v>33</v>
      </c>
      <c r="M216" s="7">
        <v>4</v>
      </c>
    </row>
    <row r="217" spans="2:13" ht="15.6" thickTop="1" thickBot="1" x14ac:dyDescent="0.35">
      <c r="B217" s="8">
        <v>215</v>
      </c>
      <c r="C217" s="9" t="s">
        <v>11</v>
      </c>
      <c r="D217" s="19">
        <v>45597</v>
      </c>
      <c r="E217" s="9" t="s">
        <v>14</v>
      </c>
      <c r="F217" s="9" t="s">
        <v>25</v>
      </c>
      <c r="G217" s="9" t="s">
        <v>30</v>
      </c>
      <c r="H217" s="9">
        <v>56</v>
      </c>
      <c r="I217" s="5">
        <v>45</v>
      </c>
      <c r="J217" s="5">
        <f t="shared" si="3"/>
        <v>2520</v>
      </c>
      <c r="K217" s="9">
        <v>20</v>
      </c>
      <c r="L217" s="9" t="s">
        <v>35</v>
      </c>
      <c r="M217" s="9">
        <v>4</v>
      </c>
    </row>
    <row r="218" spans="2:13" ht="15.6" thickTop="1" thickBot="1" x14ac:dyDescent="0.35">
      <c r="B218" s="6">
        <v>216</v>
      </c>
      <c r="C218" s="7" t="s">
        <v>10</v>
      </c>
      <c r="D218" s="18">
        <v>45598</v>
      </c>
      <c r="E218" s="7" t="s">
        <v>14</v>
      </c>
      <c r="F218" s="7" t="s">
        <v>25</v>
      </c>
      <c r="G218" s="7" t="s">
        <v>31</v>
      </c>
      <c r="H218" s="7">
        <v>197</v>
      </c>
      <c r="I218" s="5">
        <v>135</v>
      </c>
      <c r="J218" s="5">
        <f t="shared" si="3"/>
        <v>26595</v>
      </c>
      <c r="K218" s="7">
        <v>22</v>
      </c>
      <c r="L218" s="7" t="s">
        <v>35</v>
      </c>
      <c r="M218" s="7">
        <v>2</v>
      </c>
    </row>
    <row r="219" spans="2:13" ht="15.6" thickTop="1" thickBot="1" x14ac:dyDescent="0.35">
      <c r="B219" s="8">
        <v>217</v>
      </c>
      <c r="C219" s="9" t="s">
        <v>10</v>
      </c>
      <c r="D219" s="19">
        <v>45599</v>
      </c>
      <c r="E219" s="9" t="s">
        <v>20</v>
      </c>
      <c r="F219" s="9" t="s">
        <v>20</v>
      </c>
      <c r="G219" s="9" t="s">
        <v>28</v>
      </c>
      <c r="H219" s="9">
        <v>38</v>
      </c>
      <c r="I219" s="5">
        <v>180</v>
      </c>
      <c r="J219" s="5">
        <f t="shared" si="3"/>
        <v>6840</v>
      </c>
      <c r="K219" s="9">
        <v>12</v>
      </c>
      <c r="L219" s="9" t="s">
        <v>34</v>
      </c>
      <c r="M219" s="9"/>
    </row>
    <row r="220" spans="2:13" ht="15.6" thickTop="1" thickBot="1" x14ac:dyDescent="0.35">
      <c r="B220" s="6">
        <v>218</v>
      </c>
      <c r="C220" s="7" t="s">
        <v>11</v>
      </c>
      <c r="D220" s="18">
        <v>45600</v>
      </c>
      <c r="E220" s="7" t="s">
        <v>19</v>
      </c>
      <c r="F220" s="7" t="s">
        <v>23</v>
      </c>
      <c r="G220" s="7" t="s">
        <v>29</v>
      </c>
      <c r="H220" s="7">
        <v>91</v>
      </c>
      <c r="I220" s="5">
        <v>90</v>
      </c>
      <c r="J220" s="5">
        <f t="shared" si="3"/>
        <v>8190</v>
      </c>
      <c r="K220" s="7">
        <v>10</v>
      </c>
      <c r="L220" s="7" t="s">
        <v>35</v>
      </c>
      <c r="M220" s="7">
        <v>2</v>
      </c>
    </row>
    <row r="221" spans="2:13" ht="15.6" thickTop="1" thickBot="1" x14ac:dyDescent="0.35">
      <c r="B221" s="8">
        <v>219</v>
      </c>
      <c r="C221" s="9" t="s">
        <v>10</v>
      </c>
      <c r="D221" s="19">
        <v>45601</v>
      </c>
      <c r="E221" s="9" t="s">
        <v>14</v>
      </c>
      <c r="F221" s="9" t="s">
        <v>25</v>
      </c>
      <c r="G221" s="9" t="s">
        <v>30</v>
      </c>
      <c r="H221" s="9">
        <v>245</v>
      </c>
      <c r="I221" s="5">
        <v>180</v>
      </c>
      <c r="J221" s="5">
        <f t="shared" si="3"/>
        <v>44100</v>
      </c>
      <c r="K221" s="9">
        <v>19</v>
      </c>
      <c r="L221" s="9" t="s">
        <v>35</v>
      </c>
      <c r="M221" s="9"/>
    </row>
    <row r="222" spans="2:13" ht="15.6" thickTop="1" thickBot="1" x14ac:dyDescent="0.35">
      <c r="B222" s="6">
        <v>220</v>
      </c>
      <c r="C222" s="7" t="s">
        <v>10</v>
      </c>
      <c r="D222" s="18">
        <v>45602</v>
      </c>
      <c r="E222" s="7" t="s">
        <v>12</v>
      </c>
      <c r="F222" s="7" t="s">
        <v>23</v>
      </c>
      <c r="G222" s="7" t="s">
        <v>32</v>
      </c>
      <c r="H222" s="7">
        <v>68</v>
      </c>
      <c r="I222" s="5">
        <v>90</v>
      </c>
      <c r="J222" s="5">
        <f t="shared" si="3"/>
        <v>6120</v>
      </c>
      <c r="K222" s="7">
        <v>21</v>
      </c>
      <c r="L222" s="7" t="s">
        <v>35</v>
      </c>
      <c r="M222" s="7"/>
    </row>
    <row r="223" spans="2:13" ht="15.6" thickTop="1" thickBot="1" x14ac:dyDescent="0.35">
      <c r="B223" s="8">
        <v>221</v>
      </c>
      <c r="C223" s="9" t="s">
        <v>10</v>
      </c>
      <c r="D223" s="19">
        <v>45603</v>
      </c>
      <c r="E223" s="9" t="s">
        <v>19</v>
      </c>
      <c r="F223" s="9" t="s">
        <v>23</v>
      </c>
      <c r="G223" s="9" t="s">
        <v>31</v>
      </c>
      <c r="H223" s="9">
        <v>194</v>
      </c>
      <c r="I223" s="5">
        <v>45</v>
      </c>
      <c r="J223" s="5">
        <f t="shared" si="3"/>
        <v>8730</v>
      </c>
      <c r="K223" s="9">
        <v>16</v>
      </c>
      <c r="L223" s="9" t="s">
        <v>35</v>
      </c>
      <c r="M223" s="9">
        <v>3</v>
      </c>
    </row>
    <row r="224" spans="2:13" ht="15.6" thickTop="1" thickBot="1" x14ac:dyDescent="0.35">
      <c r="B224" s="6">
        <v>222</v>
      </c>
      <c r="C224" s="7" t="s">
        <v>11</v>
      </c>
      <c r="D224" s="18">
        <v>45604</v>
      </c>
      <c r="E224" s="7" t="s">
        <v>18</v>
      </c>
      <c r="F224" s="7" t="s">
        <v>27</v>
      </c>
      <c r="G224" s="7" t="s">
        <v>32</v>
      </c>
      <c r="H224" s="7">
        <v>216</v>
      </c>
      <c r="I224" s="5">
        <v>45</v>
      </c>
      <c r="J224" s="5">
        <f t="shared" si="3"/>
        <v>9720</v>
      </c>
      <c r="K224" s="7">
        <v>9</v>
      </c>
      <c r="L224" s="7" t="s">
        <v>35</v>
      </c>
      <c r="M224" s="7"/>
    </row>
    <row r="225" spans="2:13" ht="15.6" thickTop="1" thickBot="1" x14ac:dyDescent="0.35">
      <c r="B225" s="8">
        <v>223</v>
      </c>
      <c r="C225" s="9" t="s">
        <v>11</v>
      </c>
      <c r="D225" s="19">
        <v>45605</v>
      </c>
      <c r="E225" s="9" t="s">
        <v>13</v>
      </c>
      <c r="F225" s="9" t="s">
        <v>24</v>
      </c>
      <c r="G225" s="9" t="s">
        <v>29</v>
      </c>
      <c r="H225" s="9">
        <v>42</v>
      </c>
      <c r="I225" s="5">
        <v>45</v>
      </c>
      <c r="J225" s="5">
        <f t="shared" si="3"/>
        <v>1890</v>
      </c>
      <c r="K225" s="9">
        <v>17</v>
      </c>
      <c r="L225" s="9" t="s">
        <v>34</v>
      </c>
      <c r="M225" s="9">
        <v>4</v>
      </c>
    </row>
    <row r="226" spans="2:13" ht="15.6" thickTop="1" thickBot="1" x14ac:dyDescent="0.35">
      <c r="B226" s="6">
        <v>224</v>
      </c>
      <c r="C226" s="7" t="s">
        <v>10</v>
      </c>
      <c r="D226" s="18">
        <v>45606</v>
      </c>
      <c r="E226" s="7" t="s">
        <v>17</v>
      </c>
      <c r="F226" s="7" t="s">
        <v>24</v>
      </c>
      <c r="G226" s="7" t="s">
        <v>32</v>
      </c>
      <c r="H226" s="7">
        <v>215</v>
      </c>
      <c r="I226" s="5">
        <v>135</v>
      </c>
      <c r="J226" s="5">
        <f t="shared" si="3"/>
        <v>29025</v>
      </c>
      <c r="K226" s="7">
        <v>21</v>
      </c>
      <c r="L226" s="7" t="s">
        <v>34</v>
      </c>
      <c r="M226" s="7">
        <v>5</v>
      </c>
    </row>
    <row r="227" spans="2:13" ht="15.6" thickTop="1" thickBot="1" x14ac:dyDescent="0.35">
      <c r="B227" s="8">
        <v>225</v>
      </c>
      <c r="C227" s="9" t="s">
        <v>10</v>
      </c>
      <c r="D227" s="19">
        <v>45607</v>
      </c>
      <c r="E227" s="9" t="s">
        <v>22</v>
      </c>
      <c r="F227" s="9" t="s">
        <v>25</v>
      </c>
      <c r="G227" s="9" t="s">
        <v>29</v>
      </c>
      <c r="H227" s="9">
        <v>64</v>
      </c>
      <c r="I227" s="5">
        <v>135</v>
      </c>
      <c r="J227" s="5">
        <f t="shared" si="3"/>
        <v>8640</v>
      </c>
      <c r="K227" s="9">
        <v>12</v>
      </c>
      <c r="L227" s="9" t="s">
        <v>34</v>
      </c>
      <c r="M227" s="9">
        <v>3</v>
      </c>
    </row>
    <row r="228" spans="2:13" ht="15.6" thickTop="1" thickBot="1" x14ac:dyDescent="0.35">
      <c r="B228" s="6">
        <v>226</v>
      </c>
      <c r="C228" s="7" t="s">
        <v>11</v>
      </c>
      <c r="D228" s="18">
        <v>45608</v>
      </c>
      <c r="E228" s="7" t="s">
        <v>16</v>
      </c>
      <c r="F228" s="7" t="s">
        <v>26</v>
      </c>
      <c r="G228" s="7" t="s">
        <v>29</v>
      </c>
      <c r="H228" s="7">
        <v>42</v>
      </c>
      <c r="I228" s="5">
        <v>225</v>
      </c>
      <c r="J228" s="5">
        <f t="shared" si="3"/>
        <v>9450</v>
      </c>
      <c r="K228" s="7">
        <v>15</v>
      </c>
      <c r="L228" s="7" t="s">
        <v>35</v>
      </c>
      <c r="M228" s="7">
        <v>5</v>
      </c>
    </row>
    <row r="229" spans="2:13" ht="15.6" thickTop="1" thickBot="1" x14ac:dyDescent="0.35">
      <c r="B229" s="8">
        <v>227</v>
      </c>
      <c r="C229" s="9" t="s">
        <v>11</v>
      </c>
      <c r="D229" s="19">
        <v>45609</v>
      </c>
      <c r="E229" s="9" t="s">
        <v>17</v>
      </c>
      <c r="F229" s="9" t="s">
        <v>24</v>
      </c>
      <c r="G229" s="9" t="s">
        <v>29</v>
      </c>
      <c r="H229" s="9">
        <v>198</v>
      </c>
      <c r="I229" s="5">
        <v>135</v>
      </c>
      <c r="J229" s="5">
        <f t="shared" si="3"/>
        <v>26730</v>
      </c>
      <c r="K229" s="9">
        <v>9</v>
      </c>
      <c r="L229" s="9" t="s">
        <v>35</v>
      </c>
      <c r="M229" s="9">
        <v>4</v>
      </c>
    </row>
    <row r="230" spans="2:13" ht="15.6" thickTop="1" thickBot="1" x14ac:dyDescent="0.35">
      <c r="B230" s="6">
        <v>228</v>
      </c>
      <c r="C230" s="7" t="s">
        <v>11</v>
      </c>
      <c r="D230" s="18">
        <v>45610</v>
      </c>
      <c r="E230" s="7" t="s">
        <v>16</v>
      </c>
      <c r="F230" s="7" t="s">
        <v>26</v>
      </c>
      <c r="G230" s="7" t="s">
        <v>28</v>
      </c>
      <c r="H230" s="7">
        <v>129</v>
      </c>
      <c r="I230" s="5">
        <v>225</v>
      </c>
      <c r="J230" s="5">
        <f t="shared" si="3"/>
        <v>29025</v>
      </c>
      <c r="K230" s="7">
        <v>12</v>
      </c>
      <c r="L230" s="7" t="s">
        <v>33</v>
      </c>
      <c r="M230" s="7">
        <v>4</v>
      </c>
    </row>
    <row r="231" spans="2:13" ht="15.6" thickTop="1" thickBot="1" x14ac:dyDescent="0.35">
      <c r="B231" s="8">
        <v>229</v>
      </c>
      <c r="C231" s="9" t="s">
        <v>10</v>
      </c>
      <c r="D231" s="19">
        <v>45611</v>
      </c>
      <c r="E231" s="9" t="s">
        <v>12</v>
      </c>
      <c r="F231" s="9" t="s">
        <v>23</v>
      </c>
      <c r="G231" s="9" t="s">
        <v>31</v>
      </c>
      <c r="H231" s="9">
        <v>216</v>
      </c>
      <c r="I231" s="5">
        <v>180</v>
      </c>
      <c r="J231" s="5">
        <f t="shared" si="3"/>
        <v>38880</v>
      </c>
      <c r="K231" s="9">
        <v>12</v>
      </c>
      <c r="L231" s="9" t="s">
        <v>34</v>
      </c>
      <c r="M231" s="9"/>
    </row>
    <row r="232" spans="2:13" ht="15.6" thickTop="1" thickBot="1" x14ac:dyDescent="0.35">
      <c r="B232" s="6">
        <v>230</v>
      </c>
      <c r="C232" s="7" t="s">
        <v>10</v>
      </c>
      <c r="D232" s="18">
        <v>45612</v>
      </c>
      <c r="E232" s="7" t="s">
        <v>19</v>
      </c>
      <c r="F232" s="7" t="s">
        <v>23</v>
      </c>
      <c r="G232" s="7" t="s">
        <v>30</v>
      </c>
      <c r="H232" s="7">
        <v>146</v>
      </c>
      <c r="I232" s="5">
        <v>135</v>
      </c>
      <c r="J232" s="5">
        <f t="shared" si="3"/>
        <v>19710</v>
      </c>
      <c r="K232" s="7">
        <v>18</v>
      </c>
      <c r="L232" s="7" t="s">
        <v>34</v>
      </c>
      <c r="M232" s="7">
        <v>1</v>
      </c>
    </row>
    <row r="233" spans="2:13" ht="15.6" thickTop="1" thickBot="1" x14ac:dyDescent="0.35">
      <c r="B233" s="8">
        <v>231</v>
      </c>
      <c r="C233" s="9" t="s">
        <v>11</v>
      </c>
      <c r="D233" s="19">
        <v>45613</v>
      </c>
      <c r="E233" s="9" t="s">
        <v>21</v>
      </c>
      <c r="F233" s="9" t="s">
        <v>26</v>
      </c>
      <c r="G233" s="9" t="s">
        <v>28</v>
      </c>
      <c r="H233" s="9">
        <v>90</v>
      </c>
      <c r="I233" s="5">
        <v>45</v>
      </c>
      <c r="J233" s="5">
        <f t="shared" si="3"/>
        <v>4050</v>
      </c>
      <c r="K233" s="9">
        <v>19</v>
      </c>
      <c r="L233" s="9" t="s">
        <v>34</v>
      </c>
      <c r="M233" s="9">
        <v>3</v>
      </c>
    </row>
    <row r="234" spans="2:13" ht="15.6" thickTop="1" thickBot="1" x14ac:dyDescent="0.35">
      <c r="B234" s="6">
        <v>232</v>
      </c>
      <c r="C234" s="7" t="s">
        <v>10</v>
      </c>
      <c r="D234" s="18">
        <v>45614</v>
      </c>
      <c r="E234" s="7" t="s">
        <v>15</v>
      </c>
      <c r="F234" s="7" t="s">
        <v>25</v>
      </c>
      <c r="G234" s="7" t="s">
        <v>30</v>
      </c>
      <c r="H234" s="7">
        <v>42</v>
      </c>
      <c r="I234" s="5">
        <v>135</v>
      </c>
      <c r="J234" s="5">
        <f t="shared" si="3"/>
        <v>5670</v>
      </c>
      <c r="K234" s="7">
        <v>20</v>
      </c>
      <c r="L234" s="7" t="s">
        <v>35</v>
      </c>
      <c r="M234" s="7">
        <v>4</v>
      </c>
    </row>
    <row r="235" spans="2:13" ht="15.6" thickTop="1" thickBot="1" x14ac:dyDescent="0.35">
      <c r="B235" s="8">
        <v>233</v>
      </c>
      <c r="C235" s="9" t="s">
        <v>11</v>
      </c>
      <c r="D235" s="19">
        <v>45615</v>
      </c>
      <c r="E235" s="9" t="s">
        <v>13</v>
      </c>
      <c r="F235" s="9" t="s">
        <v>24</v>
      </c>
      <c r="G235" s="9" t="s">
        <v>28</v>
      </c>
      <c r="H235" s="9">
        <v>58</v>
      </c>
      <c r="I235" s="5">
        <v>225</v>
      </c>
      <c r="J235" s="5">
        <f t="shared" si="3"/>
        <v>13050</v>
      </c>
      <c r="K235" s="9">
        <v>16</v>
      </c>
      <c r="L235" s="9" t="s">
        <v>34</v>
      </c>
      <c r="M235" s="9"/>
    </row>
    <row r="236" spans="2:13" ht="15.6" thickTop="1" thickBot="1" x14ac:dyDescent="0.35">
      <c r="B236" s="6">
        <v>234</v>
      </c>
      <c r="C236" s="7" t="s">
        <v>11</v>
      </c>
      <c r="D236" s="18">
        <v>45616</v>
      </c>
      <c r="E236" s="7" t="s">
        <v>16</v>
      </c>
      <c r="F236" s="7" t="s">
        <v>26</v>
      </c>
      <c r="G236" s="7" t="s">
        <v>31</v>
      </c>
      <c r="H236" s="7">
        <v>139</v>
      </c>
      <c r="I236" s="5">
        <v>90</v>
      </c>
      <c r="J236" s="5">
        <f t="shared" si="3"/>
        <v>12510</v>
      </c>
      <c r="K236" s="7">
        <v>12</v>
      </c>
      <c r="L236" s="7" t="s">
        <v>33</v>
      </c>
      <c r="M236" s="7">
        <v>4</v>
      </c>
    </row>
    <row r="237" spans="2:13" ht="15.6" thickTop="1" thickBot="1" x14ac:dyDescent="0.35">
      <c r="B237" s="8">
        <v>235</v>
      </c>
      <c r="C237" s="9" t="s">
        <v>10</v>
      </c>
      <c r="D237" s="19">
        <v>45617</v>
      </c>
      <c r="E237" s="9" t="s">
        <v>21</v>
      </c>
      <c r="F237" s="9" t="s">
        <v>26</v>
      </c>
      <c r="G237" s="9" t="s">
        <v>32</v>
      </c>
      <c r="H237" s="9">
        <v>250</v>
      </c>
      <c r="I237" s="5">
        <v>45</v>
      </c>
      <c r="J237" s="5">
        <f t="shared" si="3"/>
        <v>11250</v>
      </c>
      <c r="K237" s="9">
        <v>12</v>
      </c>
      <c r="L237" s="9" t="s">
        <v>33</v>
      </c>
      <c r="M237" s="9"/>
    </row>
    <row r="238" spans="2:13" ht="15.6" thickTop="1" thickBot="1" x14ac:dyDescent="0.35">
      <c r="B238" s="6">
        <v>236</v>
      </c>
      <c r="C238" s="7" t="s">
        <v>10</v>
      </c>
      <c r="D238" s="18">
        <v>45618</v>
      </c>
      <c r="E238" s="7" t="s">
        <v>20</v>
      </c>
      <c r="F238" s="7" t="s">
        <v>20</v>
      </c>
      <c r="G238" s="7" t="s">
        <v>32</v>
      </c>
      <c r="H238" s="7">
        <v>137</v>
      </c>
      <c r="I238" s="5">
        <v>180</v>
      </c>
      <c r="J238" s="5">
        <f t="shared" si="3"/>
        <v>24660</v>
      </c>
      <c r="K238" s="7">
        <v>18</v>
      </c>
      <c r="L238" s="7" t="s">
        <v>34</v>
      </c>
      <c r="M238" s="7">
        <v>1</v>
      </c>
    </row>
    <row r="239" spans="2:13" ht="15.6" thickTop="1" thickBot="1" x14ac:dyDescent="0.35">
      <c r="B239" s="8">
        <v>237</v>
      </c>
      <c r="C239" s="9" t="s">
        <v>11</v>
      </c>
      <c r="D239" s="19">
        <v>45619</v>
      </c>
      <c r="E239" s="9" t="s">
        <v>15</v>
      </c>
      <c r="F239" s="9" t="s">
        <v>25</v>
      </c>
      <c r="G239" s="9" t="s">
        <v>29</v>
      </c>
      <c r="H239" s="9">
        <v>83</v>
      </c>
      <c r="I239" s="5">
        <v>90</v>
      </c>
      <c r="J239" s="5">
        <f t="shared" si="3"/>
        <v>7470</v>
      </c>
      <c r="K239" s="9">
        <v>11</v>
      </c>
      <c r="L239" s="9" t="s">
        <v>35</v>
      </c>
      <c r="M239" s="9">
        <v>3</v>
      </c>
    </row>
    <row r="240" spans="2:13" ht="15.6" thickTop="1" thickBot="1" x14ac:dyDescent="0.35">
      <c r="B240" s="6">
        <v>238</v>
      </c>
      <c r="C240" s="7" t="s">
        <v>11</v>
      </c>
      <c r="D240" s="18">
        <v>45620</v>
      </c>
      <c r="E240" s="7" t="s">
        <v>18</v>
      </c>
      <c r="F240" s="7" t="s">
        <v>27</v>
      </c>
      <c r="G240" s="7" t="s">
        <v>30</v>
      </c>
      <c r="H240" s="7">
        <v>138</v>
      </c>
      <c r="I240" s="5">
        <v>45</v>
      </c>
      <c r="J240" s="5">
        <f t="shared" si="3"/>
        <v>6210</v>
      </c>
      <c r="K240" s="7">
        <v>13</v>
      </c>
      <c r="L240" s="7" t="s">
        <v>34</v>
      </c>
      <c r="M240" s="7">
        <v>4</v>
      </c>
    </row>
    <row r="241" spans="2:13" ht="15.6" thickTop="1" thickBot="1" x14ac:dyDescent="0.35">
      <c r="B241" s="8">
        <v>239</v>
      </c>
      <c r="C241" s="9" t="s">
        <v>10</v>
      </c>
      <c r="D241" s="19">
        <v>45621</v>
      </c>
      <c r="E241" s="9" t="s">
        <v>16</v>
      </c>
      <c r="F241" s="9" t="s">
        <v>26</v>
      </c>
      <c r="G241" s="9" t="s">
        <v>28</v>
      </c>
      <c r="H241" s="9">
        <v>56</v>
      </c>
      <c r="I241" s="5">
        <v>180</v>
      </c>
      <c r="J241" s="5">
        <f t="shared" si="3"/>
        <v>10080</v>
      </c>
      <c r="K241" s="9">
        <v>17</v>
      </c>
      <c r="L241" s="9" t="s">
        <v>34</v>
      </c>
      <c r="M241" s="9">
        <v>4</v>
      </c>
    </row>
    <row r="242" spans="2:13" ht="15.6" thickTop="1" thickBot="1" x14ac:dyDescent="0.35">
      <c r="B242" s="6">
        <v>240</v>
      </c>
      <c r="C242" s="7" t="s">
        <v>11</v>
      </c>
      <c r="D242" s="18">
        <v>45622</v>
      </c>
      <c r="E242" s="7" t="s">
        <v>21</v>
      </c>
      <c r="F242" s="7" t="s">
        <v>26</v>
      </c>
      <c r="G242" s="7" t="s">
        <v>29</v>
      </c>
      <c r="H242" s="7">
        <v>67</v>
      </c>
      <c r="I242" s="5">
        <v>225</v>
      </c>
      <c r="J242" s="5">
        <f t="shared" si="3"/>
        <v>15075</v>
      </c>
      <c r="K242" s="7">
        <v>20</v>
      </c>
      <c r="L242" s="7" t="s">
        <v>35</v>
      </c>
      <c r="M242" s="7">
        <v>1</v>
      </c>
    </row>
    <row r="243" spans="2:13" ht="15.6" thickTop="1" thickBot="1" x14ac:dyDescent="0.35">
      <c r="B243" s="8">
        <v>241</v>
      </c>
      <c r="C243" s="9" t="s">
        <v>10</v>
      </c>
      <c r="D243" s="19">
        <v>45623</v>
      </c>
      <c r="E243" s="9" t="s">
        <v>12</v>
      </c>
      <c r="F243" s="9" t="s">
        <v>23</v>
      </c>
      <c r="G243" s="9" t="s">
        <v>28</v>
      </c>
      <c r="H243" s="9">
        <v>228</v>
      </c>
      <c r="I243" s="5">
        <v>90</v>
      </c>
      <c r="J243" s="5">
        <f t="shared" si="3"/>
        <v>20520</v>
      </c>
      <c r="K243" s="9">
        <v>23</v>
      </c>
      <c r="L243" s="9" t="s">
        <v>33</v>
      </c>
      <c r="M243" s="9">
        <v>3</v>
      </c>
    </row>
    <row r="244" spans="2:13" ht="15.6" thickTop="1" thickBot="1" x14ac:dyDescent="0.35">
      <c r="B244" s="6">
        <v>242</v>
      </c>
      <c r="C244" s="7" t="s">
        <v>10</v>
      </c>
      <c r="D244" s="18">
        <v>45624</v>
      </c>
      <c r="E244" s="7" t="s">
        <v>13</v>
      </c>
      <c r="F244" s="7" t="s">
        <v>24</v>
      </c>
      <c r="G244" s="7" t="s">
        <v>29</v>
      </c>
      <c r="H244" s="7">
        <v>45</v>
      </c>
      <c r="I244" s="5">
        <v>225</v>
      </c>
      <c r="J244" s="5">
        <f t="shared" si="3"/>
        <v>10125</v>
      </c>
      <c r="K244" s="7">
        <v>12</v>
      </c>
      <c r="L244" s="7" t="s">
        <v>33</v>
      </c>
      <c r="M244" s="7">
        <v>2</v>
      </c>
    </row>
    <row r="245" spans="2:13" ht="15.6" thickTop="1" thickBot="1" x14ac:dyDescent="0.35">
      <c r="B245" s="8">
        <v>243</v>
      </c>
      <c r="C245" s="9" t="s">
        <v>10</v>
      </c>
      <c r="D245" s="19">
        <v>45625</v>
      </c>
      <c r="E245" s="9" t="s">
        <v>17</v>
      </c>
      <c r="F245" s="9" t="s">
        <v>24</v>
      </c>
      <c r="G245" s="9" t="s">
        <v>28</v>
      </c>
      <c r="H245" s="9">
        <v>203</v>
      </c>
      <c r="I245" s="5">
        <v>180</v>
      </c>
      <c r="J245" s="5">
        <f t="shared" si="3"/>
        <v>36540</v>
      </c>
      <c r="K245" s="9">
        <v>14</v>
      </c>
      <c r="L245" s="9" t="s">
        <v>35</v>
      </c>
      <c r="M245" s="9">
        <v>2</v>
      </c>
    </row>
    <row r="246" spans="2:13" ht="15.6" thickTop="1" thickBot="1" x14ac:dyDescent="0.35">
      <c r="B246" s="6">
        <v>244</v>
      </c>
      <c r="C246" s="7" t="s">
        <v>11</v>
      </c>
      <c r="D246" s="18">
        <v>45626</v>
      </c>
      <c r="E246" s="7" t="s">
        <v>17</v>
      </c>
      <c r="F246" s="7" t="s">
        <v>24</v>
      </c>
      <c r="G246" s="7" t="s">
        <v>30</v>
      </c>
      <c r="H246" s="7">
        <v>69</v>
      </c>
      <c r="I246" s="5">
        <v>45</v>
      </c>
      <c r="J246" s="5">
        <f t="shared" si="3"/>
        <v>3105</v>
      </c>
      <c r="K246" s="7">
        <v>13</v>
      </c>
      <c r="L246" s="7" t="s">
        <v>34</v>
      </c>
      <c r="M246" s="7">
        <v>2</v>
      </c>
    </row>
    <row r="247" spans="2:13" ht="15.6" thickTop="1" thickBot="1" x14ac:dyDescent="0.35">
      <c r="B247" s="8">
        <v>245</v>
      </c>
      <c r="C247" s="9" t="s">
        <v>11</v>
      </c>
      <c r="D247" s="19">
        <v>45627</v>
      </c>
      <c r="E247" s="9" t="s">
        <v>17</v>
      </c>
      <c r="F247" s="9" t="s">
        <v>24</v>
      </c>
      <c r="G247" s="9" t="s">
        <v>30</v>
      </c>
      <c r="H247" s="9">
        <v>97</v>
      </c>
      <c r="I247" s="5">
        <v>90</v>
      </c>
      <c r="J247" s="5">
        <f t="shared" si="3"/>
        <v>8730</v>
      </c>
      <c r="K247" s="9">
        <v>10</v>
      </c>
      <c r="L247" s="9" t="s">
        <v>34</v>
      </c>
      <c r="M247" s="9">
        <v>3</v>
      </c>
    </row>
    <row r="248" spans="2:13" ht="15.6" thickTop="1" thickBot="1" x14ac:dyDescent="0.35">
      <c r="B248" s="6">
        <v>246</v>
      </c>
      <c r="C248" s="7" t="s">
        <v>11</v>
      </c>
      <c r="D248" s="18">
        <v>45628</v>
      </c>
      <c r="E248" s="7" t="s">
        <v>18</v>
      </c>
      <c r="F248" s="7" t="s">
        <v>27</v>
      </c>
      <c r="G248" s="7" t="s">
        <v>30</v>
      </c>
      <c r="H248" s="7">
        <v>62</v>
      </c>
      <c r="I248" s="5">
        <v>90</v>
      </c>
      <c r="J248" s="5">
        <f t="shared" si="3"/>
        <v>5580</v>
      </c>
      <c r="K248" s="7">
        <v>9</v>
      </c>
      <c r="L248" s="7" t="s">
        <v>35</v>
      </c>
      <c r="M248" s="7">
        <v>1</v>
      </c>
    </row>
    <row r="249" spans="2:13" ht="15.6" thickTop="1" thickBot="1" x14ac:dyDescent="0.35">
      <c r="B249" s="8">
        <v>247</v>
      </c>
      <c r="C249" s="9" t="s">
        <v>10</v>
      </c>
      <c r="D249" s="19">
        <v>45629</v>
      </c>
      <c r="E249" s="9" t="s">
        <v>13</v>
      </c>
      <c r="F249" s="9" t="s">
        <v>24</v>
      </c>
      <c r="G249" s="9" t="s">
        <v>28</v>
      </c>
      <c r="H249" s="9">
        <v>199</v>
      </c>
      <c r="I249" s="5">
        <v>45</v>
      </c>
      <c r="J249" s="5">
        <f t="shared" si="3"/>
        <v>8955</v>
      </c>
      <c r="K249" s="9">
        <v>19</v>
      </c>
      <c r="L249" s="9" t="s">
        <v>34</v>
      </c>
      <c r="M249" s="9"/>
    </row>
    <row r="250" spans="2:13" ht="15.6" thickTop="1" thickBot="1" x14ac:dyDescent="0.35">
      <c r="B250" s="6">
        <v>248</v>
      </c>
      <c r="C250" s="7" t="s">
        <v>11</v>
      </c>
      <c r="D250" s="18">
        <v>45630</v>
      </c>
      <c r="E250" s="7" t="s">
        <v>14</v>
      </c>
      <c r="F250" s="7" t="s">
        <v>25</v>
      </c>
      <c r="G250" s="7" t="s">
        <v>29</v>
      </c>
      <c r="H250" s="7">
        <v>81</v>
      </c>
      <c r="I250" s="5">
        <v>225</v>
      </c>
      <c r="J250" s="5">
        <f t="shared" si="3"/>
        <v>18225</v>
      </c>
      <c r="K250" s="7">
        <v>7</v>
      </c>
      <c r="L250" s="7" t="s">
        <v>33</v>
      </c>
      <c r="M250" s="7">
        <v>1</v>
      </c>
    </row>
    <row r="251" spans="2:13" ht="15.6" thickTop="1" thickBot="1" x14ac:dyDescent="0.35">
      <c r="B251" s="8">
        <v>249</v>
      </c>
      <c r="C251" s="9" t="s">
        <v>11</v>
      </c>
      <c r="D251" s="19">
        <v>45631</v>
      </c>
      <c r="E251" s="9" t="s">
        <v>21</v>
      </c>
      <c r="F251" s="9" t="s">
        <v>26</v>
      </c>
      <c r="G251" s="9" t="s">
        <v>28</v>
      </c>
      <c r="H251" s="9">
        <v>196</v>
      </c>
      <c r="I251" s="5">
        <v>225</v>
      </c>
      <c r="J251" s="5">
        <f t="shared" si="3"/>
        <v>44100</v>
      </c>
      <c r="K251" s="9">
        <v>13</v>
      </c>
      <c r="L251" s="9" t="s">
        <v>34</v>
      </c>
      <c r="M251" s="9">
        <v>1</v>
      </c>
    </row>
    <row r="252" spans="2:13" ht="15.6" thickTop="1" thickBot="1" x14ac:dyDescent="0.35">
      <c r="B252" s="6">
        <v>250</v>
      </c>
      <c r="C252" s="7" t="s">
        <v>10</v>
      </c>
      <c r="D252" s="18">
        <v>45632</v>
      </c>
      <c r="E252" s="7" t="s">
        <v>14</v>
      </c>
      <c r="F252" s="7" t="s">
        <v>25</v>
      </c>
      <c r="G252" s="7" t="s">
        <v>28</v>
      </c>
      <c r="H252" s="7">
        <v>179</v>
      </c>
      <c r="I252" s="5">
        <v>180</v>
      </c>
      <c r="J252" s="5">
        <f t="shared" si="3"/>
        <v>32220</v>
      </c>
      <c r="K252" s="7">
        <v>11</v>
      </c>
      <c r="L252" s="7" t="s">
        <v>33</v>
      </c>
      <c r="M252" s="7">
        <v>1</v>
      </c>
    </row>
    <row r="253" spans="2:13" ht="15.6" thickTop="1" thickBot="1" x14ac:dyDescent="0.35">
      <c r="B253" s="8">
        <v>251</v>
      </c>
      <c r="C253" s="9" t="s">
        <v>10</v>
      </c>
      <c r="D253" s="19">
        <v>45633</v>
      </c>
      <c r="E253" s="9" t="s">
        <v>14</v>
      </c>
      <c r="F253" s="9" t="s">
        <v>25</v>
      </c>
      <c r="G253" s="9" t="s">
        <v>31</v>
      </c>
      <c r="H253" s="9">
        <v>93</v>
      </c>
      <c r="I253" s="5">
        <v>135</v>
      </c>
      <c r="J253" s="5">
        <f t="shared" si="3"/>
        <v>12555</v>
      </c>
      <c r="K253" s="9">
        <v>21</v>
      </c>
      <c r="L253" s="9" t="s">
        <v>34</v>
      </c>
      <c r="M253" s="9">
        <v>5</v>
      </c>
    </row>
    <row r="254" spans="2:13" ht="15.6" thickTop="1" thickBot="1" x14ac:dyDescent="0.35">
      <c r="B254" s="6">
        <v>252</v>
      </c>
      <c r="C254" s="7" t="s">
        <v>10</v>
      </c>
      <c r="D254" s="18">
        <v>45634</v>
      </c>
      <c r="E254" s="7" t="s">
        <v>14</v>
      </c>
      <c r="F254" s="7" t="s">
        <v>25</v>
      </c>
      <c r="G254" s="7" t="s">
        <v>29</v>
      </c>
      <c r="H254" s="7">
        <v>37</v>
      </c>
      <c r="I254" s="5">
        <v>225</v>
      </c>
      <c r="J254" s="5">
        <f t="shared" si="3"/>
        <v>8325</v>
      </c>
      <c r="K254" s="7">
        <v>25</v>
      </c>
      <c r="L254" s="7" t="s">
        <v>35</v>
      </c>
      <c r="M254" s="7">
        <v>5</v>
      </c>
    </row>
    <row r="255" spans="2:13" ht="15.6" thickTop="1" thickBot="1" x14ac:dyDescent="0.35">
      <c r="B255" s="8">
        <v>253</v>
      </c>
      <c r="C255" s="9" t="s">
        <v>10</v>
      </c>
      <c r="D255" s="19">
        <v>45635</v>
      </c>
      <c r="E255" s="9" t="s">
        <v>22</v>
      </c>
      <c r="F255" s="9" t="s">
        <v>25</v>
      </c>
      <c r="G255" s="9" t="s">
        <v>32</v>
      </c>
      <c r="H255" s="9">
        <v>43</v>
      </c>
      <c r="I255" s="5">
        <v>90</v>
      </c>
      <c r="J255" s="5">
        <f t="shared" si="3"/>
        <v>3870</v>
      </c>
      <c r="K255" s="9">
        <v>13</v>
      </c>
      <c r="L255" s="9" t="s">
        <v>35</v>
      </c>
      <c r="M255" s="9">
        <v>1</v>
      </c>
    </row>
    <row r="256" spans="2:13" ht="15.6" thickTop="1" thickBot="1" x14ac:dyDescent="0.35">
      <c r="B256" s="6">
        <v>254</v>
      </c>
      <c r="C256" s="7" t="s">
        <v>11</v>
      </c>
      <c r="D256" s="18">
        <v>45636</v>
      </c>
      <c r="E256" s="7" t="s">
        <v>20</v>
      </c>
      <c r="F256" s="7" t="s">
        <v>20</v>
      </c>
      <c r="G256" s="7" t="s">
        <v>31</v>
      </c>
      <c r="H256" s="7">
        <v>219</v>
      </c>
      <c r="I256" s="5">
        <v>135</v>
      </c>
      <c r="J256" s="5">
        <f t="shared" si="3"/>
        <v>29565</v>
      </c>
      <c r="K256" s="7">
        <v>15</v>
      </c>
      <c r="L256" s="7" t="s">
        <v>33</v>
      </c>
      <c r="M256" s="7">
        <v>2</v>
      </c>
    </row>
    <row r="257" spans="2:13" ht="15.6" thickTop="1" thickBot="1" x14ac:dyDescent="0.35">
      <c r="B257" s="8">
        <v>255</v>
      </c>
      <c r="C257" s="9" t="s">
        <v>10</v>
      </c>
      <c r="D257" s="19">
        <v>45637</v>
      </c>
      <c r="E257" s="9" t="s">
        <v>12</v>
      </c>
      <c r="F257" s="9" t="s">
        <v>23</v>
      </c>
      <c r="G257" s="9" t="s">
        <v>31</v>
      </c>
      <c r="H257" s="9">
        <v>217</v>
      </c>
      <c r="I257" s="5">
        <v>90</v>
      </c>
      <c r="J257" s="5">
        <f t="shared" si="3"/>
        <v>19530</v>
      </c>
      <c r="K257" s="9">
        <v>12</v>
      </c>
      <c r="L257" s="9" t="s">
        <v>35</v>
      </c>
      <c r="M257" s="9">
        <v>1</v>
      </c>
    </row>
    <row r="258" spans="2:13" ht="15.6" thickTop="1" thickBot="1" x14ac:dyDescent="0.35">
      <c r="B258" s="6">
        <v>256</v>
      </c>
      <c r="C258" s="7" t="s">
        <v>10</v>
      </c>
      <c r="D258" s="18">
        <v>45638</v>
      </c>
      <c r="E258" s="7" t="s">
        <v>16</v>
      </c>
      <c r="F258" s="7" t="s">
        <v>26</v>
      </c>
      <c r="G258" s="7" t="s">
        <v>32</v>
      </c>
      <c r="H258" s="7">
        <v>63</v>
      </c>
      <c r="I258" s="5">
        <v>225</v>
      </c>
      <c r="J258" s="5">
        <f t="shared" si="3"/>
        <v>14175</v>
      </c>
      <c r="K258" s="7">
        <v>17</v>
      </c>
      <c r="L258" s="7" t="s">
        <v>35</v>
      </c>
      <c r="M258" s="7">
        <v>5</v>
      </c>
    </row>
    <row r="259" spans="2:13" ht="15.6" thickTop="1" thickBot="1" x14ac:dyDescent="0.35">
      <c r="B259" s="8">
        <v>257</v>
      </c>
      <c r="C259" s="9" t="s">
        <v>11</v>
      </c>
      <c r="D259" s="19">
        <v>45639</v>
      </c>
      <c r="E259" s="9" t="s">
        <v>22</v>
      </c>
      <c r="F259" s="9" t="s">
        <v>25</v>
      </c>
      <c r="G259" s="9" t="s">
        <v>30</v>
      </c>
      <c r="H259" s="9">
        <v>46</v>
      </c>
      <c r="I259" s="5">
        <v>90</v>
      </c>
      <c r="J259" s="5">
        <f t="shared" si="3"/>
        <v>4140</v>
      </c>
      <c r="K259" s="9">
        <v>11</v>
      </c>
      <c r="L259" s="9" t="s">
        <v>33</v>
      </c>
      <c r="M259" s="9">
        <v>5</v>
      </c>
    </row>
    <row r="260" spans="2:13" ht="15.6" thickTop="1" thickBot="1" x14ac:dyDescent="0.35">
      <c r="B260" s="6">
        <v>258</v>
      </c>
      <c r="C260" s="7" t="s">
        <v>10</v>
      </c>
      <c r="D260" s="18">
        <v>45640</v>
      </c>
      <c r="E260" s="7" t="s">
        <v>22</v>
      </c>
      <c r="F260" s="7" t="s">
        <v>25</v>
      </c>
      <c r="G260" s="7" t="s">
        <v>32</v>
      </c>
      <c r="H260" s="7">
        <v>62</v>
      </c>
      <c r="I260" s="5">
        <v>180</v>
      </c>
      <c r="J260" s="5">
        <f t="shared" ref="J260:J323" si="4">H260*I260</f>
        <v>11160</v>
      </c>
      <c r="K260" s="7">
        <v>14</v>
      </c>
      <c r="L260" s="7" t="s">
        <v>33</v>
      </c>
      <c r="M260" s="7"/>
    </row>
    <row r="261" spans="2:13" ht="15.6" thickTop="1" thickBot="1" x14ac:dyDescent="0.35">
      <c r="B261" s="8">
        <v>259</v>
      </c>
      <c r="C261" s="9" t="s">
        <v>10</v>
      </c>
      <c r="D261" s="19">
        <v>45641</v>
      </c>
      <c r="E261" s="9" t="s">
        <v>18</v>
      </c>
      <c r="F261" s="9" t="s">
        <v>27</v>
      </c>
      <c r="G261" s="9" t="s">
        <v>28</v>
      </c>
      <c r="H261" s="9">
        <v>123</v>
      </c>
      <c r="I261" s="5">
        <v>45</v>
      </c>
      <c r="J261" s="5">
        <f t="shared" si="4"/>
        <v>5535</v>
      </c>
      <c r="K261" s="9">
        <v>10</v>
      </c>
      <c r="L261" s="9" t="s">
        <v>35</v>
      </c>
      <c r="M261" s="9">
        <v>5</v>
      </c>
    </row>
    <row r="262" spans="2:13" ht="15.6" thickTop="1" thickBot="1" x14ac:dyDescent="0.35">
      <c r="B262" s="6">
        <v>260</v>
      </c>
      <c r="C262" s="7" t="s">
        <v>11</v>
      </c>
      <c r="D262" s="18">
        <v>45642</v>
      </c>
      <c r="E262" s="7" t="s">
        <v>16</v>
      </c>
      <c r="F262" s="7" t="s">
        <v>26</v>
      </c>
      <c r="G262" s="7" t="s">
        <v>31</v>
      </c>
      <c r="H262" s="7">
        <v>54</v>
      </c>
      <c r="I262" s="5">
        <v>45</v>
      </c>
      <c r="J262" s="5">
        <f t="shared" si="4"/>
        <v>2430</v>
      </c>
      <c r="K262" s="7">
        <v>13</v>
      </c>
      <c r="L262" s="7" t="s">
        <v>33</v>
      </c>
      <c r="M262" s="7">
        <v>4</v>
      </c>
    </row>
    <row r="263" spans="2:13" ht="15.6" thickTop="1" thickBot="1" x14ac:dyDescent="0.35">
      <c r="B263" s="8">
        <v>261</v>
      </c>
      <c r="C263" s="9" t="s">
        <v>10</v>
      </c>
      <c r="D263" s="19">
        <v>45643</v>
      </c>
      <c r="E263" s="9" t="s">
        <v>19</v>
      </c>
      <c r="F263" s="9" t="s">
        <v>23</v>
      </c>
      <c r="G263" s="9" t="s">
        <v>29</v>
      </c>
      <c r="H263" s="9">
        <v>85</v>
      </c>
      <c r="I263" s="5">
        <v>90</v>
      </c>
      <c r="J263" s="5">
        <f t="shared" si="4"/>
        <v>7650</v>
      </c>
      <c r="K263" s="9">
        <v>12</v>
      </c>
      <c r="L263" s="9" t="s">
        <v>35</v>
      </c>
      <c r="M263" s="9">
        <v>5</v>
      </c>
    </row>
    <row r="264" spans="2:13" ht="15.6" thickTop="1" thickBot="1" x14ac:dyDescent="0.35">
      <c r="B264" s="6">
        <v>262</v>
      </c>
      <c r="C264" s="7" t="s">
        <v>11</v>
      </c>
      <c r="D264" s="18">
        <v>45644</v>
      </c>
      <c r="E264" s="7" t="s">
        <v>18</v>
      </c>
      <c r="F264" s="7" t="s">
        <v>27</v>
      </c>
      <c r="G264" s="7" t="s">
        <v>29</v>
      </c>
      <c r="H264" s="7">
        <v>125</v>
      </c>
      <c r="I264" s="5">
        <v>180</v>
      </c>
      <c r="J264" s="5">
        <f t="shared" si="4"/>
        <v>22500</v>
      </c>
      <c r="K264" s="7">
        <v>16</v>
      </c>
      <c r="L264" s="7" t="s">
        <v>34</v>
      </c>
      <c r="M264" s="7">
        <v>2</v>
      </c>
    </row>
    <row r="265" spans="2:13" ht="15.6" thickTop="1" thickBot="1" x14ac:dyDescent="0.35">
      <c r="B265" s="8">
        <v>263</v>
      </c>
      <c r="C265" s="9" t="s">
        <v>10</v>
      </c>
      <c r="D265" s="19">
        <v>45645</v>
      </c>
      <c r="E265" s="9" t="s">
        <v>14</v>
      </c>
      <c r="F265" s="9" t="s">
        <v>25</v>
      </c>
      <c r="G265" s="9" t="s">
        <v>28</v>
      </c>
      <c r="H265" s="9">
        <v>229</v>
      </c>
      <c r="I265" s="5">
        <v>90</v>
      </c>
      <c r="J265" s="5">
        <f t="shared" si="4"/>
        <v>20610</v>
      </c>
      <c r="K265" s="9">
        <v>12</v>
      </c>
      <c r="L265" s="9" t="s">
        <v>34</v>
      </c>
      <c r="M265" s="9"/>
    </row>
    <row r="266" spans="2:13" ht="15.6" thickTop="1" thickBot="1" x14ac:dyDescent="0.35">
      <c r="B266" s="6">
        <v>264</v>
      </c>
      <c r="C266" s="7" t="s">
        <v>10</v>
      </c>
      <c r="D266" s="18">
        <v>45646</v>
      </c>
      <c r="E266" s="7" t="s">
        <v>15</v>
      </c>
      <c r="F266" s="7" t="s">
        <v>25</v>
      </c>
      <c r="G266" s="7" t="s">
        <v>30</v>
      </c>
      <c r="H266" s="7">
        <v>70</v>
      </c>
      <c r="I266" s="5">
        <v>90</v>
      </c>
      <c r="J266" s="5">
        <f t="shared" si="4"/>
        <v>6300</v>
      </c>
      <c r="K266" s="7">
        <v>14</v>
      </c>
      <c r="L266" s="7" t="s">
        <v>33</v>
      </c>
      <c r="M266" s="7">
        <v>5</v>
      </c>
    </row>
    <row r="267" spans="2:13" ht="15.6" thickTop="1" thickBot="1" x14ac:dyDescent="0.35">
      <c r="B267" s="8">
        <v>265</v>
      </c>
      <c r="C267" s="9" t="s">
        <v>10</v>
      </c>
      <c r="D267" s="19">
        <v>45647</v>
      </c>
      <c r="E267" s="9" t="s">
        <v>15</v>
      </c>
      <c r="F267" s="9" t="s">
        <v>25</v>
      </c>
      <c r="G267" s="9" t="s">
        <v>30</v>
      </c>
      <c r="H267" s="9">
        <v>141</v>
      </c>
      <c r="I267" s="5">
        <v>180</v>
      </c>
      <c r="J267" s="5">
        <f t="shared" si="4"/>
        <v>25380</v>
      </c>
      <c r="K267" s="9">
        <v>10</v>
      </c>
      <c r="L267" s="9" t="s">
        <v>33</v>
      </c>
      <c r="M267" s="9">
        <v>5</v>
      </c>
    </row>
    <row r="268" spans="2:13" ht="15.6" thickTop="1" thickBot="1" x14ac:dyDescent="0.35">
      <c r="B268" s="6">
        <v>266</v>
      </c>
      <c r="C268" s="7" t="s">
        <v>10</v>
      </c>
      <c r="D268" s="18">
        <v>45648</v>
      </c>
      <c r="E268" s="7" t="s">
        <v>12</v>
      </c>
      <c r="F268" s="7" t="s">
        <v>23</v>
      </c>
      <c r="G268" s="7" t="s">
        <v>32</v>
      </c>
      <c r="H268" s="7">
        <v>135</v>
      </c>
      <c r="I268" s="5">
        <v>180</v>
      </c>
      <c r="J268" s="5">
        <f t="shared" si="4"/>
        <v>24300</v>
      </c>
      <c r="K268" s="7">
        <v>23</v>
      </c>
      <c r="L268" s="7" t="s">
        <v>35</v>
      </c>
      <c r="M268" s="7"/>
    </row>
    <row r="269" spans="2:13" ht="15.6" thickTop="1" thickBot="1" x14ac:dyDescent="0.35">
      <c r="B269" s="8">
        <v>267</v>
      </c>
      <c r="C269" s="9" t="s">
        <v>10</v>
      </c>
      <c r="D269" s="19">
        <v>45649</v>
      </c>
      <c r="E269" s="9" t="s">
        <v>17</v>
      </c>
      <c r="F269" s="9" t="s">
        <v>24</v>
      </c>
      <c r="G269" s="9" t="s">
        <v>28</v>
      </c>
      <c r="H269" s="9">
        <v>149</v>
      </c>
      <c r="I269" s="5">
        <v>135</v>
      </c>
      <c r="J269" s="5">
        <f t="shared" si="4"/>
        <v>20115</v>
      </c>
      <c r="K269" s="9">
        <v>14</v>
      </c>
      <c r="L269" s="9" t="s">
        <v>34</v>
      </c>
      <c r="M269" s="9">
        <v>3</v>
      </c>
    </row>
    <row r="270" spans="2:13" ht="15.6" thickTop="1" thickBot="1" x14ac:dyDescent="0.35">
      <c r="B270" s="6">
        <v>268</v>
      </c>
      <c r="C270" s="7" t="s">
        <v>11</v>
      </c>
      <c r="D270" s="18">
        <v>45650</v>
      </c>
      <c r="E270" s="7" t="s">
        <v>15</v>
      </c>
      <c r="F270" s="7" t="s">
        <v>25</v>
      </c>
      <c r="G270" s="7" t="s">
        <v>29</v>
      </c>
      <c r="H270" s="7">
        <v>58</v>
      </c>
      <c r="I270" s="5">
        <v>135</v>
      </c>
      <c r="J270" s="5">
        <f t="shared" si="4"/>
        <v>7830</v>
      </c>
      <c r="K270" s="7">
        <v>20</v>
      </c>
      <c r="L270" s="7" t="s">
        <v>35</v>
      </c>
      <c r="M270" s="7">
        <v>4</v>
      </c>
    </row>
    <row r="271" spans="2:13" ht="15.6" thickTop="1" thickBot="1" x14ac:dyDescent="0.35">
      <c r="B271" s="8">
        <v>269</v>
      </c>
      <c r="C271" s="9" t="s">
        <v>10</v>
      </c>
      <c r="D271" s="19">
        <v>45651</v>
      </c>
      <c r="E271" s="9" t="s">
        <v>13</v>
      </c>
      <c r="F271" s="9" t="s">
        <v>24</v>
      </c>
      <c r="G271" s="9" t="s">
        <v>30</v>
      </c>
      <c r="H271" s="9">
        <v>227</v>
      </c>
      <c r="I271" s="5">
        <v>45</v>
      </c>
      <c r="J271" s="5">
        <f t="shared" si="4"/>
        <v>10215</v>
      </c>
      <c r="K271" s="9">
        <v>19</v>
      </c>
      <c r="L271" s="9" t="s">
        <v>33</v>
      </c>
      <c r="M271" s="9">
        <v>3</v>
      </c>
    </row>
    <row r="272" spans="2:13" ht="15.6" thickTop="1" thickBot="1" x14ac:dyDescent="0.35">
      <c r="B272" s="6">
        <v>270</v>
      </c>
      <c r="C272" s="7" t="s">
        <v>10</v>
      </c>
      <c r="D272" s="18">
        <v>45652</v>
      </c>
      <c r="E272" s="7" t="s">
        <v>12</v>
      </c>
      <c r="F272" s="7" t="s">
        <v>23</v>
      </c>
      <c r="G272" s="7" t="s">
        <v>30</v>
      </c>
      <c r="H272" s="7">
        <v>141</v>
      </c>
      <c r="I272" s="5">
        <v>135</v>
      </c>
      <c r="J272" s="5">
        <f t="shared" si="4"/>
        <v>19035</v>
      </c>
      <c r="K272" s="7">
        <v>12</v>
      </c>
      <c r="L272" s="7" t="s">
        <v>35</v>
      </c>
      <c r="M272" s="7">
        <v>4</v>
      </c>
    </row>
    <row r="273" spans="2:13" ht="15.6" thickTop="1" thickBot="1" x14ac:dyDescent="0.35">
      <c r="B273" s="8">
        <v>271</v>
      </c>
      <c r="C273" s="9" t="s">
        <v>11</v>
      </c>
      <c r="D273" s="19">
        <v>45653</v>
      </c>
      <c r="E273" s="9" t="s">
        <v>12</v>
      </c>
      <c r="F273" s="9" t="s">
        <v>23</v>
      </c>
      <c r="G273" s="9" t="s">
        <v>28</v>
      </c>
      <c r="H273" s="9">
        <v>81</v>
      </c>
      <c r="I273" s="5">
        <v>45</v>
      </c>
      <c r="J273" s="5">
        <f t="shared" si="4"/>
        <v>3645</v>
      </c>
      <c r="K273" s="9">
        <v>19</v>
      </c>
      <c r="L273" s="9" t="s">
        <v>34</v>
      </c>
      <c r="M273" s="9">
        <v>5</v>
      </c>
    </row>
    <row r="274" spans="2:13" ht="15.6" thickTop="1" thickBot="1" x14ac:dyDescent="0.35">
      <c r="B274" s="6">
        <v>272</v>
      </c>
      <c r="C274" s="7" t="s">
        <v>10</v>
      </c>
      <c r="D274" s="18">
        <v>45654</v>
      </c>
      <c r="E274" s="7" t="s">
        <v>15</v>
      </c>
      <c r="F274" s="7" t="s">
        <v>25</v>
      </c>
      <c r="G274" s="7" t="s">
        <v>28</v>
      </c>
      <c r="H274" s="7">
        <v>134</v>
      </c>
      <c r="I274" s="5">
        <v>45</v>
      </c>
      <c r="J274" s="5">
        <f t="shared" si="4"/>
        <v>6030</v>
      </c>
      <c r="K274" s="7">
        <v>24</v>
      </c>
      <c r="L274" s="7" t="s">
        <v>33</v>
      </c>
      <c r="M274" s="7">
        <v>3</v>
      </c>
    </row>
    <row r="275" spans="2:13" ht="15.6" thickTop="1" thickBot="1" x14ac:dyDescent="0.35">
      <c r="B275" s="8">
        <v>273</v>
      </c>
      <c r="C275" s="9" t="s">
        <v>10</v>
      </c>
      <c r="D275" s="19">
        <v>45655</v>
      </c>
      <c r="E275" s="9" t="s">
        <v>15</v>
      </c>
      <c r="F275" s="9" t="s">
        <v>25</v>
      </c>
      <c r="G275" s="9" t="s">
        <v>31</v>
      </c>
      <c r="H275" s="9">
        <v>69</v>
      </c>
      <c r="I275" s="5">
        <v>45</v>
      </c>
      <c r="J275" s="5">
        <f t="shared" si="4"/>
        <v>3105</v>
      </c>
      <c r="K275" s="9">
        <v>24</v>
      </c>
      <c r="L275" s="9" t="s">
        <v>35</v>
      </c>
      <c r="M275" s="9">
        <v>5</v>
      </c>
    </row>
    <row r="276" spans="2:13" ht="15.6" thickTop="1" thickBot="1" x14ac:dyDescent="0.35">
      <c r="B276" s="6">
        <v>274</v>
      </c>
      <c r="C276" s="7" t="s">
        <v>10</v>
      </c>
      <c r="D276" s="18">
        <v>45656</v>
      </c>
      <c r="E276" s="7" t="s">
        <v>18</v>
      </c>
      <c r="F276" s="7" t="s">
        <v>27</v>
      </c>
      <c r="G276" s="7" t="s">
        <v>32</v>
      </c>
      <c r="H276" s="7">
        <v>183</v>
      </c>
      <c r="I276" s="5">
        <v>45</v>
      </c>
      <c r="J276" s="5">
        <f t="shared" si="4"/>
        <v>8235</v>
      </c>
      <c r="K276" s="7">
        <v>21</v>
      </c>
      <c r="L276" s="7" t="s">
        <v>33</v>
      </c>
      <c r="M276" s="7">
        <v>4</v>
      </c>
    </row>
    <row r="277" spans="2:13" ht="15.6" thickTop="1" thickBot="1" x14ac:dyDescent="0.35">
      <c r="B277" s="8">
        <v>275</v>
      </c>
      <c r="C277" s="9" t="s">
        <v>10</v>
      </c>
      <c r="D277" s="19">
        <v>45657</v>
      </c>
      <c r="E277" s="9" t="s">
        <v>13</v>
      </c>
      <c r="F277" s="9" t="s">
        <v>24</v>
      </c>
      <c r="G277" s="9" t="s">
        <v>31</v>
      </c>
      <c r="H277" s="9">
        <v>84</v>
      </c>
      <c r="I277" s="5">
        <v>180</v>
      </c>
      <c r="J277" s="5">
        <f t="shared" si="4"/>
        <v>15120</v>
      </c>
      <c r="K277" s="9">
        <v>25</v>
      </c>
      <c r="L277" s="9" t="s">
        <v>34</v>
      </c>
      <c r="M277" s="9">
        <v>3</v>
      </c>
    </row>
    <row r="278" spans="2:13" ht="15.6" thickTop="1" thickBot="1" x14ac:dyDescent="0.35">
      <c r="B278" s="6">
        <v>276</v>
      </c>
      <c r="C278" s="7" t="s">
        <v>10</v>
      </c>
      <c r="D278" s="18">
        <v>45658</v>
      </c>
      <c r="E278" s="7" t="s">
        <v>22</v>
      </c>
      <c r="F278" s="7" t="s">
        <v>25</v>
      </c>
      <c r="G278" s="7" t="s">
        <v>29</v>
      </c>
      <c r="H278" s="7">
        <v>249</v>
      </c>
      <c r="I278" s="5">
        <v>135</v>
      </c>
      <c r="J278" s="5">
        <f t="shared" si="4"/>
        <v>33615</v>
      </c>
      <c r="K278" s="7">
        <v>14</v>
      </c>
      <c r="L278" s="7" t="s">
        <v>33</v>
      </c>
      <c r="M278" s="7">
        <v>3</v>
      </c>
    </row>
    <row r="279" spans="2:13" ht="15.6" thickTop="1" thickBot="1" x14ac:dyDescent="0.35">
      <c r="B279" s="8">
        <v>277</v>
      </c>
      <c r="C279" s="9" t="s">
        <v>11</v>
      </c>
      <c r="D279" s="19">
        <v>45659</v>
      </c>
      <c r="E279" s="9" t="s">
        <v>20</v>
      </c>
      <c r="F279" s="9" t="s">
        <v>20</v>
      </c>
      <c r="G279" s="9" t="s">
        <v>30</v>
      </c>
      <c r="H279" s="9">
        <v>229</v>
      </c>
      <c r="I279" s="5">
        <v>225</v>
      </c>
      <c r="J279" s="5">
        <f t="shared" si="4"/>
        <v>51525</v>
      </c>
      <c r="K279" s="9">
        <v>17</v>
      </c>
      <c r="L279" s="9" t="s">
        <v>33</v>
      </c>
      <c r="M279" s="9">
        <v>2</v>
      </c>
    </row>
    <row r="280" spans="2:13" ht="15.6" thickTop="1" thickBot="1" x14ac:dyDescent="0.35">
      <c r="B280" s="6">
        <v>278</v>
      </c>
      <c r="C280" s="7" t="s">
        <v>10</v>
      </c>
      <c r="D280" s="18">
        <v>45660</v>
      </c>
      <c r="E280" s="7" t="s">
        <v>16</v>
      </c>
      <c r="F280" s="7" t="s">
        <v>26</v>
      </c>
      <c r="G280" s="7" t="s">
        <v>29</v>
      </c>
      <c r="H280" s="7">
        <v>44</v>
      </c>
      <c r="I280" s="5">
        <v>180</v>
      </c>
      <c r="J280" s="5">
        <f t="shared" si="4"/>
        <v>7920</v>
      </c>
      <c r="K280" s="7">
        <v>12</v>
      </c>
      <c r="L280" s="7" t="s">
        <v>33</v>
      </c>
      <c r="M280" s="7">
        <v>4</v>
      </c>
    </row>
    <row r="281" spans="2:13" ht="15.6" thickTop="1" thickBot="1" x14ac:dyDescent="0.35">
      <c r="B281" s="8">
        <v>279</v>
      </c>
      <c r="C281" s="9" t="s">
        <v>10</v>
      </c>
      <c r="D281" s="19">
        <v>45661</v>
      </c>
      <c r="E281" s="9" t="s">
        <v>12</v>
      </c>
      <c r="F281" s="9" t="s">
        <v>23</v>
      </c>
      <c r="G281" s="9" t="s">
        <v>32</v>
      </c>
      <c r="H281" s="9">
        <v>198</v>
      </c>
      <c r="I281" s="5">
        <v>135</v>
      </c>
      <c r="J281" s="5">
        <f t="shared" si="4"/>
        <v>26730</v>
      </c>
      <c r="K281" s="9">
        <v>10</v>
      </c>
      <c r="L281" s="9" t="s">
        <v>33</v>
      </c>
      <c r="M281" s="9"/>
    </row>
    <row r="282" spans="2:13" ht="15.6" thickTop="1" thickBot="1" x14ac:dyDescent="0.35">
      <c r="B282" s="6">
        <v>280</v>
      </c>
      <c r="C282" s="7" t="s">
        <v>11</v>
      </c>
      <c r="D282" s="18">
        <v>45662</v>
      </c>
      <c r="E282" s="7" t="s">
        <v>21</v>
      </c>
      <c r="F282" s="7" t="s">
        <v>26</v>
      </c>
      <c r="G282" s="7" t="s">
        <v>28</v>
      </c>
      <c r="H282" s="7">
        <v>112</v>
      </c>
      <c r="I282" s="5">
        <v>90</v>
      </c>
      <c r="J282" s="5">
        <f t="shared" si="4"/>
        <v>10080</v>
      </c>
      <c r="K282" s="7">
        <v>18</v>
      </c>
      <c r="L282" s="7" t="s">
        <v>33</v>
      </c>
      <c r="M282" s="7">
        <v>2</v>
      </c>
    </row>
    <row r="283" spans="2:13" ht="15.6" thickTop="1" thickBot="1" x14ac:dyDescent="0.35">
      <c r="B283" s="8">
        <v>281</v>
      </c>
      <c r="C283" s="9" t="s">
        <v>11</v>
      </c>
      <c r="D283" s="19">
        <v>45663</v>
      </c>
      <c r="E283" s="9" t="s">
        <v>15</v>
      </c>
      <c r="F283" s="9" t="s">
        <v>25</v>
      </c>
      <c r="G283" s="9" t="s">
        <v>28</v>
      </c>
      <c r="H283" s="9">
        <v>39</v>
      </c>
      <c r="I283" s="5">
        <v>90</v>
      </c>
      <c r="J283" s="5">
        <f t="shared" si="4"/>
        <v>3510</v>
      </c>
      <c r="K283" s="9">
        <v>12</v>
      </c>
      <c r="L283" s="9" t="s">
        <v>35</v>
      </c>
      <c r="M283" s="9">
        <v>5</v>
      </c>
    </row>
    <row r="284" spans="2:13" ht="15.6" thickTop="1" thickBot="1" x14ac:dyDescent="0.35">
      <c r="B284" s="6">
        <v>282</v>
      </c>
      <c r="C284" s="7" t="s">
        <v>10</v>
      </c>
      <c r="D284" s="18">
        <v>45664</v>
      </c>
      <c r="E284" s="7" t="s">
        <v>17</v>
      </c>
      <c r="F284" s="7" t="s">
        <v>24</v>
      </c>
      <c r="G284" s="7" t="s">
        <v>31</v>
      </c>
      <c r="H284" s="7">
        <v>187</v>
      </c>
      <c r="I284" s="5">
        <v>45</v>
      </c>
      <c r="J284" s="5">
        <f t="shared" si="4"/>
        <v>8415</v>
      </c>
      <c r="K284" s="7">
        <v>12</v>
      </c>
      <c r="L284" s="7" t="s">
        <v>34</v>
      </c>
      <c r="M284" s="7">
        <v>2</v>
      </c>
    </row>
    <row r="285" spans="2:13" ht="15.6" thickTop="1" thickBot="1" x14ac:dyDescent="0.35">
      <c r="B285" s="8">
        <v>283</v>
      </c>
      <c r="C285" s="9" t="s">
        <v>11</v>
      </c>
      <c r="D285" s="19">
        <v>45665</v>
      </c>
      <c r="E285" s="9" t="s">
        <v>20</v>
      </c>
      <c r="F285" s="9" t="s">
        <v>20</v>
      </c>
      <c r="G285" s="9" t="s">
        <v>31</v>
      </c>
      <c r="H285" s="9">
        <v>182</v>
      </c>
      <c r="I285" s="5">
        <v>180</v>
      </c>
      <c r="J285" s="5">
        <f t="shared" si="4"/>
        <v>32760</v>
      </c>
      <c r="K285" s="9">
        <v>17</v>
      </c>
      <c r="L285" s="9" t="s">
        <v>35</v>
      </c>
      <c r="M285" s="9">
        <v>3</v>
      </c>
    </row>
    <row r="286" spans="2:13" ht="15.6" thickTop="1" thickBot="1" x14ac:dyDescent="0.35">
      <c r="B286" s="6">
        <v>284</v>
      </c>
      <c r="C286" s="7" t="s">
        <v>11</v>
      </c>
      <c r="D286" s="18">
        <v>45666</v>
      </c>
      <c r="E286" s="7" t="s">
        <v>18</v>
      </c>
      <c r="F286" s="7" t="s">
        <v>27</v>
      </c>
      <c r="G286" s="7" t="s">
        <v>29</v>
      </c>
      <c r="H286" s="7">
        <v>31</v>
      </c>
      <c r="I286" s="5">
        <v>90</v>
      </c>
      <c r="J286" s="5">
        <f t="shared" si="4"/>
        <v>2790</v>
      </c>
      <c r="K286" s="7">
        <v>18</v>
      </c>
      <c r="L286" s="7" t="s">
        <v>35</v>
      </c>
      <c r="M286" s="7">
        <v>5</v>
      </c>
    </row>
    <row r="287" spans="2:13" ht="15.6" thickTop="1" thickBot="1" x14ac:dyDescent="0.35">
      <c r="B287" s="8">
        <v>285</v>
      </c>
      <c r="C287" s="9" t="s">
        <v>11</v>
      </c>
      <c r="D287" s="19">
        <v>45667</v>
      </c>
      <c r="E287" s="9" t="s">
        <v>15</v>
      </c>
      <c r="F287" s="9" t="s">
        <v>25</v>
      </c>
      <c r="G287" s="9" t="s">
        <v>30</v>
      </c>
      <c r="H287" s="9">
        <v>236</v>
      </c>
      <c r="I287" s="5">
        <v>135</v>
      </c>
      <c r="J287" s="5">
        <f t="shared" si="4"/>
        <v>31860</v>
      </c>
      <c r="K287" s="9">
        <v>19</v>
      </c>
      <c r="L287" s="9" t="s">
        <v>34</v>
      </c>
      <c r="M287" s="9"/>
    </row>
    <row r="288" spans="2:13" ht="15.6" thickTop="1" thickBot="1" x14ac:dyDescent="0.35">
      <c r="B288" s="6">
        <v>286</v>
      </c>
      <c r="C288" s="7" t="s">
        <v>11</v>
      </c>
      <c r="D288" s="18">
        <v>45668</v>
      </c>
      <c r="E288" s="7" t="s">
        <v>17</v>
      </c>
      <c r="F288" s="7" t="s">
        <v>24</v>
      </c>
      <c r="G288" s="7" t="s">
        <v>32</v>
      </c>
      <c r="H288" s="7">
        <v>129</v>
      </c>
      <c r="I288" s="5">
        <v>225</v>
      </c>
      <c r="J288" s="5">
        <f t="shared" si="4"/>
        <v>29025</v>
      </c>
      <c r="K288" s="7">
        <v>8</v>
      </c>
      <c r="L288" s="7" t="s">
        <v>33</v>
      </c>
      <c r="M288" s="7"/>
    </row>
    <row r="289" spans="2:13" ht="15.6" thickTop="1" thickBot="1" x14ac:dyDescent="0.35">
      <c r="B289" s="8">
        <v>287</v>
      </c>
      <c r="C289" s="9" t="s">
        <v>11</v>
      </c>
      <c r="D289" s="19">
        <v>45669</v>
      </c>
      <c r="E289" s="9" t="s">
        <v>20</v>
      </c>
      <c r="F289" s="9" t="s">
        <v>20</v>
      </c>
      <c r="G289" s="9" t="s">
        <v>29</v>
      </c>
      <c r="H289" s="9">
        <v>186</v>
      </c>
      <c r="I289" s="5">
        <v>225</v>
      </c>
      <c r="J289" s="5">
        <f t="shared" si="4"/>
        <v>41850</v>
      </c>
      <c r="K289" s="9">
        <v>7</v>
      </c>
      <c r="L289" s="9" t="s">
        <v>34</v>
      </c>
      <c r="M289" s="9"/>
    </row>
    <row r="290" spans="2:13" ht="15.6" thickTop="1" thickBot="1" x14ac:dyDescent="0.35">
      <c r="B290" s="6">
        <v>288</v>
      </c>
      <c r="C290" s="7" t="s">
        <v>10</v>
      </c>
      <c r="D290" s="18">
        <v>45670</v>
      </c>
      <c r="E290" s="7" t="s">
        <v>16</v>
      </c>
      <c r="F290" s="7" t="s">
        <v>26</v>
      </c>
      <c r="G290" s="7" t="s">
        <v>29</v>
      </c>
      <c r="H290" s="7">
        <v>226</v>
      </c>
      <c r="I290" s="5">
        <v>225</v>
      </c>
      <c r="J290" s="5">
        <f t="shared" si="4"/>
        <v>50850</v>
      </c>
      <c r="K290" s="7">
        <v>13</v>
      </c>
      <c r="L290" s="7" t="s">
        <v>33</v>
      </c>
      <c r="M290" s="7">
        <v>3</v>
      </c>
    </row>
    <row r="291" spans="2:13" ht="15.6" thickTop="1" thickBot="1" x14ac:dyDescent="0.35">
      <c r="B291" s="8">
        <v>289</v>
      </c>
      <c r="C291" s="9" t="s">
        <v>11</v>
      </c>
      <c r="D291" s="19">
        <v>45671</v>
      </c>
      <c r="E291" s="9" t="s">
        <v>16</v>
      </c>
      <c r="F291" s="9" t="s">
        <v>26</v>
      </c>
      <c r="G291" s="9" t="s">
        <v>31</v>
      </c>
      <c r="H291" s="9">
        <v>46</v>
      </c>
      <c r="I291" s="5">
        <v>135</v>
      </c>
      <c r="J291" s="5">
        <f t="shared" si="4"/>
        <v>6210</v>
      </c>
      <c r="K291" s="9">
        <v>19</v>
      </c>
      <c r="L291" s="9" t="s">
        <v>35</v>
      </c>
      <c r="M291" s="9">
        <v>4</v>
      </c>
    </row>
    <row r="292" spans="2:13" ht="15.6" thickTop="1" thickBot="1" x14ac:dyDescent="0.35">
      <c r="B292" s="6">
        <v>290</v>
      </c>
      <c r="C292" s="7" t="s">
        <v>10</v>
      </c>
      <c r="D292" s="18">
        <v>45672</v>
      </c>
      <c r="E292" s="7" t="s">
        <v>16</v>
      </c>
      <c r="F292" s="7" t="s">
        <v>26</v>
      </c>
      <c r="G292" s="7" t="s">
        <v>28</v>
      </c>
      <c r="H292" s="7">
        <v>224</v>
      </c>
      <c r="I292" s="5">
        <v>180</v>
      </c>
      <c r="J292" s="5">
        <f t="shared" si="4"/>
        <v>40320</v>
      </c>
      <c r="K292" s="7">
        <v>23</v>
      </c>
      <c r="L292" s="7" t="s">
        <v>35</v>
      </c>
      <c r="M292" s="7">
        <v>3</v>
      </c>
    </row>
    <row r="293" spans="2:13" ht="15.6" thickTop="1" thickBot="1" x14ac:dyDescent="0.35">
      <c r="B293" s="8">
        <v>291</v>
      </c>
      <c r="C293" s="9" t="s">
        <v>10</v>
      </c>
      <c r="D293" s="19">
        <v>45673</v>
      </c>
      <c r="E293" s="9" t="s">
        <v>15</v>
      </c>
      <c r="F293" s="9" t="s">
        <v>25</v>
      </c>
      <c r="G293" s="9" t="s">
        <v>30</v>
      </c>
      <c r="H293" s="9">
        <v>200</v>
      </c>
      <c r="I293" s="5">
        <v>135</v>
      </c>
      <c r="J293" s="5">
        <f t="shared" si="4"/>
        <v>27000</v>
      </c>
      <c r="K293" s="9">
        <v>13</v>
      </c>
      <c r="L293" s="9" t="s">
        <v>34</v>
      </c>
      <c r="M293" s="9">
        <v>2</v>
      </c>
    </row>
    <row r="294" spans="2:13" ht="15.6" thickTop="1" thickBot="1" x14ac:dyDescent="0.35">
      <c r="B294" s="6">
        <v>292</v>
      </c>
      <c r="C294" s="7" t="s">
        <v>11</v>
      </c>
      <c r="D294" s="18">
        <v>45674</v>
      </c>
      <c r="E294" s="7" t="s">
        <v>20</v>
      </c>
      <c r="F294" s="7" t="s">
        <v>20</v>
      </c>
      <c r="G294" s="7" t="s">
        <v>30</v>
      </c>
      <c r="H294" s="7">
        <v>155</v>
      </c>
      <c r="I294" s="5">
        <v>225</v>
      </c>
      <c r="J294" s="5">
        <f t="shared" si="4"/>
        <v>34875</v>
      </c>
      <c r="K294" s="7">
        <v>17</v>
      </c>
      <c r="L294" s="7" t="s">
        <v>34</v>
      </c>
      <c r="M294" s="7">
        <v>2</v>
      </c>
    </row>
    <row r="295" spans="2:13" ht="15.6" thickTop="1" thickBot="1" x14ac:dyDescent="0.35">
      <c r="B295" s="8">
        <v>293</v>
      </c>
      <c r="C295" s="9" t="s">
        <v>10</v>
      </c>
      <c r="D295" s="19">
        <v>45675</v>
      </c>
      <c r="E295" s="9" t="s">
        <v>12</v>
      </c>
      <c r="F295" s="9" t="s">
        <v>23</v>
      </c>
      <c r="G295" s="9" t="s">
        <v>28</v>
      </c>
      <c r="H295" s="9">
        <v>194</v>
      </c>
      <c r="I295" s="5">
        <v>135</v>
      </c>
      <c r="J295" s="5">
        <f t="shared" si="4"/>
        <v>26190</v>
      </c>
      <c r="K295" s="9">
        <v>18</v>
      </c>
      <c r="L295" s="9" t="s">
        <v>35</v>
      </c>
      <c r="M295" s="9">
        <v>3</v>
      </c>
    </row>
    <row r="296" spans="2:13" ht="15.6" thickTop="1" thickBot="1" x14ac:dyDescent="0.35">
      <c r="B296" s="6">
        <v>294</v>
      </c>
      <c r="C296" s="7" t="s">
        <v>11</v>
      </c>
      <c r="D296" s="18">
        <v>45676</v>
      </c>
      <c r="E296" s="7" t="s">
        <v>20</v>
      </c>
      <c r="F296" s="7" t="s">
        <v>20</v>
      </c>
      <c r="G296" s="7" t="s">
        <v>32</v>
      </c>
      <c r="H296" s="7">
        <v>204</v>
      </c>
      <c r="I296" s="5">
        <v>45</v>
      </c>
      <c r="J296" s="5">
        <f t="shared" si="4"/>
        <v>9180</v>
      </c>
      <c r="K296" s="7">
        <v>8</v>
      </c>
      <c r="L296" s="7" t="s">
        <v>35</v>
      </c>
      <c r="M296" s="7">
        <v>5</v>
      </c>
    </row>
    <row r="297" spans="2:13" ht="15.6" thickTop="1" thickBot="1" x14ac:dyDescent="0.35">
      <c r="B297" s="8">
        <v>295</v>
      </c>
      <c r="C297" s="9" t="s">
        <v>10</v>
      </c>
      <c r="D297" s="19">
        <v>45677</v>
      </c>
      <c r="E297" s="9" t="s">
        <v>19</v>
      </c>
      <c r="F297" s="9" t="s">
        <v>23</v>
      </c>
      <c r="G297" s="9" t="s">
        <v>30</v>
      </c>
      <c r="H297" s="9">
        <v>150</v>
      </c>
      <c r="I297" s="5">
        <v>90</v>
      </c>
      <c r="J297" s="5">
        <f t="shared" si="4"/>
        <v>13500</v>
      </c>
      <c r="K297" s="9">
        <v>15</v>
      </c>
      <c r="L297" s="9" t="s">
        <v>34</v>
      </c>
      <c r="M297" s="9">
        <v>3</v>
      </c>
    </row>
    <row r="298" spans="2:13" ht="15.6" thickTop="1" thickBot="1" x14ac:dyDescent="0.35">
      <c r="B298" s="6">
        <v>296</v>
      </c>
      <c r="C298" s="7" t="s">
        <v>11</v>
      </c>
      <c r="D298" s="18">
        <v>45678</v>
      </c>
      <c r="E298" s="7" t="s">
        <v>20</v>
      </c>
      <c r="F298" s="7" t="s">
        <v>20</v>
      </c>
      <c r="G298" s="7" t="s">
        <v>29</v>
      </c>
      <c r="H298" s="7">
        <v>97</v>
      </c>
      <c r="I298" s="5">
        <v>45</v>
      </c>
      <c r="J298" s="5">
        <f t="shared" si="4"/>
        <v>4365</v>
      </c>
      <c r="K298" s="7">
        <v>18</v>
      </c>
      <c r="L298" s="7" t="s">
        <v>35</v>
      </c>
      <c r="M298" s="7">
        <v>1</v>
      </c>
    </row>
    <row r="299" spans="2:13" ht="15.6" thickTop="1" thickBot="1" x14ac:dyDescent="0.35">
      <c r="B299" s="8">
        <v>297</v>
      </c>
      <c r="C299" s="9" t="s">
        <v>10</v>
      </c>
      <c r="D299" s="19">
        <v>45679</v>
      </c>
      <c r="E299" s="9" t="s">
        <v>19</v>
      </c>
      <c r="F299" s="9" t="s">
        <v>23</v>
      </c>
      <c r="G299" s="9" t="s">
        <v>31</v>
      </c>
      <c r="H299" s="9">
        <v>215</v>
      </c>
      <c r="I299" s="5">
        <v>45</v>
      </c>
      <c r="J299" s="5">
        <f t="shared" si="4"/>
        <v>9675</v>
      </c>
      <c r="K299" s="9">
        <v>19</v>
      </c>
      <c r="L299" s="9" t="s">
        <v>33</v>
      </c>
      <c r="M299" s="9">
        <v>1</v>
      </c>
    </row>
    <row r="300" spans="2:13" ht="15.6" thickTop="1" thickBot="1" x14ac:dyDescent="0.35">
      <c r="B300" s="6">
        <v>298</v>
      </c>
      <c r="C300" s="7" t="s">
        <v>10</v>
      </c>
      <c r="D300" s="18">
        <v>45680</v>
      </c>
      <c r="E300" s="7" t="s">
        <v>17</v>
      </c>
      <c r="F300" s="7" t="s">
        <v>24</v>
      </c>
      <c r="G300" s="7" t="s">
        <v>30</v>
      </c>
      <c r="H300" s="7">
        <v>174</v>
      </c>
      <c r="I300" s="5">
        <v>45</v>
      </c>
      <c r="J300" s="5">
        <f t="shared" si="4"/>
        <v>7830</v>
      </c>
      <c r="K300" s="7">
        <v>14</v>
      </c>
      <c r="L300" s="7" t="s">
        <v>34</v>
      </c>
      <c r="M300" s="7">
        <v>1</v>
      </c>
    </row>
    <row r="301" spans="2:13" ht="15.6" thickTop="1" thickBot="1" x14ac:dyDescent="0.35">
      <c r="B301" s="8">
        <v>299</v>
      </c>
      <c r="C301" s="9" t="s">
        <v>10</v>
      </c>
      <c r="D301" s="19">
        <v>45681</v>
      </c>
      <c r="E301" s="9" t="s">
        <v>21</v>
      </c>
      <c r="F301" s="9" t="s">
        <v>26</v>
      </c>
      <c r="G301" s="9" t="s">
        <v>32</v>
      </c>
      <c r="H301" s="9">
        <v>143</v>
      </c>
      <c r="I301" s="5">
        <v>225</v>
      </c>
      <c r="J301" s="5">
        <f t="shared" si="4"/>
        <v>32175</v>
      </c>
      <c r="K301" s="9">
        <v>16</v>
      </c>
      <c r="L301" s="9" t="s">
        <v>33</v>
      </c>
      <c r="M301" s="9">
        <v>2</v>
      </c>
    </row>
    <row r="302" spans="2:13" ht="15.6" thickTop="1" thickBot="1" x14ac:dyDescent="0.35">
      <c r="B302" s="6">
        <v>300</v>
      </c>
      <c r="C302" s="7" t="s">
        <v>11</v>
      </c>
      <c r="D302" s="18">
        <v>45682</v>
      </c>
      <c r="E302" s="7" t="s">
        <v>18</v>
      </c>
      <c r="F302" s="7" t="s">
        <v>27</v>
      </c>
      <c r="G302" s="7" t="s">
        <v>30</v>
      </c>
      <c r="H302" s="7">
        <v>124</v>
      </c>
      <c r="I302" s="5">
        <v>180</v>
      </c>
      <c r="J302" s="5">
        <f t="shared" si="4"/>
        <v>22320</v>
      </c>
      <c r="K302" s="7">
        <v>20</v>
      </c>
      <c r="L302" s="7" t="s">
        <v>35</v>
      </c>
      <c r="M302" s="7">
        <v>1</v>
      </c>
    </row>
    <row r="303" spans="2:13" ht="15.6" thickTop="1" thickBot="1" x14ac:dyDescent="0.35">
      <c r="B303" s="8">
        <v>301</v>
      </c>
      <c r="C303" s="9" t="s">
        <v>10</v>
      </c>
      <c r="D303" s="19">
        <v>45683</v>
      </c>
      <c r="E303" s="9" t="s">
        <v>17</v>
      </c>
      <c r="F303" s="9" t="s">
        <v>24</v>
      </c>
      <c r="G303" s="9" t="s">
        <v>30</v>
      </c>
      <c r="H303" s="9">
        <v>96</v>
      </c>
      <c r="I303" s="5">
        <v>225</v>
      </c>
      <c r="J303" s="5">
        <f t="shared" si="4"/>
        <v>21600</v>
      </c>
      <c r="K303" s="9">
        <v>15</v>
      </c>
      <c r="L303" s="9" t="s">
        <v>34</v>
      </c>
      <c r="M303" s="9">
        <v>3</v>
      </c>
    </row>
    <row r="304" spans="2:13" ht="15.6" thickTop="1" thickBot="1" x14ac:dyDescent="0.35">
      <c r="B304" s="6">
        <v>302</v>
      </c>
      <c r="C304" s="7" t="s">
        <v>10</v>
      </c>
      <c r="D304" s="18">
        <v>45684</v>
      </c>
      <c r="E304" s="7" t="s">
        <v>14</v>
      </c>
      <c r="F304" s="7" t="s">
        <v>25</v>
      </c>
      <c r="G304" s="7" t="s">
        <v>32</v>
      </c>
      <c r="H304" s="7">
        <v>207</v>
      </c>
      <c r="I304" s="5">
        <v>135</v>
      </c>
      <c r="J304" s="5">
        <f t="shared" si="4"/>
        <v>27945</v>
      </c>
      <c r="K304" s="7">
        <v>17</v>
      </c>
      <c r="L304" s="7" t="s">
        <v>35</v>
      </c>
      <c r="M304" s="7"/>
    </row>
    <row r="305" spans="2:13" ht="15.6" thickTop="1" thickBot="1" x14ac:dyDescent="0.35">
      <c r="B305" s="8">
        <v>303</v>
      </c>
      <c r="C305" s="9" t="s">
        <v>10</v>
      </c>
      <c r="D305" s="19">
        <v>45685</v>
      </c>
      <c r="E305" s="9" t="s">
        <v>12</v>
      </c>
      <c r="F305" s="9" t="s">
        <v>23</v>
      </c>
      <c r="G305" s="9" t="s">
        <v>31</v>
      </c>
      <c r="H305" s="9">
        <v>241</v>
      </c>
      <c r="I305" s="5">
        <v>45</v>
      </c>
      <c r="J305" s="5">
        <f t="shared" si="4"/>
        <v>10845</v>
      </c>
      <c r="K305" s="9">
        <v>18</v>
      </c>
      <c r="L305" s="9" t="s">
        <v>34</v>
      </c>
      <c r="M305" s="9">
        <v>1</v>
      </c>
    </row>
    <row r="306" spans="2:13" ht="15.6" thickTop="1" thickBot="1" x14ac:dyDescent="0.35">
      <c r="B306" s="6">
        <v>304</v>
      </c>
      <c r="C306" s="7" t="s">
        <v>10</v>
      </c>
      <c r="D306" s="18">
        <v>45686</v>
      </c>
      <c r="E306" s="7" t="s">
        <v>22</v>
      </c>
      <c r="F306" s="7" t="s">
        <v>25</v>
      </c>
      <c r="G306" s="7" t="s">
        <v>28</v>
      </c>
      <c r="H306" s="7">
        <v>213</v>
      </c>
      <c r="I306" s="5">
        <v>45</v>
      </c>
      <c r="J306" s="5">
        <f t="shared" si="4"/>
        <v>9585</v>
      </c>
      <c r="K306" s="7">
        <v>23</v>
      </c>
      <c r="L306" s="7" t="s">
        <v>33</v>
      </c>
      <c r="M306" s="7">
        <v>1</v>
      </c>
    </row>
    <row r="307" spans="2:13" ht="15.6" thickTop="1" thickBot="1" x14ac:dyDescent="0.35">
      <c r="B307" s="8">
        <v>305</v>
      </c>
      <c r="C307" s="9" t="s">
        <v>10</v>
      </c>
      <c r="D307" s="19">
        <v>45687</v>
      </c>
      <c r="E307" s="9" t="s">
        <v>12</v>
      </c>
      <c r="F307" s="9" t="s">
        <v>23</v>
      </c>
      <c r="G307" s="9" t="s">
        <v>30</v>
      </c>
      <c r="H307" s="9">
        <v>218</v>
      </c>
      <c r="I307" s="5">
        <v>135</v>
      </c>
      <c r="J307" s="5">
        <f t="shared" si="4"/>
        <v>29430</v>
      </c>
      <c r="K307" s="9">
        <v>11</v>
      </c>
      <c r="L307" s="9" t="s">
        <v>35</v>
      </c>
      <c r="M307" s="9">
        <v>5</v>
      </c>
    </row>
    <row r="308" spans="2:13" ht="15.6" thickTop="1" thickBot="1" x14ac:dyDescent="0.35">
      <c r="B308" s="6">
        <v>306</v>
      </c>
      <c r="C308" s="7" t="s">
        <v>10</v>
      </c>
      <c r="D308" s="18">
        <v>45688</v>
      </c>
      <c r="E308" s="7" t="s">
        <v>16</v>
      </c>
      <c r="F308" s="7" t="s">
        <v>26</v>
      </c>
      <c r="G308" s="7" t="s">
        <v>32</v>
      </c>
      <c r="H308" s="7">
        <v>69</v>
      </c>
      <c r="I308" s="5">
        <v>225</v>
      </c>
      <c r="J308" s="5">
        <f t="shared" si="4"/>
        <v>15525</v>
      </c>
      <c r="K308" s="7">
        <v>20</v>
      </c>
      <c r="L308" s="7" t="s">
        <v>33</v>
      </c>
      <c r="M308" s="7">
        <v>1</v>
      </c>
    </row>
    <row r="309" spans="2:13" ht="15.6" thickTop="1" thickBot="1" x14ac:dyDescent="0.35">
      <c r="B309" s="8">
        <v>307</v>
      </c>
      <c r="C309" s="9" t="s">
        <v>11</v>
      </c>
      <c r="D309" s="19">
        <v>45689</v>
      </c>
      <c r="E309" s="9" t="s">
        <v>13</v>
      </c>
      <c r="F309" s="9" t="s">
        <v>24</v>
      </c>
      <c r="G309" s="9" t="s">
        <v>28</v>
      </c>
      <c r="H309" s="9">
        <v>206</v>
      </c>
      <c r="I309" s="5">
        <v>45</v>
      </c>
      <c r="J309" s="5">
        <f t="shared" si="4"/>
        <v>9270</v>
      </c>
      <c r="K309" s="9">
        <v>12</v>
      </c>
      <c r="L309" s="9" t="s">
        <v>34</v>
      </c>
      <c r="M309" s="9"/>
    </row>
    <row r="310" spans="2:13" ht="15.6" thickTop="1" thickBot="1" x14ac:dyDescent="0.35">
      <c r="B310" s="6">
        <v>308</v>
      </c>
      <c r="C310" s="7" t="s">
        <v>10</v>
      </c>
      <c r="D310" s="18">
        <v>45690</v>
      </c>
      <c r="E310" s="7" t="s">
        <v>14</v>
      </c>
      <c r="F310" s="7" t="s">
        <v>25</v>
      </c>
      <c r="G310" s="7" t="s">
        <v>29</v>
      </c>
      <c r="H310" s="7">
        <v>45</v>
      </c>
      <c r="I310" s="5">
        <v>45</v>
      </c>
      <c r="J310" s="5">
        <f t="shared" si="4"/>
        <v>2025</v>
      </c>
      <c r="K310" s="7">
        <v>18</v>
      </c>
      <c r="L310" s="7" t="s">
        <v>34</v>
      </c>
      <c r="M310" s="7">
        <v>1</v>
      </c>
    </row>
    <row r="311" spans="2:13" ht="15.6" thickTop="1" thickBot="1" x14ac:dyDescent="0.35">
      <c r="B311" s="8">
        <v>309</v>
      </c>
      <c r="C311" s="9" t="s">
        <v>11</v>
      </c>
      <c r="D311" s="19">
        <v>45691</v>
      </c>
      <c r="E311" s="9" t="s">
        <v>15</v>
      </c>
      <c r="F311" s="9" t="s">
        <v>25</v>
      </c>
      <c r="G311" s="9" t="s">
        <v>30</v>
      </c>
      <c r="H311" s="9">
        <v>61</v>
      </c>
      <c r="I311" s="5">
        <v>90</v>
      </c>
      <c r="J311" s="5">
        <f t="shared" si="4"/>
        <v>5490</v>
      </c>
      <c r="K311" s="9">
        <v>19</v>
      </c>
      <c r="L311" s="9" t="s">
        <v>35</v>
      </c>
      <c r="M311" s="9">
        <v>1</v>
      </c>
    </row>
    <row r="312" spans="2:13" ht="15.6" thickTop="1" thickBot="1" x14ac:dyDescent="0.35">
      <c r="B312" s="6">
        <v>310</v>
      </c>
      <c r="C312" s="7" t="s">
        <v>10</v>
      </c>
      <c r="D312" s="18">
        <v>45692</v>
      </c>
      <c r="E312" s="7" t="s">
        <v>20</v>
      </c>
      <c r="F312" s="7" t="s">
        <v>20</v>
      </c>
      <c r="G312" s="7" t="s">
        <v>28</v>
      </c>
      <c r="H312" s="7">
        <v>161</v>
      </c>
      <c r="I312" s="5">
        <v>135</v>
      </c>
      <c r="J312" s="5">
        <f t="shared" si="4"/>
        <v>21735</v>
      </c>
      <c r="K312" s="7">
        <v>22</v>
      </c>
      <c r="L312" s="7" t="s">
        <v>34</v>
      </c>
      <c r="M312" s="7"/>
    </row>
    <row r="313" spans="2:13" ht="15.6" thickTop="1" thickBot="1" x14ac:dyDescent="0.35">
      <c r="B313" s="8">
        <v>311</v>
      </c>
      <c r="C313" s="9" t="s">
        <v>10</v>
      </c>
      <c r="D313" s="19">
        <v>45693</v>
      </c>
      <c r="E313" s="9" t="s">
        <v>18</v>
      </c>
      <c r="F313" s="9" t="s">
        <v>27</v>
      </c>
      <c r="G313" s="9" t="s">
        <v>30</v>
      </c>
      <c r="H313" s="9">
        <v>93</v>
      </c>
      <c r="I313" s="5">
        <v>90</v>
      </c>
      <c r="J313" s="5">
        <f t="shared" si="4"/>
        <v>8370</v>
      </c>
      <c r="K313" s="9">
        <v>18</v>
      </c>
      <c r="L313" s="9" t="s">
        <v>35</v>
      </c>
      <c r="M313" s="9">
        <v>2</v>
      </c>
    </row>
    <row r="314" spans="2:13" ht="15.6" thickTop="1" thickBot="1" x14ac:dyDescent="0.35">
      <c r="B314" s="6">
        <v>312</v>
      </c>
      <c r="C314" s="7" t="s">
        <v>10</v>
      </c>
      <c r="D314" s="18">
        <v>45694</v>
      </c>
      <c r="E314" s="7" t="s">
        <v>15</v>
      </c>
      <c r="F314" s="7" t="s">
        <v>25</v>
      </c>
      <c r="G314" s="7" t="s">
        <v>28</v>
      </c>
      <c r="H314" s="7">
        <v>100</v>
      </c>
      <c r="I314" s="5">
        <v>180</v>
      </c>
      <c r="J314" s="5">
        <f t="shared" si="4"/>
        <v>18000</v>
      </c>
      <c r="K314" s="7">
        <v>25</v>
      </c>
      <c r="L314" s="7" t="s">
        <v>35</v>
      </c>
      <c r="M314" s="7">
        <v>4</v>
      </c>
    </row>
    <row r="315" spans="2:13" ht="15.6" thickTop="1" thickBot="1" x14ac:dyDescent="0.35">
      <c r="B315" s="8">
        <v>313</v>
      </c>
      <c r="C315" s="9" t="s">
        <v>10</v>
      </c>
      <c r="D315" s="19">
        <v>45695</v>
      </c>
      <c r="E315" s="9" t="s">
        <v>18</v>
      </c>
      <c r="F315" s="9" t="s">
        <v>27</v>
      </c>
      <c r="G315" s="9" t="s">
        <v>28</v>
      </c>
      <c r="H315" s="9">
        <v>154</v>
      </c>
      <c r="I315" s="5">
        <v>45</v>
      </c>
      <c r="J315" s="5">
        <f t="shared" si="4"/>
        <v>6930</v>
      </c>
      <c r="K315" s="9">
        <v>16</v>
      </c>
      <c r="L315" s="9" t="s">
        <v>34</v>
      </c>
      <c r="M315" s="9">
        <v>3</v>
      </c>
    </row>
    <row r="316" spans="2:13" ht="15.6" thickTop="1" thickBot="1" x14ac:dyDescent="0.35">
      <c r="B316" s="6">
        <v>314</v>
      </c>
      <c r="C316" s="7" t="s">
        <v>11</v>
      </c>
      <c r="D316" s="18">
        <v>45696</v>
      </c>
      <c r="E316" s="7" t="s">
        <v>21</v>
      </c>
      <c r="F316" s="7" t="s">
        <v>26</v>
      </c>
      <c r="G316" s="7" t="s">
        <v>32</v>
      </c>
      <c r="H316" s="7">
        <v>91</v>
      </c>
      <c r="I316" s="5">
        <v>225</v>
      </c>
      <c r="J316" s="5">
        <f t="shared" si="4"/>
        <v>20475</v>
      </c>
      <c r="K316" s="7">
        <v>12</v>
      </c>
      <c r="L316" s="7" t="s">
        <v>35</v>
      </c>
      <c r="M316" s="7">
        <v>2</v>
      </c>
    </row>
    <row r="317" spans="2:13" ht="15.6" thickTop="1" thickBot="1" x14ac:dyDescent="0.35">
      <c r="B317" s="8">
        <v>315</v>
      </c>
      <c r="C317" s="9" t="s">
        <v>11</v>
      </c>
      <c r="D317" s="19">
        <v>45697</v>
      </c>
      <c r="E317" s="9" t="s">
        <v>15</v>
      </c>
      <c r="F317" s="9" t="s">
        <v>25</v>
      </c>
      <c r="G317" s="9" t="s">
        <v>30</v>
      </c>
      <c r="H317" s="9">
        <v>44</v>
      </c>
      <c r="I317" s="5">
        <v>90</v>
      </c>
      <c r="J317" s="5">
        <f t="shared" si="4"/>
        <v>3960</v>
      </c>
      <c r="K317" s="9">
        <v>12</v>
      </c>
      <c r="L317" s="9" t="s">
        <v>34</v>
      </c>
      <c r="M317" s="9">
        <v>1</v>
      </c>
    </row>
    <row r="318" spans="2:13" ht="15.6" thickTop="1" thickBot="1" x14ac:dyDescent="0.35">
      <c r="B318" s="6">
        <v>316</v>
      </c>
      <c r="C318" s="7" t="s">
        <v>11</v>
      </c>
      <c r="D318" s="18">
        <v>45698</v>
      </c>
      <c r="E318" s="7" t="s">
        <v>21</v>
      </c>
      <c r="F318" s="7" t="s">
        <v>26</v>
      </c>
      <c r="G318" s="7" t="s">
        <v>28</v>
      </c>
      <c r="H318" s="7">
        <v>40</v>
      </c>
      <c r="I318" s="5">
        <v>135</v>
      </c>
      <c r="J318" s="5">
        <f t="shared" si="4"/>
        <v>5400</v>
      </c>
      <c r="K318" s="7">
        <v>11</v>
      </c>
      <c r="L318" s="7" t="s">
        <v>35</v>
      </c>
      <c r="M318" s="7">
        <v>3</v>
      </c>
    </row>
    <row r="319" spans="2:13" ht="15.6" thickTop="1" thickBot="1" x14ac:dyDescent="0.35">
      <c r="B319" s="8">
        <v>317</v>
      </c>
      <c r="C319" s="9" t="s">
        <v>10</v>
      </c>
      <c r="D319" s="19">
        <v>45699</v>
      </c>
      <c r="E319" s="9" t="s">
        <v>22</v>
      </c>
      <c r="F319" s="9" t="s">
        <v>25</v>
      </c>
      <c r="G319" s="9" t="s">
        <v>31</v>
      </c>
      <c r="H319" s="9">
        <v>117</v>
      </c>
      <c r="I319" s="5">
        <v>225</v>
      </c>
      <c r="J319" s="5">
        <f t="shared" si="4"/>
        <v>26325</v>
      </c>
      <c r="K319" s="9">
        <v>22</v>
      </c>
      <c r="L319" s="9" t="s">
        <v>33</v>
      </c>
      <c r="M319" s="9">
        <v>1</v>
      </c>
    </row>
    <row r="320" spans="2:13" ht="15.6" thickTop="1" thickBot="1" x14ac:dyDescent="0.35">
      <c r="B320" s="6">
        <v>318</v>
      </c>
      <c r="C320" s="7" t="s">
        <v>11</v>
      </c>
      <c r="D320" s="18">
        <v>45700</v>
      </c>
      <c r="E320" s="7" t="s">
        <v>15</v>
      </c>
      <c r="F320" s="7" t="s">
        <v>25</v>
      </c>
      <c r="G320" s="7" t="s">
        <v>29</v>
      </c>
      <c r="H320" s="7">
        <v>151</v>
      </c>
      <c r="I320" s="5">
        <v>180</v>
      </c>
      <c r="J320" s="5">
        <f t="shared" si="4"/>
        <v>27180</v>
      </c>
      <c r="K320" s="7">
        <v>14</v>
      </c>
      <c r="L320" s="7" t="s">
        <v>35</v>
      </c>
      <c r="M320" s="7">
        <v>5</v>
      </c>
    </row>
    <row r="321" spans="2:13" ht="15.6" thickTop="1" thickBot="1" x14ac:dyDescent="0.35">
      <c r="B321" s="8">
        <v>319</v>
      </c>
      <c r="C321" s="9" t="s">
        <v>10</v>
      </c>
      <c r="D321" s="19">
        <v>45701</v>
      </c>
      <c r="E321" s="9" t="s">
        <v>18</v>
      </c>
      <c r="F321" s="9" t="s">
        <v>27</v>
      </c>
      <c r="G321" s="9" t="s">
        <v>31</v>
      </c>
      <c r="H321" s="9">
        <v>158</v>
      </c>
      <c r="I321" s="5">
        <v>135</v>
      </c>
      <c r="J321" s="5">
        <f t="shared" si="4"/>
        <v>21330</v>
      </c>
      <c r="K321" s="9">
        <v>16</v>
      </c>
      <c r="L321" s="9" t="s">
        <v>34</v>
      </c>
      <c r="M321" s="9">
        <v>3</v>
      </c>
    </row>
    <row r="322" spans="2:13" ht="15.6" thickTop="1" thickBot="1" x14ac:dyDescent="0.35">
      <c r="B322" s="6">
        <v>320</v>
      </c>
      <c r="C322" s="7" t="s">
        <v>10</v>
      </c>
      <c r="D322" s="18">
        <v>45702</v>
      </c>
      <c r="E322" s="7" t="s">
        <v>17</v>
      </c>
      <c r="F322" s="7" t="s">
        <v>24</v>
      </c>
      <c r="G322" s="7" t="s">
        <v>30</v>
      </c>
      <c r="H322" s="7">
        <v>208</v>
      </c>
      <c r="I322" s="5">
        <v>135</v>
      </c>
      <c r="J322" s="5">
        <f t="shared" si="4"/>
        <v>28080</v>
      </c>
      <c r="K322" s="7">
        <v>18</v>
      </c>
      <c r="L322" s="7" t="s">
        <v>35</v>
      </c>
      <c r="M322" s="7"/>
    </row>
    <row r="323" spans="2:13" ht="15.6" thickTop="1" thickBot="1" x14ac:dyDescent="0.35">
      <c r="B323" s="8">
        <v>321</v>
      </c>
      <c r="C323" s="9" t="s">
        <v>11</v>
      </c>
      <c r="D323" s="19">
        <v>45703</v>
      </c>
      <c r="E323" s="9" t="s">
        <v>15</v>
      </c>
      <c r="F323" s="9" t="s">
        <v>25</v>
      </c>
      <c r="G323" s="9" t="s">
        <v>29</v>
      </c>
      <c r="H323" s="9">
        <v>56</v>
      </c>
      <c r="I323" s="5">
        <v>45</v>
      </c>
      <c r="J323" s="5">
        <f t="shared" si="4"/>
        <v>2520</v>
      </c>
      <c r="K323" s="9">
        <v>15</v>
      </c>
      <c r="L323" s="9" t="s">
        <v>33</v>
      </c>
      <c r="M323" s="9"/>
    </row>
    <row r="324" spans="2:13" ht="15.6" thickTop="1" thickBot="1" x14ac:dyDescent="0.35">
      <c r="B324" s="6">
        <v>322</v>
      </c>
      <c r="C324" s="7" t="s">
        <v>10</v>
      </c>
      <c r="D324" s="18">
        <v>45704</v>
      </c>
      <c r="E324" s="7" t="s">
        <v>15</v>
      </c>
      <c r="F324" s="7" t="s">
        <v>25</v>
      </c>
      <c r="G324" s="7" t="s">
        <v>28</v>
      </c>
      <c r="H324" s="7">
        <v>86</v>
      </c>
      <c r="I324" s="5">
        <v>135</v>
      </c>
      <c r="J324" s="5">
        <f t="shared" ref="J324:J387" si="5">H324*I324</f>
        <v>11610</v>
      </c>
      <c r="K324" s="7">
        <v>13</v>
      </c>
      <c r="L324" s="7" t="s">
        <v>34</v>
      </c>
      <c r="M324" s="7">
        <v>2</v>
      </c>
    </row>
    <row r="325" spans="2:13" ht="15.6" thickTop="1" thickBot="1" x14ac:dyDescent="0.35">
      <c r="B325" s="8">
        <v>323</v>
      </c>
      <c r="C325" s="9" t="s">
        <v>10</v>
      </c>
      <c r="D325" s="19">
        <v>45705</v>
      </c>
      <c r="E325" s="9" t="s">
        <v>14</v>
      </c>
      <c r="F325" s="9" t="s">
        <v>25</v>
      </c>
      <c r="G325" s="9" t="s">
        <v>30</v>
      </c>
      <c r="H325" s="9">
        <v>45</v>
      </c>
      <c r="I325" s="5">
        <v>135</v>
      </c>
      <c r="J325" s="5">
        <f t="shared" si="5"/>
        <v>6075</v>
      </c>
      <c r="K325" s="9">
        <v>25</v>
      </c>
      <c r="L325" s="9" t="s">
        <v>35</v>
      </c>
      <c r="M325" s="9"/>
    </row>
    <row r="326" spans="2:13" ht="15.6" thickTop="1" thickBot="1" x14ac:dyDescent="0.35">
      <c r="B326" s="6">
        <v>324</v>
      </c>
      <c r="C326" s="7" t="s">
        <v>10</v>
      </c>
      <c r="D326" s="18">
        <v>45706</v>
      </c>
      <c r="E326" s="7" t="s">
        <v>13</v>
      </c>
      <c r="F326" s="7" t="s">
        <v>24</v>
      </c>
      <c r="G326" s="7" t="s">
        <v>31</v>
      </c>
      <c r="H326" s="7">
        <v>156</v>
      </c>
      <c r="I326" s="5">
        <v>180</v>
      </c>
      <c r="J326" s="5">
        <f t="shared" si="5"/>
        <v>28080</v>
      </c>
      <c r="K326" s="7">
        <v>10</v>
      </c>
      <c r="L326" s="7" t="s">
        <v>33</v>
      </c>
      <c r="M326" s="7">
        <v>2</v>
      </c>
    </row>
    <row r="327" spans="2:13" ht="15.6" thickTop="1" thickBot="1" x14ac:dyDescent="0.35">
      <c r="B327" s="8">
        <v>325</v>
      </c>
      <c r="C327" s="9" t="s">
        <v>10</v>
      </c>
      <c r="D327" s="19">
        <v>45707</v>
      </c>
      <c r="E327" s="9" t="s">
        <v>22</v>
      </c>
      <c r="F327" s="9" t="s">
        <v>25</v>
      </c>
      <c r="G327" s="9" t="s">
        <v>29</v>
      </c>
      <c r="H327" s="9">
        <v>224</v>
      </c>
      <c r="I327" s="5">
        <v>225</v>
      </c>
      <c r="J327" s="5">
        <f t="shared" si="5"/>
        <v>50400</v>
      </c>
      <c r="K327" s="9">
        <v>12</v>
      </c>
      <c r="L327" s="9" t="s">
        <v>33</v>
      </c>
      <c r="M327" s="9">
        <v>1</v>
      </c>
    </row>
    <row r="328" spans="2:13" ht="15.6" thickTop="1" thickBot="1" x14ac:dyDescent="0.35">
      <c r="B328" s="6">
        <v>326</v>
      </c>
      <c r="C328" s="7" t="s">
        <v>10</v>
      </c>
      <c r="D328" s="18">
        <v>45708</v>
      </c>
      <c r="E328" s="7" t="s">
        <v>22</v>
      </c>
      <c r="F328" s="7" t="s">
        <v>25</v>
      </c>
      <c r="G328" s="7" t="s">
        <v>32</v>
      </c>
      <c r="H328" s="7">
        <v>237</v>
      </c>
      <c r="I328" s="5">
        <v>180</v>
      </c>
      <c r="J328" s="5">
        <f t="shared" si="5"/>
        <v>42660</v>
      </c>
      <c r="K328" s="7">
        <v>13</v>
      </c>
      <c r="L328" s="7" t="s">
        <v>33</v>
      </c>
      <c r="M328" s="7">
        <v>2</v>
      </c>
    </row>
    <row r="329" spans="2:13" ht="15.6" thickTop="1" thickBot="1" x14ac:dyDescent="0.35">
      <c r="B329" s="8">
        <v>327</v>
      </c>
      <c r="C329" s="9" t="s">
        <v>11</v>
      </c>
      <c r="D329" s="19">
        <v>45709</v>
      </c>
      <c r="E329" s="9" t="s">
        <v>16</v>
      </c>
      <c r="F329" s="9" t="s">
        <v>26</v>
      </c>
      <c r="G329" s="9" t="s">
        <v>28</v>
      </c>
      <c r="H329" s="9">
        <v>40</v>
      </c>
      <c r="I329" s="5">
        <v>45</v>
      </c>
      <c r="J329" s="5">
        <f t="shared" si="5"/>
        <v>1800</v>
      </c>
      <c r="K329" s="9">
        <v>13</v>
      </c>
      <c r="L329" s="9" t="s">
        <v>35</v>
      </c>
      <c r="M329" s="9">
        <v>3</v>
      </c>
    </row>
    <row r="330" spans="2:13" ht="15.6" thickTop="1" thickBot="1" x14ac:dyDescent="0.35">
      <c r="B330" s="6">
        <v>328</v>
      </c>
      <c r="C330" s="7" t="s">
        <v>11</v>
      </c>
      <c r="D330" s="18">
        <v>45710</v>
      </c>
      <c r="E330" s="7" t="s">
        <v>21</v>
      </c>
      <c r="F330" s="7" t="s">
        <v>26</v>
      </c>
      <c r="G330" s="7" t="s">
        <v>28</v>
      </c>
      <c r="H330" s="7">
        <v>224</v>
      </c>
      <c r="I330" s="5">
        <v>45</v>
      </c>
      <c r="J330" s="5">
        <f t="shared" si="5"/>
        <v>10080</v>
      </c>
      <c r="K330" s="7">
        <v>10</v>
      </c>
      <c r="L330" s="7" t="s">
        <v>33</v>
      </c>
      <c r="M330" s="7">
        <v>4</v>
      </c>
    </row>
    <row r="331" spans="2:13" ht="15.6" thickTop="1" thickBot="1" x14ac:dyDescent="0.35">
      <c r="B331" s="8">
        <v>329</v>
      </c>
      <c r="C331" s="9" t="s">
        <v>11</v>
      </c>
      <c r="D331" s="19">
        <v>45711</v>
      </c>
      <c r="E331" s="9" t="s">
        <v>17</v>
      </c>
      <c r="F331" s="9" t="s">
        <v>24</v>
      </c>
      <c r="G331" s="9" t="s">
        <v>31</v>
      </c>
      <c r="H331" s="9">
        <v>163</v>
      </c>
      <c r="I331" s="5">
        <v>45</v>
      </c>
      <c r="J331" s="5">
        <f t="shared" si="5"/>
        <v>7335</v>
      </c>
      <c r="K331" s="9">
        <v>18</v>
      </c>
      <c r="L331" s="9" t="s">
        <v>34</v>
      </c>
      <c r="M331" s="9">
        <v>1</v>
      </c>
    </row>
    <row r="332" spans="2:13" ht="15.6" thickTop="1" thickBot="1" x14ac:dyDescent="0.35">
      <c r="B332" s="6">
        <v>330</v>
      </c>
      <c r="C332" s="7" t="s">
        <v>10</v>
      </c>
      <c r="D332" s="18">
        <v>45712</v>
      </c>
      <c r="E332" s="7" t="s">
        <v>20</v>
      </c>
      <c r="F332" s="7" t="s">
        <v>20</v>
      </c>
      <c r="G332" s="7" t="s">
        <v>29</v>
      </c>
      <c r="H332" s="7">
        <v>144</v>
      </c>
      <c r="I332" s="5">
        <v>180</v>
      </c>
      <c r="J332" s="5">
        <f t="shared" si="5"/>
        <v>25920</v>
      </c>
      <c r="K332" s="7">
        <v>10</v>
      </c>
      <c r="L332" s="7" t="s">
        <v>34</v>
      </c>
      <c r="M332" s="7">
        <v>1</v>
      </c>
    </row>
    <row r="333" spans="2:13" ht="15.6" thickTop="1" thickBot="1" x14ac:dyDescent="0.35">
      <c r="B333" s="8">
        <v>331</v>
      </c>
      <c r="C333" s="9" t="s">
        <v>10</v>
      </c>
      <c r="D333" s="19">
        <v>45713</v>
      </c>
      <c r="E333" s="9" t="s">
        <v>13</v>
      </c>
      <c r="F333" s="9" t="s">
        <v>24</v>
      </c>
      <c r="G333" s="9" t="s">
        <v>28</v>
      </c>
      <c r="H333" s="9">
        <v>51</v>
      </c>
      <c r="I333" s="5">
        <v>180</v>
      </c>
      <c r="J333" s="5">
        <f t="shared" si="5"/>
        <v>9180</v>
      </c>
      <c r="K333" s="9">
        <v>24</v>
      </c>
      <c r="L333" s="9" t="s">
        <v>34</v>
      </c>
      <c r="M333" s="9"/>
    </row>
    <row r="334" spans="2:13" ht="15.6" thickTop="1" thickBot="1" x14ac:dyDescent="0.35">
      <c r="B334" s="6">
        <v>332</v>
      </c>
      <c r="C334" s="7" t="s">
        <v>10</v>
      </c>
      <c r="D334" s="18">
        <v>45714</v>
      </c>
      <c r="E334" s="7" t="s">
        <v>22</v>
      </c>
      <c r="F334" s="7" t="s">
        <v>25</v>
      </c>
      <c r="G334" s="7" t="s">
        <v>29</v>
      </c>
      <c r="H334" s="7">
        <v>65</v>
      </c>
      <c r="I334" s="5">
        <v>225</v>
      </c>
      <c r="J334" s="5">
        <f t="shared" si="5"/>
        <v>14625</v>
      </c>
      <c r="K334" s="7">
        <v>19</v>
      </c>
      <c r="L334" s="7" t="s">
        <v>34</v>
      </c>
      <c r="M334" s="7">
        <v>5</v>
      </c>
    </row>
    <row r="335" spans="2:13" ht="15.6" thickTop="1" thickBot="1" x14ac:dyDescent="0.35">
      <c r="B335" s="8">
        <v>333</v>
      </c>
      <c r="C335" s="9" t="s">
        <v>11</v>
      </c>
      <c r="D335" s="19">
        <v>45715</v>
      </c>
      <c r="E335" s="9" t="s">
        <v>16</v>
      </c>
      <c r="F335" s="9" t="s">
        <v>26</v>
      </c>
      <c r="G335" s="9" t="s">
        <v>29</v>
      </c>
      <c r="H335" s="9">
        <v>59</v>
      </c>
      <c r="I335" s="5">
        <v>45</v>
      </c>
      <c r="J335" s="5">
        <f t="shared" si="5"/>
        <v>2655</v>
      </c>
      <c r="K335" s="9">
        <v>17</v>
      </c>
      <c r="L335" s="9" t="s">
        <v>35</v>
      </c>
      <c r="M335" s="9"/>
    </row>
    <row r="336" spans="2:13" ht="15.6" thickTop="1" thickBot="1" x14ac:dyDescent="0.35">
      <c r="B336" s="6">
        <v>334</v>
      </c>
      <c r="C336" s="7" t="s">
        <v>10</v>
      </c>
      <c r="D336" s="18">
        <v>45716</v>
      </c>
      <c r="E336" s="7" t="s">
        <v>15</v>
      </c>
      <c r="F336" s="7" t="s">
        <v>25</v>
      </c>
      <c r="G336" s="7" t="s">
        <v>30</v>
      </c>
      <c r="H336" s="7">
        <v>66</v>
      </c>
      <c r="I336" s="5">
        <v>90</v>
      </c>
      <c r="J336" s="5">
        <f t="shared" si="5"/>
        <v>5940</v>
      </c>
      <c r="K336" s="7">
        <v>10</v>
      </c>
      <c r="L336" s="7" t="s">
        <v>34</v>
      </c>
      <c r="M336" s="7">
        <v>2</v>
      </c>
    </row>
    <row r="337" spans="2:13" ht="15.6" thickTop="1" thickBot="1" x14ac:dyDescent="0.35">
      <c r="B337" s="8">
        <v>335</v>
      </c>
      <c r="C337" s="9" t="s">
        <v>11</v>
      </c>
      <c r="D337" s="19">
        <v>45717</v>
      </c>
      <c r="E337" s="9" t="s">
        <v>22</v>
      </c>
      <c r="F337" s="9" t="s">
        <v>25</v>
      </c>
      <c r="G337" s="9" t="s">
        <v>32</v>
      </c>
      <c r="H337" s="9">
        <v>150</v>
      </c>
      <c r="I337" s="5">
        <v>90</v>
      </c>
      <c r="J337" s="5">
        <f t="shared" si="5"/>
        <v>13500</v>
      </c>
      <c r="K337" s="9">
        <v>10</v>
      </c>
      <c r="L337" s="9" t="s">
        <v>33</v>
      </c>
      <c r="M337" s="9">
        <v>3</v>
      </c>
    </row>
    <row r="338" spans="2:13" ht="15.6" thickTop="1" thickBot="1" x14ac:dyDescent="0.35">
      <c r="B338" s="6">
        <v>336</v>
      </c>
      <c r="C338" s="7" t="s">
        <v>10</v>
      </c>
      <c r="D338" s="18">
        <v>45718</v>
      </c>
      <c r="E338" s="7" t="s">
        <v>21</v>
      </c>
      <c r="F338" s="7" t="s">
        <v>26</v>
      </c>
      <c r="G338" s="7" t="s">
        <v>29</v>
      </c>
      <c r="H338" s="7">
        <v>234</v>
      </c>
      <c r="I338" s="5">
        <v>90</v>
      </c>
      <c r="J338" s="5">
        <f t="shared" si="5"/>
        <v>21060</v>
      </c>
      <c r="K338" s="7">
        <v>13</v>
      </c>
      <c r="L338" s="7" t="s">
        <v>35</v>
      </c>
      <c r="M338" s="7">
        <v>3</v>
      </c>
    </row>
    <row r="339" spans="2:13" ht="15.6" thickTop="1" thickBot="1" x14ac:dyDescent="0.35">
      <c r="B339" s="8">
        <v>337</v>
      </c>
      <c r="C339" s="9" t="s">
        <v>10</v>
      </c>
      <c r="D339" s="19">
        <v>45719</v>
      </c>
      <c r="E339" s="9" t="s">
        <v>12</v>
      </c>
      <c r="F339" s="9" t="s">
        <v>23</v>
      </c>
      <c r="G339" s="9" t="s">
        <v>29</v>
      </c>
      <c r="H339" s="9">
        <v>94</v>
      </c>
      <c r="I339" s="5">
        <v>225</v>
      </c>
      <c r="J339" s="5">
        <f t="shared" si="5"/>
        <v>21150</v>
      </c>
      <c r="K339" s="9">
        <v>11</v>
      </c>
      <c r="L339" s="9" t="s">
        <v>35</v>
      </c>
      <c r="M339" s="9">
        <v>5</v>
      </c>
    </row>
    <row r="340" spans="2:13" ht="15.6" thickTop="1" thickBot="1" x14ac:dyDescent="0.35">
      <c r="B340" s="6">
        <v>338</v>
      </c>
      <c r="C340" s="7" t="s">
        <v>10</v>
      </c>
      <c r="D340" s="18">
        <v>45720</v>
      </c>
      <c r="E340" s="7" t="s">
        <v>13</v>
      </c>
      <c r="F340" s="7" t="s">
        <v>24</v>
      </c>
      <c r="G340" s="7" t="s">
        <v>31</v>
      </c>
      <c r="H340" s="7">
        <v>142</v>
      </c>
      <c r="I340" s="5">
        <v>225</v>
      </c>
      <c r="J340" s="5">
        <f t="shared" si="5"/>
        <v>31950</v>
      </c>
      <c r="K340" s="7">
        <v>24</v>
      </c>
      <c r="L340" s="7" t="s">
        <v>34</v>
      </c>
      <c r="M340" s="7">
        <v>4</v>
      </c>
    </row>
    <row r="341" spans="2:13" ht="15.6" thickTop="1" thickBot="1" x14ac:dyDescent="0.35">
      <c r="B341" s="8">
        <v>339</v>
      </c>
      <c r="C341" s="9" t="s">
        <v>11</v>
      </c>
      <c r="D341" s="19">
        <v>45721</v>
      </c>
      <c r="E341" s="9" t="s">
        <v>17</v>
      </c>
      <c r="F341" s="9" t="s">
        <v>24</v>
      </c>
      <c r="G341" s="9" t="s">
        <v>30</v>
      </c>
      <c r="H341" s="9">
        <v>230</v>
      </c>
      <c r="I341" s="5">
        <v>225</v>
      </c>
      <c r="J341" s="5">
        <f t="shared" si="5"/>
        <v>51750</v>
      </c>
      <c r="K341" s="9">
        <v>18</v>
      </c>
      <c r="L341" s="9" t="s">
        <v>34</v>
      </c>
      <c r="M341" s="9">
        <v>1</v>
      </c>
    </row>
    <row r="342" spans="2:13" ht="15.6" thickTop="1" thickBot="1" x14ac:dyDescent="0.35">
      <c r="B342" s="6">
        <v>340</v>
      </c>
      <c r="C342" s="7" t="s">
        <v>11</v>
      </c>
      <c r="D342" s="18">
        <v>45722</v>
      </c>
      <c r="E342" s="7" t="s">
        <v>22</v>
      </c>
      <c r="F342" s="7" t="s">
        <v>25</v>
      </c>
      <c r="G342" s="7" t="s">
        <v>29</v>
      </c>
      <c r="H342" s="7">
        <v>206</v>
      </c>
      <c r="I342" s="5">
        <v>135</v>
      </c>
      <c r="J342" s="5">
        <f t="shared" si="5"/>
        <v>27810</v>
      </c>
      <c r="K342" s="7">
        <v>20</v>
      </c>
      <c r="L342" s="7" t="s">
        <v>34</v>
      </c>
      <c r="M342" s="7">
        <v>2</v>
      </c>
    </row>
    <row r="343" spans="2:13" ht="15.6" thickTop="1" thickBot="1" x14ac:dyDescent="0.35">
      <c r="B343" s="8">
        <v>341</v>
      </c>
      <c r="C343" s="9" t="s">
        <v>10</v>
      </c>
      <c r="D343" s="19">
        <v>45723</v>
      </c>
      <c r="E343" s="9" t="s">
        <v>17</v>
      </c>
      <c r="F343" s="9" t="s">
        <v>24</v>
      </c>
      <c r="G343" s="9" t="s">
        <v>30</v>
      </c>
      <c r="H343" s="9">
        <v>204</v>
      </c>
      <c r="I343" s="5">
        <v>180</v>
      </c>
      <c r="J343" s="5">
        <f t="shared" si="5"/>
        <v>36720</v>
      </c>
      <c r="K343" s="9">
        <v>15</v>
      </c>
      <c r="L343" s="9" t="s">
        <v>34</v>
      </c>
      <c r="M343" s="9">
        <v>5</v>
      </c>
    </row>
    <row r="344" spans="2:13" ht="15.6" thickTop="1" thickBot="1" x14ac:dyDescent="0.35">
      <c r="B344" s="6">
        <v>342</v>
      </c>
      <c r="C344" s="7" t="s">
        <v>11</v>
      </c>
      <c r="D344" s="18">
        <v>45724</v>
      </c>
      <c r="E344" s="7" t="s">
        <v>18</v>
      </c>
      <c r="F344" s="7" t="s">
        <v>27</v>
      </c>
      <c r="G344" s="7" t="s">
        <v>28</v>
      </c>
      <c r="H344" s="7">
        <v>144</v>
      </c>
      <c r="I344" s="5">
        <v>180</v>
      </c>
      <c r="J344" s="5">
        <f t="shared" si="5"/>
        <v>25920</v>
      </c>
      <c r="K344" s="7">
        <v>15</v>
      </c>
      <c r="L344" s="7" t="s">
        <v>33</v>
      </c>
      <c r="M344" s="7">
        <v>1</v>
      </c>
    </row>
    <row r="345" spans="2:13" ht="15.6" thickTop="1" thickBot="1" x14ac:dyDescent="0.35">
      <c r="B345" s="8">
        <v>343</v>
      </c>
      <c r="C345" s="9" t="s">
        <v>11</v>
      </c>
      <c r="D345" s="19">
        <v>45725</v>
      </c>
      <c r="E345" s="9" t="s">
        <v>19</v>
      </c>
      <c r="F345" s="9" t="s">
        <v>23</v>
      </c>
      <c r="G345" s="9" t="s">
        <v>28</v>
      </c>
      <c r="H345" s="9">
        <v>219</v>
      </c>
      <c r="I345" s="5">
        <v>135</v>
      </c>
      <c r="J345" s="5">
        <f t="shared" si="5"/>
        <v>29565</v>
      </c>
      <c r="K345" s="9">
        <v>10</v>
      </c>
      <c r="L345" s="9" t="s">
        <v>35</v>
      </c>
      <c r="M345" s="9">
        <v>1</v>
      </c>
    </row>
    <row r="346" spans="2:13" ht="15.6" thickTop="1" thickBot="1" x14ac:dyDescent="0.35">
      <c r="B346" s="6">
        <v>344</v>
      </c>
      <c r="C346" s="7" t="s">
        <v>10</v>
      </c>
      <c r="D346" s="18">
        <v>45726</v>
      </c>
      <c r="E346" s="7" t="s">
        <v>14</v>
      </c>
      <c r="F346" s="7" t="s">
        <v>25</v>
      </c>
      <c r="G346" s="7" t="s">
        <v>31</v>
      </c>
      <c r="H346" s="7">
        <v>202</v>
      </c>
      <c r="I346" s="5">
        <v>45</v>
      </c>
      <c r="J346" s="5">
        <f t="shared" si="5"/>
        <v>9090</v>
      </c>
      <c r="K346" s="7">
        <v>17</v>
      </c>
      <c r="L346" s="7" t="s">
        <v>33</v>
      </c>
      <c r="M346" s="7">
        <v>3</v>
      </c>
    </row>
    <row r="347" spans="2:13" ht="15.6" thickTop="1" thickBot="1" x14ac:dyDescent="0.35">
      <c r="B347" s="8">
        <v>345</v>
      </c>
      <c r="C347" s="9" t="s">
        <v>11</v>
      </c>
      <c r="D347" s="19">
        <v>45727</v>
      </c>
      <c r="E347" s="9" t="s">
        <v>21</v>
      </c>
      <c r="F347" s="9" t="s">
        <v>26</v>
      </c>
      <c r="G347" s="9" t="s">
        <v>30</v>
      </c>
      <c r="H347" s="9">
        <v>187</v>
      </c>
      <c r="I347" s="5">
        <v>135</v>
      </c>
      <c r="J347" s="5">
        <f t="shared" si="5"/>
        <v>25245</v>
      </c>
      <c r="K347" s="9">
        <v>8</v>
      </c>
      <c r="L347" s="9" t="s">
        <v>34</v>
      </c>
      <c r="M347" s="9">
        <v>1</v>
      </c>
    </row>
    <row r="348" spans="2:13" ht="15.6" thickTop="1" thickBot="1" x14ac:dyDescent="0.35">
      <c r="B348" s="6">
        <v>346</v>
      </c>
      <c r="C348" s="7" t="s">
        <v>11</v>
      </c>
      <c r="D348" s="18">
        <v>45728</v>
      </c>
      <c r="E348" s="7" t="s">
        <v>19</v>
      </c>
      <c r="F348" s="7" t="s">
        <v>23</v>
      </c>
      <c r="G348" s="7" t="s">
        <v>28</v>
      </c>
      <c r="H348" s="7">
        <v>95</v>
      </c>
      <c r="I348" s="5">
        <v>90</v>
      </c>
      <c r="J348" s="5">
        <f t="shared" si="5"/>
        <v>8550</v>
      </c>
      <c r="K348" s="7">
        <v>9</v>
      </c>
      <c r="L348" s="7" t="s">
        <v>35</v>
      </c>
      <c r="M348" s="7">
        <v>1</v>
      </c>
    </row>
    <row r="349" spans="2:13" ht="15.6" thickTop="1" thickBot="1" x14ac:dyDescent="0.35">
      <c r="B349" s="8">
        <v>347</v>
      </c>
      <c r="C349" s="9" t="s">
        <v>10</v>
      </c>
      <c r="D349" s="19">
        <v>45729</v>
      </c>
      <c r="E349" s="9" t="s">
        <v>15</v>
      </c>
      <c r="F349" s="9" t="s">
        <v>25</v>
      </c>
      <c r="G349" s="9" t="s">
        <v>32</v>
      </c>
      <c r="H349" s="9">
        <v>94</v>
      </c>
      <c r="I349" s="5">
        <v>225</v>
      </c>
      <c r="J349" s="5">
        <f t="shared" si="5"/>
        <v>21150</v>
      </c>
      <c r="K349" s="9">
        <v>20</v>
      </c>
      <c r="L349" s="9" t="s">
        <v>33</v>
      </c>
      <c r="M349" s="9">
        <v>1</v>
      </c>
    </row>
    <row r="350" spans="2:13" ht="15.6" thickTop="1" thickBot="1" x14ac:dyDescent="0.35">
      <c r="B350" s="6">
        <v>348</v>
      </c>
      <c r="C350" s="7" t="s">
        <v>10</v>
      </c>
      <c r="D350" s="18">
        <v>45730</v>
      </c>
      <c r="E350" s="7" t="s">
        <v>19</v>
      </c>
      <c r="F350" s="7" t="s">
        <v>23</v>
      </c>
      <c r="G350" s="7" t="s">
        <v>29</v>
      </c>
      <c r="H350" s="7">
        <v>60</v>
      </c>
      <c r="I350" s="5">
        <v>45</v>
      </c>
      <c r="J350" s="5">
        <f t="shared" si="5"/>
        <v>2700</v>
      </c>
      <c r="K350" s="7">
        <v>21</v>
      </c>
      <c r="L350" s="7" t="s">
        <v>35</v>
      </c>
      <c r="M350" s="7"/>
    </row>
    <row r="351" spans="2:13" ht="15.6" thickTop="1" thickBot="1" x14ac:dyDescent="0.35">
      <c r="B351" s="8">
        <v>349</v>
      </c>
      <c r="C351" s="9" t="s">
        <v>11</v>
      </c>
      <c r="D351" s="19">
        <v>45731</v>
      </c>
      <c r="E351" s="9" t="s">
        <v>15</v>
      </c>
      <c r="F351" s="9" t="s">
        <v>25</v>
      </c>
      <c r="G351" s="9" t="s">
        <v>32</v>
      </c>
      <c r="H351" s="9">
        <v>242</v>
      </c>
      <c r="I351" s="5">
        <v>135</v>
      </c>
      <c r="J351" s="5">
        <f t="shared" si="5"/>
        <v>32670</v>
      </c>
      <c r="K351" s="9">
        <v>18</v>
      </c>
      <c r="L351" s="9" t="s">
        <v>35</v>
      </c>
      <c r="M351" s="9"/>
    </row>
    <row r="352" spans="2:13" ht="15.6" thickTop="1" thickBot="1" x14ac:dyDescent="0.35">
      <c r="B352" s="6">
        <v>350</v>
      </c>
      <c r="C352" s="7" t="s">
        <v>10</v>
      </c>
      <c r="D352" s="18">
        <v>45732</v>
      </c>
      <c r="E352" s="7" t="s">
        <v>20</v>
      </c>
      <c r="F352" s="7" t="s">
        <v>20</v>
      </c>
      <c r="G352" s="7" t="s">
        <v>31</v>
      </c>
      <c r="H352" s="7">
        <v>166</v>
      </c>
      <c r="I352" s="5">
        <v>45</v>
      </c>
      <c r="J352" s="5">
        <f t="shared" si="5"/>
        <v>7470</v>
      </c>
      <c r="K352" s="7">
        <v>13</v>
      </c>
      <c r="L352" s="7" t="s">
        <v>35</v>
      </c>
      <c r="M352" s="7">
        <v>1</v>
      </c>
    </row>
    <row r="353" spans="2:13" ht="15.6" thickTop="1" thickBot="1" x14ac:dyDescent="0.35">
      <c r="B353" s="8">
        <v>351</v>
      </c>
      <c r="C353" s="9" t="s">
        <v>10</v>
      </c>
      <c r="D353" s="19">
        <v>45733</v>
      </c>
      <c r="E353" s="9" t="s">
        <v>19</v>
      </c>
      <c r="F353" s="9" t="s">
        <v>23</v>
      </c>
      <c r="G353" s="9" t="s">
        <v>28</v>
      </c>
      <c r="H353" s="9">
        <v>30</v>
      </c>
      <c r="I353" s="5">
        <v>180</v>
      </c>
      <c r="J353" s="5">
        <f t="shared" si="5"/>
        <v>5400</v>
      </c>
      <c r="K353" s="9">
        <v>14</v>
      </c>
      <c r="L353" s="9" t="s">
        <v>33</v>
      </c>
      <c r="M353" s="9"/>
    </row>
    <row r="354" spans="2:13" ht="15.6" thickTop="1" thickBot="1" x14ac:dyDescent="0.35">
      <c r="B354" s="6">
        <v>352</v>
      </c>
      <c r="C354" s="7" t="s">
        <v>11</v>
      </c>
      <c r="D354" s="18">
        <v>45734</v>
      </c>
      <c r="E354" s="7" t="s">
        <v>22</v>
      </c>
      <c r="F354" s="7" t="s">
        <v>25</v>
      </c>
      <c r="G354" s="7" t="s">
        <v>31</v>
      </c>
      <c r="H354" s="7">
        <v>217</v>
      </c>
      <c r="I354" s="5">
        <v>90</v>
      </c>
      <c r="J354" s="5">
        <f t="shared" si="5"/>
        <v>19530</v>
      </c>
      <c r="K354" s="7">
        <v>12</v>
      </c>
      <c r="L354" s="7" t="s">
        <v>34</v>
      </c>
      <c r="M354" s="7">
        <v>4</v>
      </c>
    </row>
    <row r="355" spans="2:13" ht="15.6" thickTop="1" thickBot="1" x14ac:dyDescent="0.35">
      <c r="B355" s="8">
        <v>353</v>
      </c>
      <c r="C355" s="9" t="s">
        <v>10</v>
      </c>
      <c r="D355" s="19">
        <v>45735</v>
      </c>
      <c r="E355" s="9" t="s">
        <v>19</v>
      </c>
      <c r="F355" s="9" t="s">
        <v>23</v>
      </c>
      <c r="G355" s="9" t="s">
        <v>30</v>
      </c>
      <c r="H355" s="9">
        <v>148</v>
      </c>
      <c r="I355" s="5">
        <v>135</v>
      </c>
      <c r="J355" s="5">
        <f t="shared" si="5"/>
        <v>19980</v>
      </c>
      <c r="K355" s="9">
        <v>10</v>
      </c>
      <c r="L355" s="9" t="s">
        <v>35</v>
      </c>
      <c r="M355" s="9">
        <v>3</v>
      </c>
    </row>
    <row r="356" spans="2:13" ht="15.6" thickTop="1" thickBot="1" x14ac:dyDescent="0.35">
      <c r="B356" s="6">
        <v>354</v>
      </c>
      <c r="C356" s="7" t="s">
        <v>10</v>
      </c>
      <c r="D356" s="18">
        <v>45736</v>
      </c>
      <c r="E356" s="7" t="s">
        <v>18</v>
      </c>
      <c r="F356" s="7" t="s">
        <v>27</v>
      </c>
      <c r="G356" s="7" t="s">
        <v>30</v>
      </c>
      <c r="H356" s="7">
        <v>69</v>
      </c>
      <c r="I356" s="5">
        <v>90</v>
      </c>
      <c r="J356" s="5">
        <f t="shared" si="5"/>
        <v>6210</v>
      </c>
      <c r="K356" s="7">
        <v>11</v>
      </c>
      <c r="L356" s="7" t="s">
        <v>35</v>
      </c>
      <c r="M356" s="7">
        <v>5</v>
      </c>
    </row>
    <row r="357" spans="2:13" ht="15.6" thickTop="1" thickBot="1" x14ac:dyDescent="0.35">
      <c r="B357" s="8">
        <v>355</v>
      </c>
      <c r="C357" s="9" t="s">
        <v>10</v>
      </c>
      <c r="D357" s="19">
        <v>45737</v>
      </c>
      <c r="E357" s="9" t="s">
        <v>20</v>
      </c>
      <c r="F357" s="9" t="s">
        <v>20</v>
      </c>
      <c r="G357" s="9" t="s">
        <v>32</v>
      </c>
      <c r="H357" s="9">
        <v>50</v>
      </c>
      <c r="I357" s="5">
        <v>45</v>
      </c>
      <c r="J357" s="5">
        <f t="shared" si="5"/>
        <v>2250</v>
      </c>
      <c r="K357" s="9">
        <v>24</v>
      </c>
      <c r="L357" s="9" t="s">
        <v>33</v>
      </c>
      <c r="M357" s="9">
        <v>1</v>
      </c>
    </row>
    <row r="358" spans="2:13" ht="15.6" thickTop="1" thickBot="1" x14ac:dyDescent="0.35">
      <c r="B358" s="6">
        <v>356</v>
      </c>
      <c r="C358" s="7" t="s">
        <v>10</v>
      </c>
      <c r="D358" s="18">
        <v>45738</v>
      </c>
      <c r="E358" s="7" t="s">
        <v>20</v>
      </c>
      <c r="F358" s="7" t="s">
        <v>20</v>
      </c>
      <c r="G358" s="7" t="s">
        <v>30</v>
      </c>
      <c r="H358" s="7">
        <v>125</v>
      </c>
      <c r="I358" s="5">
        <v>180</v>
      </c>
      <c r="J358" s="5">
        <f t="shared" si="5"/>
        <v>22500</v>
      </c>
      <c r="K358" s="7">
        <v>15</v>
      </c>
      <c r="L358" s="7" t="s">
        <v>34</v>
      </c>
      <c r="M358" s="7">
        <v>1</v>
      </c>
    </row>
    <row r="359" spans="2:13" ht="15.6" thickTop="1" thickBot="1" x14ac:dyDescent="0.35">
      <c r="B359" s="8">
        <v>357</v>
      </c>
      <c r="C359" s="9" t="s">
        <v>10</v>
      </c>
      <c r="D359" s="19">
        <v>45739</v>
      </c>
      <c r="E359" s="9" t="s">
        <v>17</v>
      </c>
      <c r="F359" s="9" t="s">
        <v>24</v>
      </c>
      <c r="G359" s="9" t="s">
        <v>30</v>
      </c>
      <c r="H359" s="9">
        <v>31</v>
      </c>
      <c r="I359" s="5">
        <v>225</v>
      </c>
      <c r="J359" s="5">
        <f t="shared" si="5"/>
        <v>6975</v>
      </c>
      <c r="K359" s="9">
        <v>25</v>
      </c>
      <c r="L359" s="9" t="s">
        <v>34</v>
      </c>
      <c r="M359" s="9"/>
    </row>
    <row r="360" spans="2:13" ht="15.6" thickTop="1" thickBot="1" x14ac:dyDescent="0.35">
      <c r="B360" s="6">
        <v>358</v>
      </c>
      <c r="C360" s="7" t="s">
        <v>11</v>
      </c>
      <c r="D360" s="18">
        <v>45740</v>
      </c>
      <c r="E360" s="7" t="s">
        <v>21</v>
      </c>
      <c r="F360" s="7" t="s">
        <v>26</v>
      </c>
      <c r="G360" s="7" t="s">
        <v>32</v>
      </c>
      <c r="H360" s="7">
        <v>205</v>
      </c>
      <c r="I360" s="5">
        <v>135</v>
      </c>
      <c r="J360" s="5">
        <f t="shared" si="5"/>
        <v>27675</v>
      </c>
      <c r="K360" s="7">
        <v>9</v>
      </c>
      <c r="L360" s="7" t="s">
        <v>34</v>
      </c>
      <c r="M360" s="7">
        <v>2</v>
      </c>
    </row>
    <row r="361" spans="2:13" ht="15.6" thickTop="1" thickBot="1" x14ac:dyDescent="0.35">
      <c r="B361" s="8">
        <v>359</v>
      </c>
      <c r="C361" s="9" t="s">
        <v>10</v>
      </c>
      <c r="D361" s="19">
        <v>45741</v>
      </c>
      <c r="E361" s="9" t="s">
        <v>21</v>
      </c>
      <c r="F361" s="9" t="s">
        <v>26</v>
      </c>
      <c r="G361" s="9" t="s">
        <v>32</v>
      </c>
      <c r="H361" s="9">
        <v>66</v>
      </c>
      <c r="I361" s="5">
        <v>225</v>
      </c>
      <c r="J361" s="5">
        <f t="shared" si="5"/>
        <v>14850</v>
      </c>
      <c r="K361" s="9">
        <v>11</v>
      </c>
      <c r="L361" s="9" t="s">
        <v>35</v>
      </c>
      <c r="M361" s="9"/>
    </row>
    <row r="362" spans="2:13" ht="15.6" thickTop="1" thickBot="1" x14ac:dyDescent="0.35">
      <c r="B362" s="6">
        <v>360</v>
      </c>
      <c r="C362" s="7" t="s">
        <v>11</v>
      </c>
      <c r="D362" s="18">
        <v>45742</v>
      </c>
      <c r="E362" s="7" t="s">
        <v>21</v>
      </c>
      <c r="F362" s="7" t="s">
        <v>26</v>
      </c>
      <c r="G362" s="7" t="s">
        <v>28</v>
      </c>
      <c r="H362" s="7">
        <v>107</v>
      </c>
      <c r="I362" s="5">
        <v>135</v>
      </c>
      <c r="J362" s="5">
        <f t="shared" si="5"/>
        <v>14445</v>
      </c>
      <c r="K362" s="7">
        <v>13</v>
      </c>
      <c r="L362" s="7" t="s">
        <v>35</v>
      </c>
      <c r="M362" s="7"/>
    </row>
    <row r="363" spans="2:13" ht="15.6" thickTop="1" thickBot="1" x14ac:dyDescent="0.35">
      <c r="B363" s="8">
        <v>361</v>
      </c>
      <c r="C363" s="9" t="s">
        <v>10</v>
      </c>
      <c r="D363" s="19">
        <v>45743</v>
      </c>
      <c r="E363" s="9" t="s">
        <v>21</v>
      </c>
      <c r="F363" s="9" t="s">
        <v>26</v>
      </c>
      <c r="G363" s="9" t="s">
        <v>32</v>
      </c>
      <c r="H363" s="9">
        <v>237</v>
      </c>
      <c r="I363" s="5">
        <v>180</v>
      </c>
      <c r="J363" s="5">
        <f t="shared" si="5"/>
        <v>42660</v>
      </c>
      <c r="K363" s="9">
        <v>16</v>
      </c>
      <c r="L363" s="9" t="s">
        <v>34</v>
      </c>
      <c r="M363" s="9">
        <v>4</v>
      </c>
    </row>
    <row r="364" spans="2:13" ht="15.6" thickTop="1" thickBot="1" x14ac:dyDescent="0.35">
      <c r="B364" s="6">
        <v>362</v>
      </c>
      <c r="C364" s="7" t="s">
        <v>11</v>
      </c>
      <c r="D364" s="18">
        <v>45744</v>
      </c>
      <c r="E364" s="7" t="s">
        <v>17</v>
      </c>
      <c r="F364" s="7" t="s">
        <v>24</v>
      </c>
      <c r="G364" s="7" t="s">
        <v>32</v>
      </c>
      <c r="H364" s="7">
        <v>139</v>
      </c>
      <c r="I364" s="5">
        <v>135</v>
      </c>
      <c r="J364" s="5">
        <f t="shared" si="5"/>
        <v>18765</v>
      </c>
      <c r="K364" s="7">
        <v>18</v>
      </c>
      <c r="L364" s="7" t="s">
        <v>33</v>
      </c>
      <c r="M364" s="7">
        <v>5</v>
      </c>
    </row>
    <row r="365" spans="2:13" ht="15.6" thickTop="1" thickBot="1" x14ac:dyDescent="0.35">
      <c r="B365" s="8">
        <v>363</v>
      </c>
      <c r="C365" s="9" t="s">
        <v>10</v>
      </c>
      <c r="D365" s="19">
        <v>45745</v>
      </c>
      <c r="E365" s="9" t="s">
        <v>15</v>
      </c>
      <c r="F365" s="9" t="s">
        <v>25</v>
      </c>
      <c r="G365" s="9" t="s">
        <v>28</v>
      </c>
      <c r="H365" s="9">
        <v>62</v>
      </c>
      <c r="I365" s="5">
        <v>135</v>
      </c>
      <c r="J365" s="5">
        <f t="shared" si="5"/>
        <v>8370</v>
      </c>
      <c r="K365" s="9">
        <v>13</v>
      </c>
      <c r="L365" s="9" t="s">
        <v>35</v>
      </c>
      <c r="M365" s="9">
        <v>5</v>
      </c>
    </row>
    <row r="366" spans="2:13" ht="15.6" thickTop="1" thickBot="1" x14ac:dyDescent="0.35">
      <c r="B366" s="6">
        <v>364</v>
      </c>
      <c r="C366" s="7" t="s">
        <v>10</v>
      </c>
      <c r="D366" s="18">
        <v>45746</v>
      </c>
      <c r="E366" s="7" t="s">
        <v>21</v>
      </c>
      <c r="F366" s="7" t="s">
        <v>26</v>
      </c>
      <c r="G366" s="7" t="s">
        <v>31</v>
      </c>
      <c r="H366" s="7">
        <v>171</v>
      </c>
      <c r="I366" s="5">
        <v>225</v>
      </c>
      <c r="J366" s="5">
        <f t="shared" si="5"/>
        <v>38475</v>
      </c>
      <c r="K366" s="7">
        <v>15</v>
      </c>
      <c r="L366" s="7" t="s">
        <v>33</v>
      </c>
      <c r="M366" s="7"/>
    </row>
    <row r="367" spans="2:13" ht="15.6" thickTop="1" thickBot="1" x14ac:dyDescent="0.35">
      <c r="B367" s="8">
        <v>365</v>
      </c>
      <c r="C367" s="9" t="s">
        <v>11</v>
      </c>
      <c r="D367" s="19">
        <v>45747</v>
      </c>
      <c r="E367" s="9" t="s">
        <v>18</v>
      </c>
      <c r="F367" s="9" t="s">
        <v>27</v>
      </c>
      <c r="G367" s="9" t="s">
        <v>28</v>
      </c>
      <c r="H367" s="9">
        <v>138</v>
      </c>
      <c r="I367" s="5">
        <v>90</v>
      </c>
      <c r="J367" s="5">
        <f t="shared" si="5"/>
        <v>12420</v>
      </c>
      <c r="K367" s="9">
        <v>9</v>
      </c>
      <c r="L367" s="9" t="s">
        <v>33</v>
      </c>
      <c r="M367" s="9">
        <v>4</v>
      </c>
    </row>
    <row r="368" spans="2:13" ht="15.6" thickTop="1" thickBot="1" x14ac:dyDescent="0.35">
      <c r="B368" s="6">
        <v>366</v>
      </c>
      <c r="C368" s="7" t="s">
        <v>10</v>
      </c>
      <c r="D368" s="18">
        <v>45707</v>
      </c>
      <c r="E368" s="7" t="s">
        <v>18</v>
      </c>
      <c r="F368" s="7" t="s">
        <v>27</v>
      </c>
      <c r="G368" s="7" t="s">
        <v>32</v>
      </c>
      <c r="H368" s="7">
        <v>66</v>
      </c>
      <c r="I368" s="5">
        <v>45</v>
      </c>
      <c r="J368" s="5">
        <f t="shared" si="5"/>
        <v>2970</v>
      </c>
      <c r="K368" s="7">
        <v>19</v>
      </c>
      <c r="L368" s="7" t="s">
        <v>33</v>
      </c>
      <c r="M368" s="7">
        <v>1</v>
      </c>
    </row>
    <row r="369" spans="2:13" ht="15.6" thickTop="1" thickBot="1" x14ac:dyDescent="0.35">
      <c r="B369" s="8">
        <v>367</v>
      </c>
      <c r="C369" s="9" t="s">
        <v>10</v>
      </c>
      <c r="D369" s="19">
        <v>45708</v>
      </c>
      <c r="E369" s="9" t="s">
        <v>19</v>
      </c>
      <c r="F369" s="9" t="s">
        <v>23</v>
      </c>
      <c r="G369" s="9" t="s">
        <v>31</v>
      </c>
      <c r="H369" s="9">
        <v>62</v>
      </c>
      <c r="I369" s="5">
        <v>180</v>
      </c>
      <c r="J369" s="5">
        <f t="shared" si="5"/>
        <v>11160</v>
      </c>
      <c r="K369" s="9">
        <v>20</v>
      </c>
      <c r="L369" s="9" t="s">
        <v>33</v>
      </c>
      <c r="M369" s="9">
        <v>2</v>
      </c>
    </row>
    <row r="370" spans="2:13" ht="15.6" thickTop="1" thickBot="1" x14ac:dyDescent="0.35">
      <c r="B370" s="6">
        <v>368</v>
      </c>
      <c r="C370" s="7" t="s">
        <v>11</v>
      </c>
      <c r="D370" s="18">
        <v>45709</v>
      </c>
      <c r="E370" s="7" t="s">
        <v>14</v>
      </c>
      <c r="F370" s="7" t="s">
        <v>25</v>
      </c>
      <c r="G370" s="7" t="s">
        <v>30</v>
      </c>
      <c r="H370" s="7">
        <v>34</v>
      </c>
      <c r="I370" s="5">
        <v>225</v>
      </c>
      <c r="J370" s="5">
        <f t="shared" si="5"/>
        <v>7650</v>
      </c>
      <c r="K370" s="7">
        <v>15</v>
      </c>
      <c r="L370" s="7" t="s">
        <v>35</v>
      </c>
      <c r="M370" s="7">
        <v>4</v>
      </c>
    </row>
    <row r="371" spans="2:13" ht="15.6" thickTop="1" thickBot="1" x14ac:dyDescent="0.35">
      <c r="B371" s="8">
        <v>369</v>
      </c>
      <c r="C371" s="9" t="s">
        <v>10</v>
      </c>
      <c r="D371" s="19">
        <v>45710</v>
      </c>
      <c r="E371" s="9" t="s">
        <v>18</v>
      </c>
      <c r="F371" s="9" t="s">
        <v>27</v>
      </c>
      <c r="G371" s="9" t="s">
        <v>30</v>
      </c>
      <c r="H371" s="9">
        <v>128</v>
      </c>
      <c r="I371" s="5">
        <v>225</v>
      </c>
      <c r="J371" s="5">
        <f t="shared" si="5"/>
        <v>28800</v>
      </c>
      <c r="K371" s="9">
        <v>22</v>
      </c>
      <c r="L371" s="9" t="s">
        <v>33</v>
      </c>
      <c r="M371" s="9">
        <v>1</v>
      </c>
    </row>
    <row r="372" spans="2:13" ht="15.6" thickTop="1" thickBot="1" x14ac:dyDescent="0.35">
      <c r="B372" s="6">
        <v>370</v>
      </c>
      <c r="C372" s="7" t="s">
        <v>11</v>
      </c>
      <c r="D372" s="18">
        <v>45711</v>
      </c>
      <c r="E372" s="7" t="s">
        <v>16</v>
      </c>
      <c r="F372" s="7" t="s">
        <v>26</v>
      </c>
      <c r="G372" s="7" t="s">
        <v>29</v>
      </c>
      <c r="H372" s="7">
        <v>195</v>
      </c>
      <c r="I372" s="5">
        <v>180</v>
      </c>
      <c r="J372" s="5">
        <f t="shared" si="5"/>
        <v>35100</v>
      </c>
      <c r="K372" s="7">
        <v>8</v>
      </c>
      <c r="L372" s="7" t="s">
        <v>33</v>
      </c>
      <c r="M372" s="7">
        <v>5</v>
      </c>
    </row>
    <row r="373" spans="2:13" ht="15.6" thickTop="1" thickBot="1" x14ac:dyDescent="0.35">
      <c r="B373" s="8">
        <v>371</v>
      </c>
      <c r="C373" s="9" t="s">
        <v>11</v>
      </c>
      <c r="D373" s="19">
        <v>45712</v>
      </c>
      <c r="E373" s="9" t="s">
        <v>17</v>
      </c>
      <c r="F373" s="9" t="s">
        <v>24</v>
      </c>
      <c r="G373" s="9" t="s">
        <v>30</v>
      </c>
      <c r="H373" s="9">
        <v>86</v>
      </c>
      <c r="I373" s="5">
        <v>45</v>
      </c>
      <c r="J373" s="5">
        <f t="shared" si="5"/>
        <v>3870</v>
      </c>
      <c r="K373" s="9">
        <v>12</v>
      </c>
      <c r="L373" s="9" t="s">
        <v>33</v>
      </c>
      <c r="M373" s="9">
        <v>1</v>
      </c>
    </row>
    <row r="374" spans="2:13" ht="15.6" thickTop="1" thickBot="1" x14ac:dyDescent="0.35">
      <c r="B374" s="6">
        <v>372</v>
      </c>
      <c r="C374" s="7" t="s">
        <v>11</v>
      </c>
      <c r="D374" s="18">
        <v>45713</v>
      </c>
      <c r="E374" s="7" t="s">
        <v>18</v>
      </c>
      <c r="F374" s="7" t="s">
        <v>27</v>
      </c>
      <c r="G374" s="7" t="s">
        <v>32</v>
      </c>
      <c r="H374" s="7">
        <v>181</v>
      </c>
      <c r="I374" s="5">
        <v>45</v>
      </c>
      <c r="J374" s="5">
        <f t="shared" si="5"/>
        <v>8145</v>
      </c>
      <c r="K374" s="7">
        <v>17</v>
      </c>
      <c r="L374" s="7" t="s">
        <v>34</v>
      </c>
      <c r="M374" s="7"/>
    </row>
    <row r="375" spans="2:13" ht="15.6" thickTop="1" thickBot="1" x14ac:dyDescent="0.35">
      <c r="B375" s="8">
        <v>373</v>
      </c>
      <c r="C375" s="9" t="s">
        <v>11</v>
      </c>
      <c r="D375" s="19">
        <v>45714</v>
      </c>
      <c r="E375" s="9" t="s">
        <v>17</v>
      </c>
      <c r="F375" s="9" t="s">
        <v>24</v>
      </c>
      <c r="G375" s="9" t="s">
        <v>32</v>
      </c>
      <c r="H375" s="9">
        <v>84</v>
      </c>
      <c r="I375" s="5">
        <v>180</v>
      </c>
      <c r="J375" s="5">
        <f t="shared" si="5"/>
        <v>15120</v>
      </c>
      <c r="K375" s="9">
        <v>10</v>
      </c>
      <c r="L375" s="9" t="s">
        <v>33</v>
      </c>
      <c r="M375" s="9"/>
    </row>
    <row r="376" spans="2:13" ht="15.6" thickTop="1" thickBot="1" x14ac:dyDescent="0.35">
      <c r="B376" s="6">
        <v>374</v>
      </c>
      <c r="C376" s="7" t="s">
        <v>10</v>
      </c>
      <c r="D376" s="18">
        <v>45715</v>
      </c>
      <c r="E376" s="7" t="s">
        <v>19</v>
      </c>
      <c r="F376" s="7" t="s">
        <v>23</v>
      </c>
      <c r="G376" s="7" t="s">
        <v>30</v>
      </c>
      <c r="H376" s="7">
        <v>55</v>
      </c>
      <c r="I376" s="5">
        <v>180</v>
      </c>
      <c r="J376" s="5">
        <f t="shared" si="5"/>
        <v>9900</v>
      </c>
      <c r="K376" s="7">
        <v>10</v>
      </c>
      <c r="L376" s="7" t="s">
        <v>33</v>
      </c>
      <c r="M376" s="7"/>
    </row>
    <row r="377" spans="2:13" ht="15.6" thickTop="1" thickBot="1" x14ac:dyDescent="0.35">
      <c r="B377" s="8">
        <v>375</v>
      </c>
      <c r="C377" s="9" t="s">
        <v>10</v>
      </c>
      <c r="D377" s="19">
        <v>45716</v>
      </c>
      <c r="E377" s="9" t="s">
        <v>19</v>
      </c>
      <c r="F377" s="9" t="s">
        <v>23</v>
      </c>
      <c r="G377" s="9" t="s">
        <v>31</v>
      </c>
      <c r="H377" s="9">
        <v>173</v>
      </c>
      <c r="I377" s="5">
        <v>135</v>
      </c>
      <c r="J377" s="5">
        <f t="shared" si="5"/>
        <v>23355</v>
      </c>
      <c r="K377" s="9">
        <v>18</v>
      </c>
      <c r="L377" s="9" t="s">
        <v>33</v>
      </c>
      <c r="M377" s="9">
        <v>5</v>
      </c>
    </row>
    <row r="378" spans="2:13" ht="15.6" thickTop="1" thickBot="1" x14ac:dyDescent="0.35">
      <c r="B378" s="6">
        <v>376</v>
      </c>
      <c r="C378" s="7" t="s">
        <v>10</v>
      </c>
      <c r="D378" s="18">
        <v>45717</v>
      </c>
      <c r="E378" s="7" t="s">
        <v>15</v>
      </c>
      <c r="F378" s="7" t="s">
        <v>25</v>
      </c>
      <c r="G378" s="7" t="s">
        <v>31</v>
      </c>
      <c r="H378" s="7">
        <v>65</v>
      </c>
      <c r="I378" s="5">
        <v>180</v>
      </c>
      <c r="J378" s="5">
        <f t="shared" si="5"/>
        <v>11700</v>
      </c>
      <c r="K378" s="7">
        <v>10</v>
      </c>
      <c r="L378" s="7" t="s">
        <v>33</v>
      </c>
      <c r="M378" s="7">
        <v>4</v>
      </c>
    </row>
    <row r="379" spans="2:13" ht="15.6" thickTop="1" thickBot="1" x14ac:dyDescent="0.35">
      <c r="B379" s="8">
        <v>377</v>
      </c>
      <c r="C379" s="9" t="s">
        <v>11</v>
      </c>
      <c r="D379" s="19">
        <v>45718</v>
      </c>
      <c r="E379" s="9" t="s">
        <v>20</v>
      </c>
      <c r="F379" s="9" t="s">
        <v>20</v>
      </c>
      <c r="G379" s="9" t="s">
        <v>32</v>
      </c>
      <c r="H379" s="9">
        <v>88</v>
      </c>
      <c r="I379" s="5">
        <v>135</v>
      </c>
      <c r="J379" s="5">
        <f t="shared" si="5"/>
        <v>11880</v>
      </c>
      <c r="K379" s="9">
        <v>13</v>
      </c>
      <c r="L379" s="9" t="s">
        <v>35</v>
      </c>
      <c r="M379" s="9">
        <v>5</v>
      </c>
    </row>
    <row r="380" spans="2:13" ht="15.6" thickTop="1" thickBot="1" x14ac:dyDescent="0.35">
      <c r="B380" s="6">
        <v>378</v>
      </c>
      <c r="C380" s="7" t="s">
        <v>11</v>
      </c>
      <c r="D380" s="18">
        <v>45719</v>
      </c>
      <c r="E380" s="7" t="s">
        <v>19</v>
      </c>
      <c r="F380" s="7" t="s">
        <v>23</v>
      </c>
      <c r="G380" s="7" t="s">
        <v>30</v>
      </c>
      <c r="H380" s="7">
        <v>222</v>
      </c>
      <c r="I380" s="5">
        <v>180</v>
      </c>
      <c r="J380" s="5">
        <f t="shared" si="5"/>
        <v>39960</v>
      </c>
      <c r="K380" s="7">
        <v>17</v>
      </c>
      <c r="L380" s="7" t="s">
        <v>35</v>
      </c>
      <c r="M380" s="7"/>
    </row>
    <row r="381" spans="2:13" ht="15.6" thickTop="1" thickBot="1" x14ac:dyDescent="0.35">
      <c r="B381" s="8">
        <v>379</v>
      </c>
      <c r="C381" s="9" t="s">
        <v>10</v>
      </c>
      <c r="D381" s="19">
        <v>45720</v>
      </c>
      <c r="E381" s="9" t="s">
        <v>13</v>
      </c>
      <c r="F381" s="9" t="s">
        <v>24</v>
      </c>
      <c r="G381" s="9" t="s">
        <v>32</v>
      </c>
      <c r="H381" s="9">
        <v>145</v>
      </c>
      <c r="I381" s="5">
        <v>225</v>
      </c>
      <c r="J381" s="5">
        <f t="shared" si="5"/>
        <v>32625</v>
      </c>
      <c r="K381" s="9">
        <v>15</v>
      </c>
      <c r="L381" s="9" t="s">
        <v>34</v>
      </c>
      <c r="M381" s="9">
        <v>5</v>
      </c>
    </row>
    <row r="382" spans="2:13" ht="15.6" thickTop="1" thickBot="1" x14ac:dyDescent="0.35">
      <c r="B382" s="6">
        <v>380</v>
      </c>
      <c r="C382" s="7" t="s">
        <v>11</v>
      </c>
      <c r="D382" s="18">
        <v>45721</v>
      </c>
      <c r="E382" s="7" t="s">
        <v>14</v>
      </c>
      <c r="F382" s="7" t="s">
        <v>25</v>
      </c>
      <c r="G382" s="7" t="s">
        <v>32</v>
      </c>
      <c r="H382" s="7">
        <v>51</v>
      </c>
      <c r="I382" s="5">
        <v>45</v>
      </c>
      <c r="J382" s="5">
        <f t="shared" si="5"/>
        <v>2295</v>
      </c>
      <c r="K382" s="7">
        <v>7</v>
      </c>
      <c r="L382" s="7" t="s">
        <v>35</v>
      </c>
      <c r="M382" s="7">
        <v>5</v>
      </c>
    </row>
    <row r="383" spans="2:13" ht="15.6" thickTop="1" thickBot="1" x14ac:dyDescent="0.35">
      <c r="B383" s="8">
        <v>381</v>
      </c>
      <c r="C383" s="9" t="s">
        <v>11</v>
      </c>
      <c r="D383" s="19">
        <v>45722</v>
      </c>
      <c r="E383" s="9" t="s">
        <v>18</v>
      </c>
      <c r="F383" s="9" t="s">
        <v>27</v>
      </c>
      <c r="G383" s="9" t="s">
        <v>28</v>
      </c>
      <c r="H383" s="9">
        <v>188</v>
      </c>
      <c r="I383" s="5">
        <v>180</v>
      </c>
      <c r="J383" s="5">
        <f t="shared" si="5"/>
        <v>33840</v>
      </c>
      <c r="K383" s="9">
        <v>12</v>
      </c>
      <c r="L383" s="9" t="s">
        <v>35</v>
      </c>
      <c r="M383" s="9">
        <v>4</v>
      </c>
    </row>
    <row r="384" spans="2:13" ht="15.6" thickTop="1" thickBot="1" x14ac:dyDescent="0.35">
      <c r="B384" s="6">
        <v>382</v>
      </c>
      <c r="C384" s="7" t="s">
        <v>11</v>
      </c>
      <c r="D384" s="18">
        <v>45686</v>
      </c>
      <c r="E384" s="7" t="s">
        <v>18</v>
      </c>
      <c r="F384" s="7" t="s">
        <v>27</v>
      </c>
      <c r="G384" s="7" t="s">
        <v>31</v>
      </c>
      <c r="H384" s="7">
        <v>69</v>
      </c>
      <c r="I384" s="5">
        <v>90</v>
      </c>
      <c r="J384" s="5">
        <f t="shared" si="5"/>
        <v>6210</v>
      </c>
      <c r="K384" s="7">
        <v>18</v>
      </c>
      <c r="L384" s="7" t="s">
        <v>35</v>
      </c>
      <c r="M384" s="7">
        <v>4</v>
      </c>
    </row>
    <row r="385" spans="2:13" ht="15.6" thickTop="1" thickBot="1" x14ac:dyDescent="0.35">
      <c r="B385" s="8">
        <v>383</v>
      </c>
      <c r="C385" s="9" t="s">
        <v>11</v>
      </c>
      <c r="D385" s="19">
        <v>45687</v>
      </c>
      <c r="E385" s="9" t="s">
        <v>22</v>
      </c>
      <c r="F385" s="9" t="s">
        <v>25</v>
      </c>
      <c r="G385" s="9" t="s">
        <v>30</v>
      </c>
      <c r="H385" s="9">
        <v>150</v>
      </c>
      <c r="I385" s="5">
        <v>225</v>
      </c>
      <c r="J385" s="5">
        <f t="shared" si="5"/>
        <v>33750</v>
      </c>
      <c r="K385" s="9">
        <v>13</v>
      </c>
      <c r="L385" s="9" t="s">
        <v>33</v>
      </c>
      <c r="M385" s="9">
        <v>5</v>
      </c>
    </row>
    <row r="386" spans="2:13" ht="15.6" thickTop="1" thickBot="1" x14ac:dyDescent="0.35">
      <c r="B386" s="6">
        <v>384</v>
      </c>
      <c r="C386" s="7" t="s">
        <v>11</v>
      </c>
      <c r="D386" s="18">
        <v>45688</v>
      </c>
      <c r="E386" s="7" t="s">
        <v>14</v>
      </c>
      <c r="F386" s="7" t="s">
        <v>25</v>
      </c>
      <c r="G386" s="7" t="s">
        <v>29</v>
      </c>
      <c r="H386" s="7">
        <v>160</v>
      </c>
      <c r="I386" s="5">
        <v>135</v>
      </c>
      <c r="J386" s="5">
        <f t="shared" si="5"/>
        <v>21600</v>
      </c>
      <c r="K386" s="7">
        <v>7</v>
      </c>
      <c r="L386" s="7" t="s">
        <v>35</v>
      </c>
      <c r="M386" s="7">
        <v>2</v>
      </c>
    </row>
    <row r="387" spans="2:13" ht="15.6" thickTop="1" thickBot="1" x14ac:dyDescent="0.35">
      <c r="B387" s="8">
        <v>385</v>
      </c>
      <c r="C387" s="9" t="s">
        <v>10</v>
      </c>
      <c r="D387" s="19">
        <v>45689</v>
      </c>
      <c r="E387" s="9" t="s">
        <v>18</v>
      </c>
      <c r="F387" s="9" t="s">
        <v>27</v>
      </c>
      <c r="G387" s="9" t="s">
        <v>28</v>
      </c>
      <c r="H387" s="9">
        <v>172</v>
      </c>
      <c r="I387" s="5">
        <v>135</v>
      </c>
      <c r="J387" s="5">
        <f t="shared" si="5"/>
        <v>23220</v>
      </c>
      <c r="K387" s="9">
        <v>23</v>
      </c>
      <c r="L387" s="9" t="s">
        <v>33</v>
      </c>
      <c r="M387" s="9">
        <v>1</v>
      </c>
    </row>
    <row r="388" spans="2:13" ht="15.6" thickTop="1" thickBot="1" x14ac:dyDescent="0.35">
      <c r="B388" s="6">
        <v>386</v>
      </c>
      <c r="C388" s="7" t="s">
        <v>11</v>
      </c>
      <c r="D388" s="18">
        <v>45690</v>
      </c>
      <c r="E388" s="7" t="s">
        <v>22</v>
      </c>
      <c r="F388" s="7" t="s">
        <v>25</v>
      </c>
      <c r="G388" s="7" t="s">
        <v>30</v>
      </c>
      <c r="H388" s="7">
        <v>45</v>
      </c>
      <c r="I388" s="5">
        <v>225</v>
      </c>
      <c r="J388" s="5">
        <f t="shared" ref="J388:J451" si="6">H388*I388</f>
        <v>10125</v>
      </c>
      <c r="K388" s="7">
        <v>19</v>
      </c>
      <c r="L388" s="7" t="s">
        <v>34</v>
      </c>
      <c r="M388" s="7">
        <v>3</v>
      </c>
    </row>
    <row r="389" spans="2:13" ht="15.6" thickTop="1" thickBot="1" x14ac:dyDescent="0.35">
      <c r="B389" s="8">
        <v>387</v>
      </c>
      <c r="C389" s="9" t="s">
        <v>11</v>
      </c>
      <c r="D389" s="19">
        <v>45691</v>
      </c>
      <c r="E389" s="9" t="s">
        <v>16</v>
      </c>
      <c r="F389" s="9" t="s">
        <v>26</v>
      </c>
      <c r="G389" s="9" t="s">
        <v>31</v>
      </c>
      <c r="H389" s="9">
        <v>167</v>
      </c>
      <c r="I389" s="5">
        <v>135</v>
      </c>
      <c r="J389" s="5">
        <f t="shared" si="6"/>
        <v>22545</v>
      </c>
      <c r="K389" s="9">
        <v>15</v>
      </c>
      <c r="L389" s="9" t="s">
        <v>35</v>
      </c>
      <c r="M389" s="9">
        <v>1</v>
      </c>
    </row>
    <row r="390" spans="2:13" ht="15.6" thickTop="1" thickBot="1" x14ac:dyDescent="0.35">
      <c r="B390" s="6">
        <v>388</v>
      </c>
      <c r="C390" s="7" t="s">
        <v>10</v>
      </c>
      <c r="D390" s="18">
        <v>45692</v>
      </c>
      <c r="E390" s="7" t="s">
        <v>18</v>
      </c>
      <c r="F390" s="7" t="s">
        <v>27</v>
      </c>
      <c r="G390" s="7" t="s">
        <v>31</v>
      </c>
      <c r="H390" s="7">
        <v>184</v>
      </c>
      <c r="I390" s="5">
        <v>180</v>
      </c>
      <c r="J390" s="5">
        <f t="shared" si="6"/>
        <v>33120</v>
      </c>
      <c r="K390" s="7">
        <v>15</v>
      </c>
      <c r="L390" s="7" t="s">
        <v>35</v>
      </c>
      <c r="M390" s="7">
        <v>3</v>
      </c>
    </row>
    <row r="391" spans="2:13" ht="15.6" thickTop="1" thickBot="1" x14ac:dyDescent="0.35">
      <c r="B391" s="8">
        <v>389</v>
      </c>
      <c r="C391" s="9" t="s">
        <v>11</v>
      </c>
      <c r="D391" s="19">
        <v>45693</v>
      </c>
      <c r="E391" s="9" t="s">
        <v>19</v>
      </c>
      <c r="F391" s="9" t="s">
        <v>23</v>
      </c>
      <c r="G391" s="9" t="s">
        <v>30</v>
      </c>
      <c r="H391" s="9">
        <v>120</v>
      </c>
      <c r="I391" s="5">
        <v>135</v>
      </c>
      <c r="J391" s="5">
        <f t="shared" si="6"/>
        <v>16200</v>
      </c>
      <c r="K391" s="9">
        <v>20</v>
      </c>
      <c r="L391" s="9" t="s">
        <v>33</v>
      </c>
      <c r="M391" s="9">
        <v>5</v>
      </c>
    </row>
    <row r="392" spans="2:13" ht="15.6" thickTop="1" thickBot="1" x14ac:dyDescent="0.35">
      <c r="B392" s="6">
        <v>390</v>
      </c>
      <c r="C392" s="7" t="s">
        <v>10</v>
      </c>
      <c r="D392" s="18">
        <v>45694</v>
      </c>
      <c r="E392" s="7" t="s">
        <v>21</v>
      </c>
      <c r="F392" s="7" t="s">
        <v>26</v>
      </c>
      <c r="G392" s="7" t="s">
        <v>29</v>
      </c>
      <c r="H392" s="7">
        <v>89</v>
      </c>
      <c r="I392" s="5">
        <v>45</v>
      </c>
      <c r="J392" s="5">
        <f t="shared" si="6"/>
        <v>4005</v>
      </c>
      <c r="K392" s="7">
        <v>17</v>
      </c>
      <c r="L392" s="7" t="s">
        <v>35</v>
      </c>
      <c r="M392" s="7">
        <v>4</v>
      </c>
    </row>
    <row r="393" spans="2:13" ht="15.6" thickTop="1" thickBot="1" x14ac:dyDescent="0.35">
      <c r="B393" s="8">
        <v>391</v>
      </c>
      <c r="C393" s="9" t="s">
        <v>11</v>
      </c>
      <c r="D393" s="19">
        <v>45695</v>
      </c>
      <c r="E393" s="9" t="s">
        <v>18</v>
      </c>
      <c r="F393" s="9" t="s">
        <v>27</v>
      </c>
      <c r="G393" s="9" t="s">
        <v>31</v>
      </c>
      <c r="H393" s="9">
        <v>116</v>
      </c>
      <c r="I393" s="5">
        <v>135</v>
      </c>
      <c r="J393" s="5">
        <f t="shared" si="6"/>
        <v>15660</v>
      </c>
      <c r="K393" s="9">
        <v>12</v>
      </c>
      <c r="L393" s="9" t="s">
        <v>33</v>
      </c>
      <c r="M393" s="9">
        <v>1</v>
      </c>
    </row>
    <row r="394" spans="2:13" ht="15.6" thickTop="1" thickBot="1" x14ac:dyDescent="0.35">
      <c r="B394" s="6">
        <v>392</v>
      </c>
      <c r="C394" s="7" t="s">
        <v>10</v>
      </c>
      <c r="D394" s="18">
        <v>45696</v>
      </c>
      <c r="E394" s="7" t="s">
        <v>21</v>
      </c>
      <c r="F394" s="7" t="s">
        <v>26</v>
      </c>
      <c r="G394" s="7" t="s">
        <v>28</v>
      </c>
      <c r="H394" s="7">
        <v>186</v>
      </c>
      <c r="I394" s="5">
        <v>90</v>
      </c>
      <c r="J394" s="5">
        <f t="shared" si="6"/>
        <v>16740</v>
      </c>
      <c r="K394" s="7">
        <v>19</v>
      </c>
      <c r="L394" s="7" t="s">
        <v>35</v>
      </c>
      <c r="M394" s="7">
        <v>3</v>
      </c>
    </row>
    <row r="395" spans="2:13" ht="15.6" thickTop="1" thickBot="1" x14ac:dyDescent="0.35">
      <c r="B395" s="8">
        <v>393</v>
      </c>
      <c r="C395" s="9" t="s">
        <v>11</v>
      </c>
      <c r="D395" s="19">
        <v>45697</v>
      </c>
      <c r="E395" s="9" t="s">
        <v>20</v>
      </c>
      <c r="F395" s="9" t="s">
        <v>20</v>
      </c>
      <c r="G395" s="9" t="s">
        <v>29</v>
      </c>
      <c r="H395" s="9">
        <v>205</v>
      </c>
      <c r="I395" s="5">
        <v>135</v>
      </c>
      <c r="J395" s="5">
        <f t="shared" si="6"/>
        <v>27675</v>
      </c>
      <c r="K395" s="9">
        <v>18</v>
      </c>
      <c r="L395" s="9" t="s">
        <v>33</v>
      </c>
      <c r="M395" s="9">
        <v>1</v>
      </c>
    </row>
    <row r="396" spans="2:13" ht="15.6" thickTop="1" thickBot="1" x14ac:dyDescent="0.35">
      <c r="B396" s="6">
        <v>394</v>
      </c>
      <c r="C396" s="7" t="s">
        <v>10</v>
      </c>
      <c r="D396" s="18">
        <v>45698</v>
      </c>
      <c r="E396" s="7" t="s">
        <v>16</v>
      </c>
      <c r="F396" s="7" t="s">
        <v>26</v>
      </c>
      <c r="G396" s="7" t="s">
        <v>28</v>
      </c>
      <c r="H396" s="7">
        <v>104</v>
      </c>
      <c r="I396" s="5">
        <v>180</v>
      </c>
      <c r="J396" s="5">
        <f t="shared" si="6"/>
        <v>18720</v>
      </c>
      <c r="K396" s="7">
        <v>18</v>
      </c>
      <c r="L396" s="7" t="s">
        <v>35</v>
      </c>
      <c r="M396" s="7"/>
    </row>
    <row r="397" spans="2:13" ht="15.6" thickTop="1" thickBot="1" x14ac:dyDescent="0.35">
      <c r="B397" s="8">
        <v>395</v>
      </c>
      <c r="C397" s="9" t="s">
        <v>10</v>
      </c>
      <c r="D397" s="19">
        <v>45699</v>
      </c>
      <c r="E397" s="9" t="s">
        <v>15</v>
      </c>
      <c r="F397" s="9" t="s">
        <v>25</v>
      </c>
      <c r="G397" s="9" t="s">
        <v>28</v>
      </c>
      <c r="H397" s="9">
        <v>119</v>
      </c>
      <c r="I397" s="5">
        <v>225</v>
      </c>
      <c r="J397" s="5">
        <f t="shared" si="6"/>
        <v>26775</v>
      </c>
      <c r="K397" s="9">
        <v>18</v>
      </c>
      <c r="L397" s="9" t="s">
        <v>34</v>
      </c>
      <c r="M397" s="9">
        <v>5</v>
      </c>
    </row>
    <row r="398" spans="2:13" ht="15.6" thickTop="1" thickBot="1" x14ac:dyDescent="0.35">
      <c r="B398" s="6">
        <v>396</v>
      </c>
      <c r="C398" s="7" t="s">
        <v>11</v>
      </c>
      <c r="D398" s="18">
        <v>45700</v>
      </c>
      <c r="E398" s="7" t="s">
        <v>19</v>
      </c>
      <c r="F398" s="7" t="s">
        <v>23</v>
      </c>
      <c r="G398" s="7" t="s">
        <v>31</v>
      </c>
      <c r="H398" s="7">
        <v>202</v>
      </c>
      <c r="I398" s="5">
        <v>180</v>
      </c>
      <c r="J398" s="5">
        <f t="shared" si="6"/>
        <v>36360</v>
      </c>
      <c r="K398" s="7">
        <v>14</v>
      </c>
      <c r="L398" s="7" t="s">
        <v>34</v>
      </c>
      <c r="M398" s="7">
        <v>3</v>
      </c>
    </row>
    <row r="399" spans="2:13" ht="15.6" thickTop="1" thickBot="1" x14ac:dyDescent="0.35">
      <c r="B399" s="8">
        <v>397</v>
      </c>
      <c r="C399" s="9" t="s">
        <v>10</v>
      </c>
      <c r="D399" s="19">
        <v>45701</v>
      </c>
      <c r="E399" s="9" t="s">
        <v>16</v>
      </c>
      <c r="F399" s="9" t="s">
        <v>26</v>
      </c>
      <c r="G399" s="9" t="s">
        <v>32</v>
      </c>
      <c r="H399" s="9">
        <v>109</v>
      </c>
      <c r="I399" s="5">
        <v>135</v>
      </c>
      <c r="J399" s="5">
        <f t="shared" si="6"/>
        <v>14715</v>
      </c>
      <c r="K399" s="9">
        <v>12</v>
      </c>
      <c r="L399" s="9" t="s">
        <v>33</v>
      </c>
      <c r="M399" s="9">
        <v>5</v>
      </c>
    </row>
    <row r="400" spans="2:13" ht="15.6" thickTop="1" thickBot="1" x14ac:dyDescent="0.35">
      <c r="B400" s="6">
        <v>398</v>
      </c>
      <c r="C400" s="7" t="s">
        <v>10</v>
      </c>
      <c r="D400" s="18">
        <v>45636</v>
      </c>
      <c r="E400" s="7" t="s">
        <v>17</v>
      </c>
      <c r="F400" s="7" t="s">
        <v>24</v>
      </c>
      <c r="G400" s="7" t="s">
        <v>28</v>
      </c>
      <c r="H400" s="7">
        <v>212</v>
      </c>
      <c r="I400" s="5">
        <v>180</v>
      </c>
      <c r="J400" s="5">
        <f t="shared" si="6"/>
        <v>38160</v>
      </c>
      <c r="K400" s="7">
        <v>20</v>
      </c>
      <c r="L400" s="7" t="s">
        <v>33</v>
      </c>
      <c r="M400" s="7">
        <v>1</v>
      </c>
    </row>
    <row r="401" spans="2:13" ht="15.6" thickTop="1" thickBot="1" x14ac:dyDescent="0.35">
      <c r="B401" s="8">
        <v>399</v>
      </c>
      <c r="C401" s="9" t="s">
        <v>10</v>
      </c>
      <c r="D401" s="19">
        <v>45637</v>
      </c>
      <c r="E401" s="9" t="s">
        <v>13</v>
      </c>
      <c r="F401" s="9" t="s">
        <v>24</v>
      </c>
      <c r="G401" s="9" t="s">
        <v>30</v>
      </c>
      <c r="H401" s="9">
        <v>61</v>
      </c>
      <c r="I401" s="5">
        <v>90</v>
      </c>
      <c r="J401" s="5">
        <f t="shared" si="6"/>
        <v>5490</v>
      </c>
      <c r="K401" s="9">
        <v>21</v>
      </c>
      <c r="L401" s="9" t="s">
        <v>33</v>
      </c>
      <c r="M401" s="9">
        <v>4</v>
      </c>
    </row>
    <row r="402" spans="2:13" ht="15.6" thickTop="1" thickBot="1" x14ac:dyDescent="0.35">
      <c r="B402" s="6">
        <v>400</v>
      </c>
      <c r="C402" s="7" t="s">
        <v>10</v>
      </c>
      <c r="D402" s="18">
        <v>45638</v>
      </c>
      <c r="E402" s="7" t="s">
        <v>21</v>
      </c>
      <c r="F402" s="7" t="s">
        <v>26</v>
      </c>
      <c r="G402" s="7" t="s">
        <v>31</v>
      </c>
      <c r="H402" s="7">
        <v>101</v>
      </c>
      <c r="I402" s="5">
        <v>90</v>
      </c>
      <c r="J402" s="5">
        <f t="shared" si="6"/>
        <v>9090</v>
      </c>
      <c r="K402" s="7">
        <v>20</v>
      </c>
      <c r="L402" s="7" t="s">
        <v>35</v>
      </c>
      <c r="M402" s="7"/>
    </row>
    <row r="403" spans="2:13" ht="15.6" thickTop="1" thickBot="1" x14ac:dyDescent="0.35">
      <c r="B403" s="8">
        <v>401</v>
      </c>
      <c r="C403" s="9" t="s">
        <v>11</v>
      </c>
      <c r="D403" s="19">
        <v>45639</v>
      </c>
      <c r="E403" s="9" t="s">
        <v>15</v>
      </c>
      <c r="F403" s="9" t="s">
        <v>25</v>
      </c>
      <c r="G403" s="9" t="s">
        <v>31</v>
      </c>
      <c r="H403" s="9">
        <v>185</v>
      </c>
      <c r="I403" s="5">
        <v>135</v>
      </c>
      <c r="J403" s="5">
        <f t="shared" si="6"/>
        <v>24975</v>
      </c>
      <c r="K403" s="9">
        <v>17</v>
      </c>
      <c r="L403" s="9" t="s">
        <v>33</v>
      </c>
      <c r="M403" s="9"/>
    </row>
    <row r="404" spans="2:13" ht="15.6" thickTop="1" thickBot="1" x14ac:dyDescent="0.35">
      <c r="B404" s="6">
        <v>402</v>
      </c>
      <c r="C404" s="7" t="s">
        <v>10</v>
      </c>
      <c r="D404" s="18">
        <v>45640</v>
      </c>
      <c r="E404" s="7" t="s">
        <v>15</v>
      </c>
      <c r="F404" s="7" t="s">
        <v>25</v>
      </c>
      <c r="G404" s="7" t="s">
        <v>32</v>
      </c>
      <c r="H404" s="7">
        <v>91</v>
      </c>
      <c r="I404" s="5">
        <v>90</v>
      </c>
      <c r="J404" s="5">
        <f t="shared" si="6"/>
        <v>8190</v>
      </c>
      <c r="K404" s="7">
        <v>21</v>
      </c>
      <c r="L404" s="7" t="s">
        <v>35</v>
      </c>
      <c r="M404" s="7">
        <v>4</v>
      </c>
    </row>
    <row r="405" spans="2:13" ht="15.6" thickTop="1" thickBot="1" x14ac:dyDescent="0.35">
      <c r="B405" s="8">
        <v>403</v>
      </c>
      <c r="C405" s="9" t="s">
        <v>10</v>
      </c>
      <c r="D405" s="19">
        <v>45641</v>
      </c>
      <c r="E405" s="9" t="s">
        <v>18</v>
      </c>
      <c r="F405" s="9" t="s">
        <v>27</v>
      </c>
      <c r="G405" s="9" t="s">
        <v>28</v>
      </c>
      <c r="H405" s="9">
        <v>58</v>
      </c>
      <c r="I405" s="5">
        <v>225</v>
      </c>
      <c r="J405" s="5">
        <f t="shared" si="6"/>
        <v>13050</v>
      </c>
      <c r="K405" s="9">
        <v>16</v>
      </c>
      <c r="L405" s="9" t="s">
        <v>34</v>
      </c>
      <c r="M405" s="9">
        <v>2</v>
      </c>
    </row>
    <row r="406" spans="2:13" ht="15.6" thickTop="1" thickBot="1" x14ac:dyDescent="0.35">
      <c r="B406" s="6">
        <v>404</v>
      </c>
      <c r="C406" s="7" t="s">
        <v>10</v>
      </c>
      <c r="D406" s="18">
        <v>45642</v>
      </c>
      <c r="E406" s="7" t="s">
        <v>22</v>
      </c>
      <c r="F406" s="7" t="s">
        <v>25</v>
      </c>
      <c r="G406" s="7" t="s">
        <v>29</v>
      </c>
      <c r="H406" s="7">
        <v>127</v>
      </c>
      <c r="I406" s="5">
        <v>45</v>
      </c>
      <c r="J406" s="5">
        <f t="shared" si="6"/>
        <v>5715</v>
      </c>
      <c r="K406" s="7">
        <v>23</v>
      </c>
      <c r="L406" s="7" t="s">
        <v>33</v>
      </c>
      <c r="M406" s="7">
        <v>1</v>
      </c>
    </row>
    <row r="407" spans="2:13" ht="15.6" thickTop="1" thickBot="1" x14ac:dyDescent="0.35">
      <c r="B407" s="8">
        <v>405</v>
      </c>
      <c r="C407" s="9" t="s">
        <v>10</v>
      </c>
      <c r="D407" s="19">
        <v>45643</v>
      </c>
      <c r="E407" s="9" t="s">
        <v>13</v>
      </c>
      <c r="F407" s="9" t="s">
        <v>24</v>
      </c>
      <c r="G407" s="9" t="s">
        <v>30</v>
      </c>
      <c r="H407" s="9">
        <v>116</v>
      </c>
      <c r="I407" s="5">
        <v>45</v>
      </c>
      <c r="J407" s="5">
        <f t="shared" si="6"/>
        <v>5220</v>
      </c>
      <c r="K407" s="9">
        <v>16</v>
      </c>
      <c r="L407" s="9" t="s">
        <v>35</v>
      </c>
      <c r="M407" s="9"/>
    </row>
    <row r="408" spans="2:13" ht="15.6" thickTop="1" thickBot="1" x14ac:dyDescent="0.35">
      <c r="B408" s="6">
        <v>406</v>
      </c>
      <c r="C408" s="7" t="s">
        <v>11</v>
      </c>
      <c r="D408" s="18">
        <v>45644</v>
      </c>
      <c r="E408" s="7" t="s">
        <v>13</v>
      </c>
      <c r="F408" s="7" t="s">
        <v>24</v>
      </c>
      <c r="G408" s="7" t="s">
        <v>28</v>
      </c>
      <c r="H408" s="7">
        <v>121</v>
      </c>
      <c r="I408" s="5">
        <v>90</v>
      </c>
      <c r="J408" s="5">
        <f t="shared" si="6"/>
        <v>10890</v>
      </c>
      <c r="K408" s="7">
        <v>17</v>
      </c>
      <c r="L408" s="7" t="s">
        <v>34</v>
      </c>
      <c r="M408" s="7">
        <v>2</v>
      </c>
    </row>
    <row r="409" spans="2:13" ht="15.6" thickTop="1" thickBot="1" x14ac:dyDescent="0.35">
      <c r="B409" s="8">
        <v>407</v>
      </c>
      <c r="C409" s="9" t="s">
        <v>10</v>
      </c>
      <c r="D409" s="19">
        <v>45645</v>
      </c>
      <c r="E409" s="9" t="s">
        <v>18</v>
      </c>
      <c r="F409" s="9" t="s">
        <v>27</v>
      </c>
      <c r="G409" s="9" t="s">
        <v>29</v>
      </c>
      <c r="H409" s="9">
        <v>92</v>
      </c>
      <c r="I409" s="5">
        <v>45</v>
      </c>
      <c r="J409" s="5">
        <f t="shared" si="6"/>
        <v>4140</v>
      </c>
      <c r="K409" s="9">
        <v>21</v>
      </c>
      <c r="L409" s="9" t="s">
        <v>35</v>
      </c>
      <c r="M409" s="9">
        <v>4</v>
      </c>
    </row>
    <row r="410" spans="2:13" ht="15.6" thickTop="1" thickBot="1" x14ac:dyDescent="0.35">
      <c r="B410" s="6">
        <v>408</v>
      </c>
      <c r="C410" s="7" t="s">
        <v>10</v>
      </c>
      <c r="D410" s="18">
        <v>45646</v>
      </c>
      <c r="E410" s="7" t="s">
        <v>17</v>
      </c>
      <c r="F410" s="7" t="s">
        <v>24</v>
      </c>
      <c r="G410" s="7" t="s">
        <v>30</v>
      </c>
      <c r="H410" s="7">
        <v>147</v>
      </c>
      <c r="I410" s="5">
        <v>90</v>
      </c>
      <c r="J410" s="5">
        <f t="shared" si="6"/>
        <v>13230</v>
      </c>
      <c r="K410" s="7">
        <v>12</v>
      </c>
      <c r="L410" s="7" t="s">
        <v>35</v>
      </c>
      <c r="M410" s="7"/>
    </row>
    <row r="411" spans="2:13" ht="15.6" thickTop="1" thickBot="1" x14ac:dyDescent="0.35">
      <c r="B411" s="8">
        <v>409</v>
      </c>
      <c r="C411" s="9" t="s">
        <v>11</v>
      </c>
      <c r="D411" s="19">
        <v>45647</v>
      </c>
      <c r="E411" s="9" t="s">
        <v>13</v>
      </c>
      <c r="F411" s="9" t="s">
        <v>24</v>
      </c>
      <c r="G411" s="9" t="s">
        <v>30</v>
      </c>
      <c r="H411" s="9">
        <v>201</v>
      </c>
      <c r="I411" s="5">
        <v>225</v>
      </c>
      <c r="J411" s="5">
        <f t="shared" si="6"/>
        <v>45225</v>
      </c>
      <c r="K411" s="9">
        <v>7</v>
      </c>
      <c r="L411" s="9" t="s">
        <v>34</v>
      </c>
      <c r="M411" s="9">
        <v>4</v>
      </c>
    </row>
    <row r="412" spans="2:13" ht="15.6" thickTop="1" thickBot="1" x14ac:dyDescent="0.35">
      <c r="B412" s="6">
        <v>410</v>
      </c>
      <c r="C412" s="7" t="s">
        <v>10</v>
      </c>
      <c r="D412" s="18">
        <v>45648</v>
      </c>
      <c r="E412" s="7" t="s">
        <v>19</v>
      </c>
      <c r="F412" s="7" t="s">
        <v>23</v>
      </c>
      <c r="G412" s="7" t="s">
        <v>32</v>
      </c>
      <c r="H412" s="7">
        <v>197</v>
      </c>
      <c r="I412" s="5">
        <v>90</v>
      </c>
      <c r="J412" s="5">
        <f t="shared" si="6"/>
        <v>17730</v>
      </c>
      <c r="K412" s="7">
        <v>23</v>
      </c>
      <c r="L412" s="7" t="s">
        <v>33</v>
      </c>
      <c r="M412" s="7">
        <v>5</v>
      </c>
    </row>
    <row r="413" spans="2:13" ht="15.6" thickTop="1" thickBot="1" x14ac:dyDescent="0.35">
      <c r="B413" s="8">
        <v>411</v>
      </c>
      <c r="C413" s="9" t="s">
        <v>10</v>
      </c>
      <c r="D413" s="19">
        <v>45649</v>
      </c>
      <c r="E413" s="9" t="s">
        <v>18</v>
      </c>
      <c r="F413" s="9" t="s">
        <v>27</v>
      </c>
      <c r="G413" s="9" t="s">
        <v>31</v>
      </c>
      <c r="H413" s="9">
        <v>63</v>
      </c>
      <c r="I413" s="5">
        <v>135</v>
      </c>
      <c r="J413" s="5">
        <f t="shared" si="6"/>
        <v>8505</v>
      </c>
      <c r="K413" s="9">
        <v>24</v>
      </c>
      <c r="L413" s="9" t="s">
        <v>34</v>
      </c>
      <c r="M413" s="9">
        <v>3</v>
      </c>
    </row>
    <row r="414" spans="2:13" ht="15.6" thickTop="1" thickBot="1" x14ac:dyDescent="0.35">
      <c r="B414" s="6">
        <v>412</v>
      </c>
      <c r="C414" s="7" t="s">
        <v>11</v>
      </c>
      <c r="D414" s="18">
        <v>45650</v>
      </c>
      <c r="E414" s="7" t="s">
        <v>18</v>
      </c>
      <c r="F414" s="7" t="s">
        <v>27</v>
      </c>
      <c r="G414" s="7" t="s">
        <v>28</v>
      </c>
      <c r="H414" s="7">
        <v>242</v>
      </c>
      <c r="I414" s="5">
        <v>90</v>
      </c>
      <c r="J414" s="5">
        <f t="shared" si="6"/>
        <v>21780</v>
      </c>
      <c r="K414" s="7">
        <v>10</v>
      </c>
      <c r="L414" s="7" t="s">
        <v>34</v>
      </c>
      <c r="M414" s="7">
        <v>2</v>
      </c>
    </row>
    <row r="415" spans="2:13" ht="15.6" thickTop="1" thickBot="1" x14ac:dyDescent="0.35">
      <c r="B415" s="8">
        <v>413</v>
      </c>
      <c r="C415" s="9" t="s">
        <v>10</v>
      </c>
      <c r="D415" s="19">
        <v>45651</v>
      </c>
      <c r="E415" s="9" t="s">
        <v>20</v>
      </c>
      <c r="F415" s="9" t="s">
        <v>20</v>
      </c>
      <c r="G415" s="9" t="s">
        <v>32</v>
      </c>
      <c r="H415" s="9">
        <v>198</v>
      </c>
      <c r="I415" s="5">
        <v>135</v>
      </c>
      <c r="J415" s="5">
        <f t="shared" si="6"/>
        <v>26730</v>
      </c>
      <c r="K415" s="9">
        <v>16</v>
      </c>
      <c r="L415" s="9" t="s">
        <v>35</v>
      </c>
      <c r="M415" s="9"/>
    </row>
    <row r="416" spans="2:13" ht="15.6" thickTop="1" thickBot="1" x14ac:dyDescent="0.35">
      <c r="B416" s="6">
        <v>414</v>
      </c>
      <c r="C416" s="7" t="s">
        <v>10</v>
      </c>
      <c r="D416" s="18">
        <v>45652</v>
      </c>
      <c r="E416" s="7" t="s">
        <v>13</v>
      </c>
      <c r="F416" s="7" t="s">
        <v>24</v>
      </c>
      <c r="G416" s="7" t="s">
        <v>31</v>
      </c>
      <c r="H416" s="7">
        <v>156</v>
      </c>
      <c r="I416" s="5">
        <v>180</v>
      </c>
      <c r="J416" s="5">
        <f t="shared" si="6"/>
        <v>28080</v>
      </c>
      <c r="K416" s="7">
        <v>18</v>
      </c>
      <c r="L416" s="7" t="s">
        <v>34</v>
      </c>
      <c r="M416" s="7">
        <v>4</v>
      </c>
    </row>
    <row r="417" spans="2:13" ht="15.6" thickTop="1" thickBot="1" x14ac:dyDescent="0.35">
      <c r="B417" s="8">
        <v>415</v>
      </c>
      <c r="C417" s="9" t="s">
        <v>10</v>
      </c>
      <c r="D417" s="19">
        <v>45653</v>
      </c>
      <c r="E417" s="9" t="s">
        <v>20</v>
      </c>
      <c r="F417" s="9" t="s">
        <v>20</v>
      </c>
      <c r="G417" s="9" t="s">
        <v>28</v>
      </c>
      <c r="H417" s="9">
        <v>207</v>
      </c>
      <c r="I417" s="5">
        <v>225</v>
      </c>
      <c r="J417" s="5">
        <f t="shared" si="6"/>
        <v>46575</v>
      </c>
      <c r="K417" s="9">
        <v>15</v>
      </c>
      <c r="L417" s="9" t="s">
        <v>33</v>
      </c>
      <c r="M417" s="9">
        <v>2</v>
      </c>
    </row>
    <row r="418" spans="2:13" ht="15.6" thickTop="1" thickBot="1" x14ac:dyDescent="0.35">
      <c r="B418" s="6">
        <v>416</v>
      </c>
      <c r="C418" s="7" t="s">
        <v>11</v>
      </c>
      <c r="D418" s="18">
        <v>45654</v>
      </c>
      <c r="E418" s="7" t="s">
        <v>12</v>
      </c>
      <c r="F418" s="7" t="s">
        <v>23</v>
      </c>
      <c r="G418" s="7" t="s">
        <v>28</v>
      </c>
      <c r="H418" s="7">
        <v>105</v>
      </c>
      <c r="I418" s="5">
        <v>135</v>
      </c>
      <c r="J418" s="5">
        <f t="shared" si="6"/>
        <v>14175</v>
      </c>
      <c r="K418" s="7">
        <v>17</v>
      </c>
      <c r="L418" s="7" t="s">
        <v>35</v>
      </c>
      <c r="M418" s="7">
        <v>1</v>
      </c>
    </row>
    <row r="419" spans="2:13" ht="15.6" thickTop="1" thickBot="1" x14ac:dyDescent="0.35">
      <c r="B419" s="8">
        <v>417</v>
      </c>
      <c r="C419" s="9" t="s">
        <v>11</v>
      </c>
      <c r="D419" s="19">
        <v>45655</v>
      </c>
      <c r="E419" s="9" t="s">
        <v>19</v>
      </c>
      <c r="F419" s="9" t="s">
        <v>23</v>
      </c>
      <c r="G419" s="9" t="s">
        <v>29</v>
      </c>
      <c r="H419" s="9">
        <v>49</v>
      </c>
      <c r="I419" s="5">
        <v>45</v>
      </c>
      <c r="J419" s="5">
        <f t="shared" si="6"/>
        <v>2205</v>
      </c>
      <c r="K419" s="9">
        <v>19</v>
      </c>
      <c r="L419" s="9" t="s">
        <v>35</v>
      </c>
      <c r="M419" s="9"/>
    </row>
    <row r="420" spans="2:13" ht="15.6" thickTop="1" thickBot="1" x14ac:dyDescent="0.35">
      <c r="B420" s="6">
        <v>418</v>
      </c>
      <c r="C420" s="7" t="s">
        <v>10</v>
      </c>
      <c r="D420" s="18">
        <v>45656</v>
      </c>
      <c r="E420" s="7" t="s">
        <v>16</v>
      </c>
      <c r="F420" s="7" t="s">
        <v>26</v>
      </c>
      <c r="G420" s="7" t="s">
        <v>30</v>
      </c>
      <c r="H420" s="7">
        <v>232</v>
      </c>
      <c r="I420" s="5">
        <v>225</v>
      </c>
      <c r="J420" s="5">
        <f t="shared" si="6"/>
        <v>52200</v>
      </c>
      <c r="K420" s="7">
        <v>15</v>
      </c>
      <c r="L420" s="7" t="s">
        <v>34</v>
      </c>
      <c r="M420" s="7">
        <v>3</v>
      </c>
    </row>
    <row r="421" spans="2:13" ht="15.6" thickTop="1" thickBot="1" x14ac:dyDescent="0.35">
      <c r="B421" s="8">
        <v>419</v>
      </c>
      <c r="C421" s="9" t="s">
        <v>10</v>
      </c>
      <c r="D421" s="19">
        <v>45515</v>
      </c>
      <c r="E421" s="9" t="s">
        <v>18</v>
      </c>
      <c r="F421" s="9" t="s">
        <v>27</v>
      </c>
      <c r="G421" s="9" t="s">
        <v>29</v>
      </c>
      <c r="H421" s="9">
        <v>37</v>
      </c>
      <c r="I421" s="5">
        <v>180</v>
      </c>
      <c r="J421" s="5">
        <f t="shared" si="6"/>
        <v>6660</v>
      </c>
      <c r="K421" s="9">
        <v>16</v>
      </c>
      <c r="L421" s="9" t="s">
        <v>33</v>
      </c>
      <c r="M421" s="9">
        <v>4</v>
      </c>
    </row>
    <row r="422" spans="2:13" ht="15.6" thickTop="1" thickBot="1" x14ac:dyDescent="0.35">
      <c r="B422" s="6">
        <v>420</v>
      </c>
      <c r="C422" s="7" t="s">
        <v>10</v>
      </c>
      <c r="D422" s="18">
        <v>45516</v>
      </c>
      <c r="E422" s="7" t="s">
        <v>21</v>
      </c>
      <c r="F422" s="7" t="s">
        <v>26</v>
      </c>
      <c r="G422" s="7" t="s">
        <v>30</v>
      </c>
      <c r="H422" s="7">
        <v>250</v>
      </c>
      <c r="I422" s="5">
        <v>180</v>
      </c>
      <c r="J422" s="5">
        <f t="shared" si="6"/>
        <v>45000</v>
      </c>
      <c r="K422" s="7">
        <v>21</v>
      </c>
      <c r="L422" s="7" t="s">
        <v>33</v>
      </c>
      <c r="M422" s="7"/>
    </row>
    <row r="423" spans="2:13" ht="15.6" thickTop="1" thickBot="1" x14ac:dyDescent="0.35">
      <c r="B423" s="8">
        <v>421</v>
      </c>
      <c r="C423" s="9" t="s">
        <v>11</v>
      </c>
      <c r="D423" s="19">
        <v>45517</v>
      </c>
      <c r="E423" s="9" t="s">
        <v>13</v>
      </c>
      <c r="F423" s="9" t="s">
        <v>24</v>
      </c>
      <c r="G423" s="9" t="s">
        <v>28</v>
      </c>
      <c r="H423" s="9">
        <v>192</v>
      </c>
      <c r="I423" s="5">
        <v>225</v>
      </c>
      <c r="J423" s="5">
        <f t="shared" si="6"/>
        <v>43200</v>
      </c>
      <c r="K423" s="9">
        <v>12</v>
      </c>
      <c r="L423" s="9" t="s">
        <v>34</v>
      </c>
      <c r="M423" s="9">
        <v>3</v>
      </c>
    </row>
    <row r="424" spans="2:13" ht="15.6" thickTop="1" thickBot="1" x14ac:dyDescent="0.35">
      <c r="B424" s="6">
        <v>422</v>
      </c>
      <c r="C424" s="7" t="s">
        <v>10</v>
      </c>
      <c r="D424" s="18">
        <v>45518</v>
      </c>
      <c r="E424" s="7" t="s">
        <v>20</v>
      </c>
      <c r="F424" s="7" t="s">
        <v>20</v>
      </c>
      <c r="G424" s="7" t="s">
        <v>29</v>
      </c>
      <c r="H424" s="7">
        <v>45</v>
      </c>
      <c r="I424" s="5">
        <v>90</v>
      </c>
      <c r="J424" s="5">
        <f t="shared" si="6"/>
        <v>4050</v>
      </c>
      <c r="K424" s="7">
        <v>18</v>
      </c>
      <c r="L424" s="7" t="s">
        <v>33</v>
      </c>
      <c r="M424" s="7"/>
    </row>
    <row r="425" spans="2:13" ht="15.6" thickTop="1" thickBot="1" x14ac:dyDescent="0.35">
      <c r="B425" s="8">
        <v>423</v>
      </c>
      <c r="C425" s="9" t="s">
        <v>11</v>
      </c>
      <c r="D425" s="19">
        <v>45519</v>
      </c>
      <c r="E425" s="9" t="s">
        <v>14</v>
      </c>
      <c r="F425" s="9" t="s">
        <v>25</v>
      </c>
      <c r="G425" s="9" t="s">
        <v>29</v>
      </c>
      <c r="H425" s="9">
        <v>172</v>
      </c>
      <c r="I425" s="5">
        <v>180</v>
      </c>
      <c r="J425" s="5">
        <f t="shared" si="6"/>
        <v>30960</v>
      </c>
      <c r="K425" s="9">
        <v>8</v>
      </c>
      <c r="L425" s="9" t="s">
        <v>33</v>
      </c>
      <c r="M425" s="9">
        <v>5</v>
      </c>
    </row>
    <row r="426" spans="2:13" ht="15.6" thickTop="1" thickBot="1" x14ac:dyDescent="0.35">
      <c r="B426" s="6">
        <v>424</v>
      </c>
      <c r="C426" s="7" t="s">
        <v>10</v>
      </c>
      <c r="D426" s="18">
        <v>45520</v>
      </c>
      <c r="E426" s="7" t="s">
        <v>20</v>
      </c>
      <c r="F426" s="7" t="s">
        <v>20</v>
      </c>
      <c r="G426" s="7" t="s">
        <v>31</v>
      </c>
      <c r="H426" s="7">
        <v>106</v>
      </c>
      <c r="I426" s="5">
        <v>45</v>
      </c>
      <c r="J426" s="5">
        <f t="shared" si="6"/>
        <v>4770</v>
      </c>
      <c r="K426" s="7">
        <v>22</v>
      </c>
      <c r="L426" s="7" t="s">
        <v>33</v>
      </c>
      <c r="M426" s="7"/>
    </row>
    <row r="427" spans="2:13" ht="15.6" thickTop="1" thickBot="1" x14ac:dyDescent="0.35">
      <c r="B427" s="8">
        <v>425</v>
      </c>
      <c r="C427" s="9" t="s">
        <v>10</v>
      </c>
      <c r="D427" s="19">
        <v>45521</v>
      </c>
      <c r="E427" s="9" t="s">
        <v>22</v>
      </c>
      <c r="F427" s="9" t="s">
        <v>25</v>
      </c>
      <c r="G427" s="9" t="s">
        <v>30</v>
      </c>
      <c r="H427" s="9">
        <v>109</v>
      </c>
      <c r="I427" s="5">
        <v>45</v>
      </c>
      <c r="J427" s="5">
        <f t="shared" si="6"/>
        <v>4905</v>
      </c>
      <c r="K427" s="9">
        <v>19</v>
      </c>
      <c r="L427" s="9" t="s">
        <v>33</v>
      </c>
      <c r="M427" s="9"/>
    </row>
    <row r="428" spans="2:13" ht="15.6" thickTop="1" thickBot="1" x14ac:dyDescent="0.35">
      <c r="B428" s="6">
        <v>426</v>
      </c>
      <c r="C428" s="7" t="s">
        <v>11</v>
      </c>
      <c r="D428" s="18">
        <v>45522</v>
      </c>
      <c r="E428" s="7" t="s">
        <v>15</v>
      </c>
      <c r="F428" s="7" t="s">
        <v>25</v>
      </c>
      <c r="G428" s="7" t="s">
        <v>30</v>
      </c>
      <c r="H428" s="7">
        <v>122</v>
      </c>
      <c r="I428" s="5">
        <v>90</v>
      </c>
      <c r="J428" s="5">
        <f t="shared" si="6"/>
        <v>10980</v>
      </c>
      <c r="K428" s="7">
        <v>18</v>
      </c>
      <c r="L428" s="7" t="s">
        <v>33</v>
      </c>
      <c r="M428" s="7">
        <v>1</v>
      </c>
    </row>
    <row r="429" spans="2:13" ht="15.6" thickTop="1" thickBot="1" x14ac:dyDescent="0.35">
      <c r="B429" s="8">
        <v>427</v>
      </c>
      <c r="C429" s="9" t="s">
        <v>11</v>
      </c>
      <c r="D429" s="19">
        <v>45523</v>
      </c>
      <c r="E429" s="9" t="s">
        <v>22</v>
      </c>
      <c r="F429" s="9" t="s">
        <v>25</v>
      </c>
      <c r="G429" s="9" t="s">
        <v>30</v>
      </c>
      <c r="H429" s="9">
        <v>169</v>
      </c>
      <c r="I429" s="5">
        <v>90</v>
      </c>
      <c r="J429" s="5">
        <f t="shared" si="6"/>
        <v>15210</v>
      </c>
      <c r="K429" s="9">
        <v>19</v>
      </c>
      <c r="L429" s="9" t="s">
        <v>33</v>
      </c>
      <c r="M429" s="9">
        <v>3</v>
      </c>
    </row>
    <row r="430" spans="2:13" ht="15.6" thickTop="1" thickBot="1" x14ac:dyDescent="0.35">
      <c r="B430" s="6">
        <v>428</v>
      </c>
      <c r="C430" s="7" t="s">
        <v>11</v>
      </c>
      <c r="D430" s="18">
        <v>45524</v>
      </c>
      <c r="E430" s="7" t="s">
        <v>13</v>
      </c>
      <c r="F430" s="7" t="s">
        <v>24</v>
      </c>
      <c r="G430" s="7" t="s">
        <v>28</v>
      </c>
      <c r="H430" s="7">
        <v>219</v>
      </c>
      <c r="I430" s="5">
        <v>90</v>
      </c>
      <c r="J430" s="5">
        <f t="shared" si="6"/>
        <v>19710</v>
      </c>
      <c r="K430" s="7">
        <v>7</v>
      </c>
      <c r="L430" s="7" t="s">
        <v>35</v>
      </c>
      <c r="M430" s="7"/>
    </row>
    <row r="431" spans="2:13" ht="15.6" thickTop="1" thickBot="1" x14ac:dyDescent="0.35">
      <c r="B431" s="8">
        <v>429</v>
      </c>
      <c r="C431" s="9" t="s">
        <v>11</v>
      </c>
      <c r="D431" s="19">
        <v>45525</v>
      </c>
      <c r="E431" s="9" t="s">
        <v>16</v>
      </c>
      <c r="F431" s="9" t="s">
        <v>26</v>
      </c>
      <c r="G431" s="9" t="s">
        <v>29</v>
      </c>
      <c r="H431" s="9">
        <v>147</v>
      </c>
      <c r="I431" s="5">
        <v>225</v>
      </c>
      <c r="J431" s="5">
        <f t="shared" si="6"/>
        <v>33075</v>
      </c>
      <c r="K431" s="9">
        <v>16</v>
      </c>
      <c r="L431" s="9" t="s">
        <v>35</v>
      </c>
      <c r="M431" s="9">
        <v>5</v>
      </c>
    </row>
    <row r="432" spans="2:13" ht="15.6" thickTop="1" thickBot="1" x14ac:dyDescent="0.35">
      <c r="B432" s="6">
        <v>430</v>
      </c>
      <c r="C432" s="7" t="s">
        <v>10</v>
      </c>
      <c r="D432" s="18">
        <v>45526</v>
      </c>
      <c r="E432" s="7" t="s">
        <v>21</v>
      </c>
      <c r="F432" s="7" t="s">
        <v>26</v>
      </c>
      <c r="G432" s="7" t="s">
        <v>32</v>
      </c>
      <c r="H432" s="7">
        <v>248</v>
      </c>
      <c r="I432" s="5">
        <v>180</v>
      </c>
      <c r="J432" s="5">
        <f t="shared" si="6"/>
        <v>44640</v>
      </c>
      <c r="K432" s="7">
        <v>23</v>
      </c>
      <c r="L432" s="7" t="s">
        <v>33</v>
      </c>
      <c r="M432" s="7">
        <v>5</v>
      </c>
    </row>
    <row r="433" spans="2:13" ht="15.6" thickTop="1" thickBot="1" x14ac:dyDescent="0.35">
      <c r="B433" s="8">
        <v>431</v>
      </c>
      <c r="C433" s="9" t="s">
        <v>11</v>
      </c>
      <c r="D433" s="19">
        <v>45527</v>
      </c>
      <c r="E433" s="9" t="s">
        <v>21</v>
      </c>
      <c r="F433" s="9" t="s">
        <v>26</v>
      </c>
      <c r="G433" s="9" t="s">
        <v>31</v>
      </c>
      <c r="H433" s="9">
        <v>98</v>
      </c>
      <c r="I433" s="5">
        <v>45</v>
      </c>
      <c r="J433" s="5">
        <f t="shared" si="6"/>
        <v>4410</v>
      </c>
      <c r="K433" s="9">
        <v>16</v>
      </c>
      <c r="L433" s="9" t="s">
        <v>34</v>
      </c>
      <c r="M433" s="9">
        <v>3</v>
      </c>
    </row>
    <row r="434" spans="2:13" ht="15.6" thickTop="1" thickBot="1" x14ac:dyDescent="0.35">
      <c r="B434" s="6">
        <v>432</v>
      </c>
      <c r="C434" s="7" t="s">
        <v>10</v>
      </c>
      <c r="D434" s="18">
        <v>45528</v>
      </c>
      <c r="E434" s="7" t="s">
        <v>14</v>
      </c>
      <c r="F434" s="7" t="s">
        <v>25</v>
      </c>
      <c r="G434" s="7" t="s">
        <v>28</v>
      </c>
      <c r="H434" s="7">
        <v>84</v>
      </c>
      <c r="I434" s="5">
        <v>135</v>
      </c>
      <c r="J434" s="5">
        <f t="shared" si="6"/>
        <v>11340</v>
      </c>
      <c r="K434" s="7">
        <v>18</v>
      </c>
      <c r="L434" s="7" t="s">
        <v>33</v>
      </c>
      <c r="M434" s="7">
        <v>5</v>
      </c>
    </row>
    <row r="435" spans="2:13" ht="15.6" thickTop="1" thickBot="1" x14ac:dyDescent="0.35">
      <c r="B435" s="8">
        <v>433</v>
      </c>
      <c r="C435" s="9" t="s">
        <v>11</v>
      </c>
      <c r="D435" s="19">
        <v>45529</v>
      </c>
      <c r="E435" s="9" t="s">
        <v>13</v>
      </c>
      <c r="F435" s="9" t="s">
        <v>24</v>
      </c>
      <c r="G435" s="9" t="s">
        <v>32</v>
      </c>
      <c r="H435" s="9">
        <v>65</v>
      </c>
      <c r="I435" s="5">
        <v>180</v>
      </c>
      <c r="J435" s="5">
        <f t="shared" si="6"/>
        <v>11700</v>
      </c>
      <c r="K435" s="9">
        <v>19</v>
      </c>
      <c r="L435" s="9" t="s">
        <v>33</v>
      </c>
      <c r="M435" s="9">
        <v>1</v>
      </c>
    </row>
    <row r="436" spans="2:13" ht="15.6" thickTop="1" thickBot="1" x14ac:dyDescent="0.35">
      <c r="B436" s="6">
        <v>434</v>
      </c>
      <c r="C436" s="7" t="s">
        <v>10</v>
      </c>
      <c r="D436" s="18">
        <v>45530</v>
      </c>
      <c r="E436" s="7" t="s">
        <v>19</v>
      </c>
      <c r="F436" s="7" t="s">
        <v>23</v>
      </c>
      <c r="G436" s="7" t="s">
        <v>30</v>
      </c>
      <c r="H436" s="7">
        <v>148</v>
      </c>
      <c r="I436" s="5">
        <v>135</v>
      </c>
      <c r="J436" s="5">
        <f t="shared" si="6"/>
        <v>19980</v>
      </c>
      <c r="K436" s="7">
        <v>18</v>
      </c>
      <c r="L436" s="7" t="s">
        <v>35</v>
      </c>
      <c r="M436" s="7"/>
    </row>
    <row r="437" spans="2:13" ht="15.6" thickTop="1" thickBot="1" x14ac:dyDescent="0.35">
      <c r="B437" s="8">
        <v>435</v>
      </c>
      <c r="C437" s="9" t="s">
        <v>10</v>
      </c>
      <c r="D437" s="19">
        <v>45531</v>
      </c>
      <c r="E437" s="9" t="s">
        <v>20</v>
      </c>
      <c r="F437" s="9" t="s">
        <v>20</v>
      </c>
      <c r="G437" s="9" t="s">
        <v>28</v>
      </c>
      <c r="H437" s="9">
        <v>76</v>
      </c>
      <c r="I437" s="5">
        <v>135</v>
      </c>
      <c r="J437" s="5">
        <f t="shared" si="6"/>
        <v>10260</v>
      </c>
      <c r="K437" s="9">
        <v>17</v>
      </c>
      <c r="L437" s="9" t="s">
        <v>34</v>
      </c>
      <c r="M437" s="9"/>
    </row>
    <row r="438" spans="2:13" ht="15.6" thickTop="1" thickBot="1" x14ac:dyDescent="0.35">
      <c r="B438" s="6">
        <v>436</v>
      </c>
      <c r="C438" s="7" t="s">
        <v>11</v>
      </c>
      <c r="D438" s="18">
        <v>45532</v>
      </c>
      <c r="E438" s="7" t="s">
        <v>20</v>
      </c>
      <c r="F438" s="7" t="s">
        <v>20</v>
      </c>
      <c r="G438" s="7" t="s">
        <v>28</v>
      </c>
      <c r="H438" s="7">
        <v>245</v>
      </c>
      <c r="I438" s="5">
        <v>90</v>
      </c>
      <c r="J438" s="5">
        <f t="shared" si="6"/>
        <v>22050</v>
      </c>
      <c r="K438" s="7">
        <v>10</v>
      </c>
      <c r="L438" s="7" t="s">
        <v>33</v>
      </c>
      <c r="M438" s="7">
        <v>2</v>
      </c>
    </row>
    <row r="439" spans="2:13" ht="15.6" thickTop="1" thickBot="1" x14ac:dyDescent="0.35">
      <c r="B439" s="8">
        <v>437</v>
      </c>
      <c r="C439" s="9" t="s">
        <v>11</v>
      </c>
      <c r="D439" s="19">
        <v>45533</v>
      </c>
      <c r="E439" s="9" t="s">
        <v>18</v>
      </c>
      <c r="F439" s="9" t="s">
        <v>27</v>
      </c>
      <c r="G439" s="9" t="s">
        <v>30</v>
      </c>
      <c r="H439" s="9">
        <v>160</v>
      </c>
      <c r="I439" s="5">
        <v>225</v>
      </c>
      <c r="J439" s="5">
        <f t="shared" si="6"/>
        <v>36000</v>
      </c>
      <c r="K439" s="9">
        <v>7</v>
      </c>
      <c r="L439" s="9" t="s">
        <v>35</v>
      </c>
      <c r="M439" s="9">
        <v>1</v>
      </c>
    </row>
    <row r="440" spans="2:13" ht="15.6" thickTop="1" thickBot="1" x14ac:dyDescent="0.35">
      <c r="B440" s="6">
        <v>438</v>
      </c>
      <c r="C440" s="7" t="s">
        <v>10</v>
      </c>
      <c r="D440" s="18">
        <v>45534</v>
      </c>
      <c r="E440" s="7" t="s">
        <v>13</v>
      </c>
      <c r="F440" s="7" t="s">
        <v>24</v>
      </c>
      <c r="G440" s="7" t="s">
        <v>29</v>
      </c>
      <c r="H440" s="7">
        <v>55</v>
      </c>
      <c r="I440" s="5">
        <v>45</v>
      </c>
      <c r="J440" s="5">
        <f t="shared" si="6"/>
        <v>2475</v>
      </c>
      <c r="K440" s="7">
        <v>14</v>
      </c>
      <c r="L440" s="7" t="s">
        <v>35</v>
      </c>
      <c r="M440" s="7">
        <v>1</v>
      </c>
    </row>
    <row r="441" spans="2:13" ht="15.6" thickTop="1" thickBot="1" x14ac:dyDescent="0.35">
      <c r="B441" s="8">
        <v>439</v>
      </c>
      <c r="C441" s="9" t="s">
        <v>10</v>
      </c>
      <c r="D441" s="19">
        <v>45535</v>
      </c>
      <c r="E441" s="9" t="s">
        <v>12</v>
      </c>
      <c r="F441" s="9" t="s">
        <v>23</v>
      </c>
      <c r="G441" s="9" t="s">
        <v>30</v>
      </c>
      <c r="H441" s="9">
        <v>101</v>
      </c>
      <c r="I441" s="5">
        <v>135</v>
      </c>
      <c r="J441" s="5">
        <f t="shared" si="6"/>
        <v>13635</v>
      </c>
      <c r="K441" s="9">
        <v>22</v>
      </c>
      <c r="L441" s="9" t="s">
        <v>34</v>
      </c>
      <c r="M441" s="9">
        <v>5</v>
      </c>
    </row>
    <row r="442" spans="2:13" ht="15.6" thickTop="1" thickBot="1" x14ac:dyDescent="0.35">
      <c r="B442" s="6">
        <v>440</v>
      </c>
      <c r="C442" s="7" t="s">
        <v>11</v>
      </c>
      <c r="D442" s="18">
        <v>45536</v>
      </c>
      <c r="E442" s="7" t="s">
        <v>14</v>
      </c>
      <c r="F442" s="7" t="s">
        <v>25</v>
      </c>
      <c r="G442" s="7" t="s">
        <v>30</v>
      </c>
      <c r="H442" s="7">
        <v>98</v>
      </c>
      <c r="I442" s="5">
        <v>135</v>
      </c>
      <c r="J442" s="5">
        <f t="shared" si="6"/>
        <v>13230</v>
      </c>
      <c r="K442" s="7">
        <v>15</v>
      </c>
      <c r="L442" s="7" t="s">
        <v>35</v>
      </c>
      <c r="M442" s="7">
        <v>4</v>
      </c>
    </row>
    <row r="443" spans="2:13" ht="15.6" thickTop="1" thickBot="1" x14ac:dyDescent="0.35">
      <c r="B443" s="8">
        <v>441</v>
      </c>
      <c r="C443" s="9" t="s">
        <v>10</v>
      </c>
      <c r="D443" s="19">
        <v>45537</v>
      </c>
      <c r="E443" s="9" t="s">
        <v>16</v>
      </c>
      <c r="F443" s="9" t="s">
        <v>26</v>
      </c>
      <c r="G443" s="9" t="s">
        <v>31</v>
      </c>
      <c r="H443" s="9">
        <v>157</v>
      </c>
      <c r="I443" s="5">
        <v>135</v>
      </c>
      <c r="J443" s="5">
        <f t="shared" si="6"/>
        <v>21195</v>
      </c>
      <c r="K443" s="9">
        <v>11</v>
      </c>
      <c r="L443" s="9" t="s">
        <v>34</v>
      </c>
      <c r="M443" s="9"/>
    </row>
    <row r="444" spans="2:13" ht="15.6" thickTop="1" thickBot="1" x14ac:dyDescent="0.35">
      <c r="B444" s="6">
        <v>442</v>
      </c>
      <c r="C444" s="7" t="s">
        <v>10</v>
      </c>
      <c r="D444" s="18">
        <v>45538</v>
      </c>
      <c r="E444" s="7" t="s">
        <v>22</v>
      </c>
      <c r="F444" s="7" t="s">
        <v>25</v>
      </c>
      <c r="G444" s="7" t="s">
        <v>29</v>
      </c>
      <c r="H444" s="7">
        <v>60</v>
      </c>
      <c r="I444" s="5">
        <v>135</v>
      </c>
      <c r="J444" s="5">
        <f t="shared" si="6"/>
        <v>8100</v>
      </c>
      <c r="K444" s="7">
        <v>23</v>
      </c>
      <c r="L444" s="7" t="s">
        <v>33</v>
      </c>
      <c r="M444" s="7">
        <v>5</v>
      </c>
    </row>
    <row r="445" spans="2:13" ht="15.6" thickTop="1" thickBot="1" x14ac:dyDescent="0.35">
      <c r="B445" s="8">
        <v>443</v>
      </c>
      <c r="C445" s="9" t="s">
        <v>10</v>
      </c>
      <c r="D445" s="19">
        <v>45539</v>
      </c>
      <c r="E445" s="9" t="s">
        <v>15</v>
      </c>
      <c r="F445" s="9" t="s">
        <v>25</v>
      </c>
      <c r="G445" s="9" t="s">
        <v>29</v>
      </c>
      <c r="H445" s="9">
        <v>233</v>
      </c>
      <c r="I445" s="5">
        <v>90</v>
      </c>
      <c r="J445" s="5">
        <f t="shared" si="6"/>
        <v>20970</v>
      </c>
      <c r="K445" s="9">
        <v>10</v>
      </c>
      <c r="L445" s="9" t="s">
        <v>34</v>
      </c>
      <c r="M445" s="9">
        <v>5</v>
      </c>
    </row>
    <row r="446" spans="2:13" ht="15.6" thickTop="1" thickBot="1" x14ac:dyDescent="0.35">
      <c r="B446" s="6">
        <v>444</v>
      </c>
      <c r="C446" s="7" t="s">
        <v>11</v>
      </c>
      <c r="D446" s="18">
        <v>45540</v>
      </c>
      <c r="E446" s="7" t="s">
        <v>20</v>
      </c>
      <c r="F446" s="7" t="s">
        <v>20</v>
      </c>
      <c r="G446" s="7" t="s">
        <v>31</v>
      </c>
      <c r="H446" s="7">
        <v>154</v>
      </c>
      <c r="I446" s="5">
        <v>180</v>
      </c>
      <c r="J446" s="5">
        <f t="shared" si="6"/>
        <v>27720</v>
      </c>
      <c r="K446" s="7">
        <v>14</v>
      </c>
      <c r="L446" s="7" t="s">
        <v>34</v>
      </c>
      <c r="M446" s="7">
        <v>4</v>
      </c>
    </row>
    <row r="447" spans="2:13" ht="15.6" thickTop="1" thickBot="1" x14ac:dyDescent="0.35">
      <c r="B447" s="8">
        <v>445</v>
      </c>
      <c r="C447" s="9" t="s">
        <v>10</v>
      </c>
      <c r="D447" s="19">
        <v>45541</v>
      </c>
      <c r="E447" s="9" t="s">
        <v>20</v>
      </c>
      <c r="F447" s="9" t="s">
        <v>20</v>
      </c>
      <c r="G447" s="9" t="s">
        <v>32</v>
      </c>
      <c r="H447" s="9">
        <v>152</v>
      </c>
      <c r="I447" s="5">
        <v>135</v>
      </c>
      <c r="J447" s="5">
        <f t="shared" si="6"/>
        <v>20520</v>
      </c>
      <c r="K447" s="9">
        <v>23</v>
      </c>
      <c r="L447" s="9" t="s">
        <v>35</v>
      </c>
      <c r="M447" s="9"/>
    </row>
    <row r="448" spans="2:13" ht="15.6" thickTop="1" thickBot="1" x14ac:dyDescent="0.35">
      <c r="B448" s="6">
        <v>446</v>
      </c>
      <c r="C448" s="7" t="s">
        <v>10</v>
      </c>
      <c r="D448" s="18">
        <v>45542</v>
      </c>
      <c r="E448" s="7" t="s">
        <v>13</v>
      </c>
      <c r="F448" s="7" t="s">
        <v>24</v>
      </c>
      <c r="G448" s="7" t="s">
        <v>32</v>
      </c>
      <c r="H448" s="7">
        <v>77</v>
      </c>
      <c r="I448" s="5">
        <v>180</v>
      </c>
      <c r="J448" s="5">
        <f t="shared" si="6"/>
        <v>13860</v>
      </c>
      <c r="K448" s="7">
        <v>13</v>
      </c>
      <c r="L448" s="7" t="s">
        <v>35</v>
      </c>
      <c r="M448" s="7"/>
    </row>
    <row r="449" spans="2:13" ht="15.6" thickTop="1" thickBot="1" x14ac:dyDescent="0.35">
      <c r="B449" s="8">
        <v>447</v>
      </c>
      <c r="C449" s="9" t="s">
        <v>10</v>
      </c>
      <c r="D449" s="19">
        <v>45543</v>
      </c>
      <c r="E449" s="9" t="s">
        <v>12</v>
      </c>
      <c r="F449" s="9" t="s">
        <v>23</v>
      </c>
      <c r="G449" s="9" t="s">
        <v>29</v>
      </c>
      <c r="H449" s="9">
        <v>58</v>
      </c>
      <c r="I449" s="5">
        <v>225</v>
      </c>
      <c r="J449" s="5">
        <f t="shared" si="6"/>
        <v>13050</v>
      </c>
      <c r="K449" s="9">
        <v>24</v>
      </c>
      <c r="L449" s="9" t="s">
        <v>33</v>
      </c>
      <c r="M449" s="9">
        <v>5</v>
      </c>
    </row>
    <row r="450" spans="2:13" ht="15.6" thickTop="1" thickBot="1" x14ac:dyDescent="0.35">
      <c r="B450" s="6">
        <v>448</v>
      </c>
      <c r="C450" s="7" t="s">
        <v>11</v>
      </c>
      <c r="D450" s="18">
        <v>45544</v>
      </c>
      <c r="E450" s="7" t="s">
        <v>12</v>
      </c>
      <c r="F450" s="7" t="s">
        <v>23</v>
      </c>
      <c r="G450" s="7" t="s">
        <v>31</v>
      </c>
      <c r="H450" s="7">
        <v>70</v>
      </c>
      <c r="I450" s="5">
        <v>180</v>
      </c>
      <c r="J450" s="5">
        <f t="shared" si="6"/>
        <v>12600</v>
      </c>
      <c r="K450" s="7">
        <v>20</v>
      </c>
      <c r="L450" s="7" t="s">
        <v>34</v>
      </c>
      <c r="M450" s="7">
        <v>5</v>
      </c>
    </row>
    <row r="451" spans="2:13" ht="15.6" thickTop="1" thickBot="1" x14ac:dyDescent="0.35">
      <c r="B451" s="8">
        <v>449</v>
      </c>
      <c r="C451" s="9" t="s">
        <v>10</v>
      </c>
      <c r="D451" s="19">
        <v>45545</v>
      </c>
      <c r="E451" s="9" t="s">
        <v>20</v>
      </c>
      <c r="F451" s="9" t="s">
        <v>20</v>
      </c>
      <c r="G451" s="9" t="s">
        <v>30</v>
      </c>
      <c r="H451" s="9">
        <v>157</v>
      </c>
      <c r="I451" s="5">
        <v>135</v>
      </c>
      <c r="J451" s="5">
        <f t="shared" si="6"/>
        <v>21195</v>
      </c>
      <c r="K451" s="9">
        <v>25</v>
      </c>
      <c r="L451" s="9" t="s">
        <v>33</v>
      </c>
      <c r="M451" s="9">
        <v>5</v>
      </c>
    </row>
    <row r="452" spans="2:13" ht="15.6" thickTop="1" thickBot="1" x14ac:dyDescent="0.35">
      <c r="B452" s="6">
        <v>450</v>
      </c>
      <c r="C452" s="7" t="s">
        <v>11</v>
      </c>
      <c r="D452" s="18">
        <v>45546</v>
      </c>
      <c r="E452" s="7" t="s">
        <v>15</v>
      </c>
      <c r="F452" s="7" t="s">
        <v>25</v>
      </c>
      <c r="G452" s="7" t="s">
        <v>31</v>
      </c>
      <c r="H452" s="7">
        <v>42</v>
      </c>
      <c r="I452" s="5">
        <v>90</v>
      </c>
      <c r="J452" s="5">
        <f t="shared" ref="J452:J515" si="7">H452*I452</f>
        <v>3780</v>
      </c>
      <c r="K452" s="7">
        <v>18</v>
      </c>
      <c r="L452" s="7" t="s">
        <v>35</v>
      </c>
      <c r="M452" s="7"/>
    </row>
    <row r="453" spans="2:13" ht="15.6" thickTop="1" thickBot="1" x14ac:dyDescent="0.35">
      <c r="B453" s="8">
        <v>451</v>
      </c>
      <c r="C453" s="9" t="s">
        <v>11</v>
      </c>
      <c r="D453" s="19">
        <v>45547</v>
      </c>
      <c r="E453" s="9" t="s">
        <v>18</v>
      </c>
      <c r="F453" s="9" t="s">
        <v>27</v>
      </c>
      <c r="G453" s="9" t="s">
        <v>29</v>
      </c>
      <c r="H453" s="9">
        <v>58</v>
      </c>
      <c r="I453" s="5">
        <v>90</v>
      </c>
      <c r="J453" s="5">
        <f t="shared" si="7"/>
        <v>5220</v>
      </c>
      <c r="K453" s="9">
        <v>10</v>
      </c>
      <c r="L453" s="9" t="s">
        <v>34</v>
      </c>
      <c r="M453" s="9"/>
    </row>
    <row r="454" spans="2:13" ht="15.6" thickTop="1" thickBot="1" x14ac:dyDescent="0.35">
      <c r="B454" s="6">
        <v>452</v>
      </c>
      <c r="C454" s="7" t="s">
        <v>11</v>
      </c>
      <c r="D454" s="18">
        <v>45548</v>
      </c>
      <c r="E454" s="7" t="s">
        <v>16</v>
      </c>
      <c r="F454" s="7" t="s">
        <v>26</v>
      </c>
      <c r="G454" s="7" t="s">
        <v>32</v>
      </c>
      <c r="H454" s="7">
        <v>66</v>
      </c>
      <c r="I454" s="5">
        <v>180</v>
      </c>
      <c r="J454" s="5">
        <f t="shared" si="7"/>
        <v>11880</v>
      </c>
      <c r="K454" s="7">
        <v>18</v>
      </c>
      <c r="L454" s="7" t="s">
        <v>35</v>
      </c>
      <c r="M454" s="7">
        <v>2</v>
      </c>
    </row>
    <row r="455" spans="2:13" ht="15.6" thickTop="1" thickBot="1" x14ac:dyDescent="0.35">
      <c r="B455" s="8">
        <v>453</v>
      </c>
      <c r="C455" s="9" t="s">
        <v>10</v>
      </c>
      <c r="D455" s="19">
        <v>45443</v>
      </c>
      <c r="E455" s="9" t="s">
        <v>16</v>
      </c>
      <c r="F455" s="9" t="s">
        <v>26</v>
      </c>
      <c r="G455" s="9" t="s">
        <v>31</v>
      </c>
      <c r="H455" s="9">
        <v>47</v>
      </c>
      <c r="I455" s="5">
        <v>135</v>
      </c>
      <c r="J455" s="5">
        <f t="shared" si="7"/>
        <v>6345</v>
      </c>
      <c r="K455" s="9">
        <v>18</v>
      </c>
      <c r="L455" s="9" t="s">
        <v>34</v>
      </c>
      <c r="M455" s="9">
        <v>4</v>
      </c>
    </row>
    <row r="456" spans="2:13" ht="15.6" thickTop="1" thickBot="1" x14ac:dyDescent="0.35">
      <c r="B456" s="6">
        <v>454</v>
      </c>
      <c r="C456" s="7" t="s">
        <v>10</v>
      </c>
      <c r="D456" s="18">
        <v>45444</v>
      </c>
      <c r="E456" s="7" t="s">
        <v>16</v>
      </c>
      <c r="F456" s="7" t="s">
        <v>26</v>
      </c>
      <c r="G456" s="7" t="s">
        <v>32</v>
      </c>
      <c r="H456" s="7">
        <v>137</v>
      </c>
      <c r="I456" s="5">
        <v>225</v>
      </c>
      <c r="J456" s="5">
        <f t="shared" si="7"/>
        <v>30825</v>
      </c>
      <c r="K456" s="7">
        <v>15</v>
      </c>
      <c r="L456" s="7" t="s">
        <v>35</v>
      </c>
      <c r="M456" s="7"/>
    </row>
    <row r="457" spans="2:13" ht="15.6" thickTop="1" thickBot="1" x14ac:dyDescent="0.35">
      <c r="B457" s="8">
        <v>455</v>
      </c>
      <c r="C457" s="9" t="s">
        <v>11</v>
      </c>
      <c r="D457" s="19">
        <v>45445</v>
      </c>
      <c r="E457" s="9" t="s">
        <v>21</v>
      </c>
      <c r="F457" s="9" t="s">
        <v>26</v>
      </c>
      <c r="G457" s="9" t="s">
        <v>32</v>
      </c>
      <c r="H457" s="9">
        <v>110</v>
      </c>
      <c r="I457" s="5">
        <v>225</v>
      </c>
      <c r="J457" s="5">
        <f t="shared" si="7"/>
        <v>24750</v>
      </c>
      <c r="K457" s="9">
        <v>12</v>
      </c>
      <c r="L457" s="9" t="s">
        <v>33</v>
      </c>
      <c r="M457" s="9">
        <v>5</v>
      </c>
    </row>
    <row r="458" spans="2:13" ht="15.6" thickTop="1" thickBot="1" x14ac:dyDescent="0.35">
      <c r="B458" s="6">
        <v>456</v>
      </c>
      <c r="C458" s="7" t="s">
        <v>10</v>
      </c>
      <c r="D458" s="18">
        <v>45446</v>
      </c>
      <c r="E458" s="7" t="s">
        <v>20</v>
      </c>
      <c r="F458" s="7" t="s">
        <v>20</v>
      </c>
      <c r="G458" s="7" t="s">
        <v>30</v>
      </c>
      <c r="H458" s="7">
        <v>123</v>
      </c>
      <c r="I458" s="5">
        <v>180</v>
      </c>
      <c r="J458" s="5">
        <f t="shared" si="7"/>
        <v>22140</v>
      </c>
      <c r="K458" s="7">
        <v>22</v>
      </c>
      <c r="L458" s="7" t="s">
        <v>35</v>
      </c>
      <c r="M458" s="7">
        <v>4</v>
      </c>
    </row>
    <row r="459" spans="2:13" ht="15.6" thickTop="1" thickBot="1" x14ac:dyDescent="0.35">
      <c r="B459" s="8">
        <v>457</v>
      </c>
      <c r="C459" s="9" t="s">
        <v>10</v>
      </c>
      <c r="D459" s="19">
        <v>45447</v>
      </c>
      <c r="E459" s="9" t="s">
        <v>21</v>
      </c>
      <c r="F459" s="9" t="s">
        <v>26</v>
      </c>
      <c r="G459" s="9" t="s">
        <v>29</v>
      </c>
      <c r="H459" s="9">
        <v>205</v>
      </c>
      <c r="I459" s="5">
        <v>180</v>
      </c>
      <c r="J459" s="5">
        <f t="shared" si="7"/>
        <v>36900</v>
      </c>
      <c r="K459" s="9">
        <v>15</v>
      </c>
      <c r="L459" s="9" t="s">
        <v>33</v>
      </c>
      <c r="M459" s="9">
        <v>2</v>
      </c>
    </row>
    <row r="460" spans="2:13" ht="15.6" thickTop="1" thickBot="1" x14ac:dyDescent="0.35">
      <c r="B460" s="6">
        <v>458</v>
      </c>
      <c r="C460" s="7" t="s">
        <v>10</v>
      </c>
      <c r="D460" s="18">
        <v>45448</v>
      </c>
      <c r="E460" s="7" t="s">
        <v>12</v>
      </c>
      <c r="F460" s="7" t="s">
        <v>23</v>
      </c>
      <c r="G460" s="7" t="s">
        <v>28</v>
      </c>
      <c r="H460" s="7">
        <v>125</v>
      </c>
      <c r="I460" s="5">
        <v>45</v>
      </c>
      <c r="J460" s="5">
        <f t="shared" si="7"/>
        <v>5625</v>
      </c>
      <c r="K460" s="7">
        <v>19</v>
      </c>
      <c r="L460" s="7" t="s">
        <v>33</v>
      </c>
      <c r="M460" s="7">
        <v>3</v>
      </c>
    </row>
    <row r="461" spans="2:13" ht="15.6" thickTop="1" thickBot="1" x14ac:dyDescent="0.35">
      <c r="B461" s="8">
        <v>459</v>
      </c>
      <c r="C461" s="9" t="s">
        <v>10</v>
      </c>
      <c r="D461" s="19">
        <v>45449</v>
      </c>
      <c r="E461" s="9" t="s">
        <v>22</v>
      </c>
      <c r="F461" s="9" t="s">
        <v>25</v>
      </c>
      <c r="G461" s="9" t="s">
        <v>28</v>
      </c>
      <c r="H461" s="9">
        <v>235</v>
      </c>
      <c r="I461" s="5">
        <v>135</v>
      </c>
      <c r="J461" s="5">
        <f t="shared" si="7"/>
        <v>31725</v>
      </c>
      <c r="K461" s="9">
        <v>23</v>
      </c>
      <c r="L461" s="9" t="s">
        <v>34</v>
      </c>
      <c r="M461" s="9">
        <v>3</v>
      </c>
    </row>
    <row r="462" spans="2:13" ht="15.6" thickTop="1" thickBot="1" x14ac:dyDescent="0.35">
      <c r="B462" s="6">
        <v>460</v>
      </c>
      <c r="C462" s="7" t="s">
        <v>10</v>
      </c>
      <c r="D462" s="18">
        <v>45450</v>
      </c>
      <c r="E462" s="7" t="s">
        <v>19</v>
      </c>
      <c r="F462" s="7" t="s">
        <v>23</v>
      </c>
      <c r="G462" s="7" t="s">
        <v>29</v>
      </c>
      <c r="H462" s="7">
        <v>84</v>
      </c>
      <c r="I462" s="5">
        <v>90</v>
      </c>
      <c r="J462" s="5">
        <f t="shared" si="7"/>
        <v>7560</v>
      </c>
      <c r="K462" s="7">
        <v>16</v>
      </c>
      <c r="L462" s="7" t="s">
        <v>34</v>
      </c>
      <c r="M462" s="7">
        <v>5</v>
      </c>
    </row>
    <row r="463" spans="2:13" ht="15.6" thickTop="1" thickBot="1" x14ac:dyDescent="0.35">
      <c r="B463" s="8">
        <v>461</v>
      </c>
      <c r="C463" s="9" t="s">
        <v>10</v>
      </c>
      <c r="D463" s="19">
        <v>45451</v>
      </c>
      <c r="E463" s="9" t="s">
        <v>21</v>
      </c>
      <c r="F463" s="9" t="s">
        <v>26</v>
      </c>
      <c r="G463" s="9" t="s">
        <v>29</v>
      </c>
      <c r="H463" s="9">
        <v>248</v>
      </c>
      <c r="I463" s="5">
        <v>225</v>
      </c>
      <c r="J463" s="5">
        <f t="shared" si="7"/>
        <v>55800</v>
      </c>
      <c r="K463" s="9">
        <v>11</v>
      </c>
      <c r="L463" s="9" t="s">
        <v>33</v>
      </c>
      <c r="M463" s="9">
        <v>2</v>
      </c>
    </row>
    <row r="464" spans="2:13" ht="15.6" thickTop="1" thickBot="1" x14ac:dyDescent="0.35">
      <c r="B464" s="6">
        <v>462</v>
      </c>
      <c r="C464" s="7" t="s">
        <v>11</v>
      </c>
      <c r="D464" s="18">
        <v>45452</v>
      </c>
      <c r="E464" s="7" t="s">
        <v>16</v>
      </c>
      <c r="F464" s="7" t="s">
        <v>26</v>
      </c>
      <c r="G464" s="7" t="s">
        <v>32</v>
      </c>
      <c r="H464" s="7">
        <v>156</v>
      </c>
      <c r="I464" s="5">
        <v>45</v>
      </c>
      <c r="J464" s="5">
        <f t="shared" si="7"/>
        <v>7020</v>
      </c>
      <c r="K464" s="7">
        <v>7</v>
      </c>
      <c r="L464" s="7" t="s">
        <v>33</v>
      </c>
      <c r="M464" s="7"/>
    </row>
    <row r="465" spans="2:13" ht="15.6" thickTop="1" thickBot="1" x14ac:dyDescent="0.35">
      <c r="B465" s="8">
        <v>463</v>
      </c>
      <c r="C465" s="9" t="s">
        <v>10</v>
      </c>
      <c r="D465" s="19">
        <v>45453</v>
      </c>
      <c r="E465" s="9" t="s">
        <v>18</v>
      </c>
      <c r="F465" s="9" t="s">
        <v>27</v>
      </c>
      <c r="G465" s="9" t="s">
        <v>28</v>
      </c>
      <c r="H465" s="9">
        <v>141</v>
      </c>
      <c r="I465" s="5">
        <v>180</v>
      </c>
      <c r="J465" s="5">
        <f t="shared" si="7"/>
        <v>25380</v>
      </c>
      <c r="K465" s="9">
        <v>15</v>
      </c>
      <c r="L465" s="9" t="s">
        <v>35</v>
      </c>
      <c r="M465" s="9">
        <v>2</v>
      </c>
    </row>
    <row r="466" spans="2:13" ht="15.6" thickTop="1" thickBot="1" x14ac:dyDescent="0.35">
      <c r="B466" s="6">
        <v>464</v>
      </c>
      <c r="C466" s="7" t="s">
        <v>11</v>
      </c>
      <c r="D466" s="18">
        <v>45454</v>
      </c>
      <c r="E466" s="7" t="s">
        <v>12</v>
      </c>
      <c r="F466" s="7" t="s">
        <v>23</v>
      </c>
      <c r="G466" s="7" t="s">
        <v>30</v>
      </c>
      <c r="H466" s="7">
        <v>39</v>
      </c>
      <c r="I466" s="5">
        <v>225</v>
      </c>
      <c r="J466" s="5">
        <f t="shared" si="7"/>
        <v>8775</v>
      </c>
      <c r="K466" s="7">
        <v>20</v>
      </c>
      <c r="L466" s="7" t="s">
        <v>34</v>
      </c>
      <c r="M466" s="7">
        <v>5</v>
      </c>
    </row>
    <row r="467" spans="2:13" ht="15.6" thickTop="1" thickBot="1" x14ac:dyDescent="0.35">
      <c r="B467" s="8">
        <v>465</v>
      </c>
      <c r="C467" s="9" t="s">
        <v>10</v>
      </c>
      <c r="D467" s="19">
        <v>45455</v>
      </c>
      <c r="E467" s="9" t="s">
        <v>17</v>
      </c>
      <c r="F467" s="9" t="s">
        <v>24</v>
      </c>
      <c r="G467" s="9" t="s">
        <v>29</v>
      </c>
      <c r="H467" s="9">
        <v>69</v>
      </c>
      <c r="I467" s="5">
        <v>225</v>
      </c>
      <c r="J467" s="5">
        <f t="shared" si="7"/>
        <v>15525</v>
      </c>
      <c r="K467" s="9">
        <v>11</v>
      </c>
      <c r="L467" s="9" t="s">
        <v>34</v>
      </c>
      <c r="M467" s="9"/>
    </row>
    <row r="468" spans="2:13" ht="15.6" thickTop="1" thickBot="1" x14ac:dyDescent="0.35">
      <c r="B468" s="6">
        <v>466</v>
      </c>
      <c r="C468" s="7" t="s">
        <v>10</v>
      </c>
      <c r="D468" s="18">
        <v>45456</v>
      </c>
      <c r="E468" s="7" t="s">
        <v>18</v>
      </c>
      <c r="F468" s="7" t="s">
        <v>27</v>
      </c>
      <c r="G468" s="7" t="s">
        <v>31</v>
      </c>
      <c r="H468" s="7">
        <v>38</v>
      </c>
      <c r="I468" s="5">
        <v>225</v>
      </c>
      <c r="J468" s="5">
        <f t="shared" si="7"/>
        <v>8550</v>
      </c>
      <c r="K468" s="7">
        <v>21</v>
      </c>
      <c r="L468" s="7" t="s">
        <v>35</v>
      </c>
      <c r="M468" s="7">
        <v>4</v>
      </c>
    </row>
    <row r="469" spans="2:13" ht="15.6" thickTop="1" thickBot="1" x14ac:dyDescent="0.35">
      <c r="B469" s="8">
        <v>467</v>
      </c>
      <c r="C469" s="9" t="s">
        <v>10</v>
      </c>
      <c r="D469" s="19">
        <v>45457</v>
      </c>
      <c r="E469" s="9" t="s">
        <v>13</v>
      </c>
      <c r="F469" s="9" t="s">
        <v>24</v>
      </c>
      <c r="G469" s="9" t="s">
        <v>31</v>
      </c>
      <c r="H469" s="9">
        <v>66</v>
      </c>
      <c r="I469" s="5">
        <v>135</v>
      </c>
      <c r="J469" s="5">
        <f t="shared" si="7"/>
        <v>8910</v>
      </c>
      <c r="K469" s="9">
        <v>20</v>
      </c>
      <c r="L469" s="9" t="s">
        <v>34</v>
      </c>
      <c r="M469" s="9"/>
    </row>
    <row r="470" spans="2:13" ht="15.6" thickTop="1" thickBot="1" x14ac:dyDescent="0.35">
      <c r="B470" s="6">
        <v>468</v>
      </c>
      <c r="C470" s="7" t="s">
        <v>11</v>
      </c>
      <c r="D470" s="18">
        <v>45458</v>
      </c>
      <c r="E470" s="7" t="s">
        <v>15</v>
      </c>
      <c r="F470" s="7" t="s">
        <v>25</v>
      </c>
      <c r="G470" s="7" t="s">
        <v>30</v>
      </c>
      <c r="H470" s="7">
        <v>67</v>
      </c>
      <c r="I470" s="5">
        <v>180</v>
      </c>
      <c r="J470" s="5">
        <f t="shared" si="7"/>
        <v>12060</v>
      </c>
      <c r="K470" s="7">
        <v>19</v>
      </c>
      <c r="L470" s="7" t="s">
        <v>33</v>
      </c>
      <c r="M470" s="7">
        <v>2</v>
      </c>
    </row>
    <row r="471" spans="2:13" ht="15.6" thickTop="1" thickBot="1" x14ac:dyDescent="0.35">
      <c r="B471" s="8">
        <v>469</v>
      </c>
      <c r="C471" s="9" t="s">
        <v>10</v>
      </c>
      <c r="D471" s="19">
        <v>45459</v>
      </c>
      <c r="E471" s="9" t="s">
        <v>20</v>
      </c>
      <c r="F471" s="9" t="s">
        <v>20</v>
      </c>
      <c r="G471" s="9" t="s">
        <v>29</v>
      </c>
      <c r="H471" s="9">
        <v>52</v>
      </c>
      <c r="I471" s="5">
        <v>45</v>
      </c>
      <c r="J471" s="5">
        <f t="shared" si="7"/>
        <v>2340</v>
      </c>
      <c r="K471" s="9">
        <v>19</v>
      </c>
      <c r="L471" s="9" t="s">
        <v>33</v>
      </c>
      <c r="M471" s="9">
        <v>2</v>
      </c>
    </row>
    <row r="472" spans="2:13" ht="15.6" thickTop="1" thickBot="1" x14ac:dyDescent="0.35">
      <c r="B472" s="6">
        <v>470</v>
      </c>
      <c r="C472" s="7" t="s">
        <v>10</v>
      </c>
      <c r="D472" s="18">
        <v>45460</v>
      </c>
      <c r="E472" s="7" t="s">
        <v>20</v>
      </c>
      <c r="F472" s="7" t="s">
        <v>20</v>
      </c>
      <c r="G472" s="7" t="s">
        <v>28</v>
      </c>
      <c r="H472" s="7">
        <v>137</v>
      </c>
      <c r="I472" s="5">
        <v>180</v>
      </c>
      <c r="J472" s="5">
        <f t="shared" si="7"/>
        <v>24660</v>
      </c>
      <c r="K472" s="7">
        <v>22</v>
      </c>
      <c r="L472" s="7" t="s">
        <v>33</v>
      </c>
      <c r="M472" s="7">
        <v>4</v>
      </c>
    </row>
    <row r="473" spans="2:13" ht="15.6" thickTop="1" thickBot="1" x14ac:dyDescent="0.35">
      <c r="B473" s="8">
        <v>471</v>
      </c>
      <c r="C473" s="9" t="s">
        <v>11</v>
      </c>
      <c r="D473" s="19">
        <v>45461</v>
      </c>
      <c r="E473" s="9" t="s">
        <v>13</v>
      </c>
      <c r="F473" s="9" t="s">
        <v>24</v>
      </c>
      <c r="G473" s="9" t="s">
        <v>31</v>
      </c>
      <c r="H473" s="9">
        <v>43</v>
      </c>
      <c r="I473" s="5">
        <v>45</v>
      </c>
      <c r="J473" s="5">
        <f t="shared" si="7"/>
        <v>1935</v>
      </c>
      <c r="K473" s="9">
        <v>11</v>
      </c>
      <c r="L473" s="9" t="s">
        <v>33</v>
      </c>
      <c r="M473" s="9">
        <v>3</v>
      </c>
    </row>
    <row r="474" spans="2:13" ht="15.6" thickTop="1" thickBot="1" x14ac:dyDescent="0.35">
      <c r="B474" s="6">
        <v>472</v>
      </c>
      <c r="C474" s="7" t="s">
        <v>10</v>
      </c>
      <c r="D474" s="18">
        <v>45462</v>
      </c>
      <c r="E474" s="7" t="s">
        <v>18</v>
      </c>
      <c r="F474" s="7" t="s">
        <v>27</v>
      </c>
      <c r="G474" s="7" t="s">
        <v>28</v>
      </c>
      <c r="H474" s="7">
        <v>79</v>
      </c>
      <c r="I474" s="5">
        <v>135</v>
      </c>
      <c r="J474" s="5">
        <f t="shared" si="7"/>
        <v>10665</v>
      </c>
      <c r="K474" s="7">
        <v>10</v>
      </c>
      <c r="L474" s="7" t="s">
        <v>34</v>
      </c>
      <c r="M474" s="7">
        <v>1</v>
      </c>
    </row>
    <row r="475" spans="2:13" ht="15.6" thickTop="1" thickBot="1" x14ac:dyDescent="0.35">
      <c r="B475" s="8">
        <v>473</v>
      </c>
      <c r="C475" s="9" t="s">
        <v>10</v>
      </c>
      <c r="D475" s="19">
        <v>45463</v>
      </c>
      <c r="E475" s="9" t="s">
        <v>22</v>
      </c>
      <c r="F475" s="9" t="s">
        <v>25</v>
      </c>
      <c r="G475" s="9" t="s">
        <v>31</v>
      </c>
      <c r="H475" s="9">
        <v>166</v>
      </c>
      <c r="I475" s="5">
        <v>135</v>
      </c>
      <c r="J475" s="5">
        <f t="shared" si="7"/>
        <v>22410</v>
      </c>
      <c r="K475" s="9">
        <v>14</v>
      </c>
      <c r="L475" s="9" t="s">
        <v>33</v>
      </c>
      <c r="M475" s="9">
        <v>4</v>
      </c>
    </row>
    <row r="476" spans="2:13" ht="15.6" thickTop="1" thickBot="1" x14ac:dyDescent="0.35">
      <c r="B476" s="6">
        <v>474</v>
      </c>
      <c r="C476" s="7" t="s">
        <v>11</v>
      </c>
      <c r="D476" s="18">
        <v>45464</v>
      </c>
      <c r="E476" s="7" t="s">
        <v>12</v>
      </c>
      <c r="F476" s="7" t="s">
        <v>23</v>
      </c>
      <c r="G476" s="7" t="s">
        <v>32</v>
      </c>
      <c r="H476" s="7">
        <v>234</v>
      </c>
      <c r="I476" s="5">
        <v>135</v>
      </c>
      <c r="J476" s="5">
        <f t="shared" si="7"/>
        <v>31590</v>
      </c>
      <c r="K476" s="7">
        <v>8</v>
      </c>
      <c r="L476" s="7" t="s">
        <v>33</v>
      </c>
      <c r="M476" s="7">
        <v>5</v>
      </c>
    </row>
    <row r="477" spans="2:13" ht="15.6" thickTop="1" thickBot="1" x14ac:dyDescent="0.35">
      <c r="B477" s="8">
        <v>475</v>
      </c>
      <c r="C477" s="9" t="s">
        <v>11</v>
      </c>
      <c r="D477" s="19">
        <v>45465</v>
      </c>
      <c r="E477" s="9" t="s">
        <v>19</v>
      </c>
      <c r="F477" s="9" t="s">
        <v>23</v>
      </c>
      <c r="G477" s="9" t="s">
        <v>31</v>
      </c>
      <c r="H477" s="9">
        <v>108</v>
      </c>
      <c r="I477" s="5">
        <v>225</v>
      </c>
      <c r="J477" s="5">
        <f t="shared" si="7"/>
        <v>24300</v>
      </c>
      <c r="K477" s="9">
        <v>9</v>
      </c>
      <c r="L477" s="9" t="s">
        <v>34</v>
      </c>
      <c r="M477" s="9"/>
    </row>
    <row r="478" spans="2:13" ht="15.6" thickTop="1" thickBot="1" x14ac:dyDescent="0.35">
      <c r="B478" s="6">
        <v>476</v>
      </c>
      <c r="C478" s="7" t="s">
        <v>11</v>
      </c>
      <c r="D478" s="18">
        <v>45466</v>
      </c>
      <c r="E478" s="7" t="s">
        <v>16</v>
      </c>
      <c r="F478" s="7" t="s">
        <v>26</v>
      </c>
      <c r="G478" s="7" t="s">
        <v>29</v>
      </c>
      <c r="H478" s="7">
        <v>227</v>
      </c>
      <c r="I478" s="5">
        <v>90</v>
      </c>
      <c r="J478" s="5">
        <f t="shared" si="7"/>
        <v>20430</v>
      </c>
      <c r="K478" s="7">
        <v>18</v>
      </c>
      <c r="L478" s="7" t="s">
        <v>33</v>
      </c>
      <c r="M478" s="7">
        <v>3</v>
      </c>
    </row>
    <row r="479" spans="2:13" ht="15.6" thickTop="1" thickBot="1" x14ac:dyDescent="0.35">
      <c r="B479" s="8">
        <v>477</v>
      </c>
      <c r="C479" s="9" t="s">
        <v>10</v>
      </c>
      <c r="D479" s="19">
        <v>45467</v>
      </c>
      <c r="E479" s="9" t="s">
        <v>20</v>
      </c>
      <c r="F479" s="9" t="s">
        <v>20</v>
      </c>
      <c r="G479" s="9" t="s">
        <v>28</v>
      </c>
      <c r="H479" s="9">
        <v>119</v>
      </c>
      <c r="I479" s="5">
        <v>180</v>
      </c>
      <c r="J479" s="5">
        <f t="shared" si="7"/>
        <v>21420</v>
      </c>
      <c r="K479" s="9">
        <v>20</v>
      </c>
      <c r="L479" s="9" t="s">
        <v>35</v>
      </c>
      <c r="M479" s="9">
        <v>3</v>
      </c>
    </row>
    <row r="480" spans="2:13" ht="15.6" thickTop="1" thickBot="1" x14ac:dyDescent="0.35">
      <c r="B480" s="6">
        <v>478</v>
      </c>
      <c r="C480" s="7" t="s">
        <v>10</v>
      </c>
      <c r="D480" s="18">
        <v>45468</v>
      </c>
      <c r="E480" s="7" t="s">
        <v>20</v>
      </c>
      <c r="F480" s="7" t="s">
        <v>20</v>
      </c>
      <c r="G480" s="7" t="s">
        <v>32</v>
      </c>
      <c r="H480" s="7">
        <v>58</v>
      </c>
      <c r="I480" s="5">
        <v>180</v>
      </c>
      <c r="J480" s="5">
        <f t="shared" si="7"/>
        <v>10440</v>
      </c>
      <c r="K480" s="7">
        <v>13</v>
      </c>
      <c r="L480" s="7" t="s">
        <v>35</v>
      </c>
      <c r="M480" s="7">
        <v>1</v>
      </c>
    </row>
    <row r="481" spans="2:13" ht="15.6" thickTop="1" thickBot="1" x14ac:dyDescent="0.35">
      <c r="B481" s="8">
        <v>479</v>
      </c>
      <c r="C481" s="9" t="s">
        <v>11</v>
      </c>
      <c r="D481" s="19">
        <v>45469</v>
      </c>
      <c r="E481" s="9" t="s">
        <v>15</v>
      </c>
      <c r="F481" s="9" t="s">
        <v>25</v>
      </c>
      <c r="G481" s="9" t="s">
        <v>29</v>
      </c>
      <c r="H481" s="9">
        <v>43</v>
      </c>
      <c r="I481" s="5">
        <v>180</v>
      </c>
      <c r="J481" s="5">
        <f t="shared" si="7"/>
        <v>7740</v>
      </c>
      <c r="K481" s="9">
        <v>13</v>
      </c>
      <c r="L481" s="9" t="s">
        <v>34</v>
      </c>
      <c r="M481" s="9">
        <v>1</v>
      </c>
    </row>
    <row r="482" spans="2:13" ht="15.6" thickTop="1" thickBot="1" x14ac:dyDescent="0.35">
      <c r="B482" s="6">
        <v>480</v>
      </c>
      <c r="C482" s="7" t="s">
        <v>11</v>
      </c>
      <c r="D482" s="18">
        <v>45470</v>
      </c>
      <c r="E482" s="7" t="s">
        <v>16</v>
      </c>
      <c r="F482" s="7" t="s">
        <v>26</v>
      </c>
      <c r="G482" s="7" t="s">
        <v>29</v>
      </c>
      <c r="H482" s="7">
        <v>144</v>
      </c>
      <c r="I482" s="5">
        <v>90</v>
      </c>
      <c r="J482" s="5">
        <f t="shared" si="7"/>
        <v>12960</v>
      </c>
      <c r="K482" s="7">
        <v>12</v>
      </c>
      <c r="L482" s="7" t="s">
        <v>34</v>
      </c>
      <c r="M482" s="7">
        <v>1</v>
      </c>
    </row>
    <row r="483" spans="2:13" ht="15.6" thickTop="1" thickBot="1" x14ac:dyDescent="0.35">
      <c r="B483" s="8">
        <v>481</v>
      </c>
      <c r="C483" s="9" t="s">
        <v>11</v>
      </c>
      <c r="D483" s="19">
        <v>45471</v>
      </c>
      <c r="E483" s="9" t="s">
        <v>13</v>
      </c>
      <c r="F483" s="9" t="s">
        <v>24</v>
      </c>
      <c r="G483" s="9" t="s">
        <v>30</v>
      </c>
      <c r="H483" s="9">
        <v>193</v>
      </c>
      <c r="I483" s="5">
        <v>135</v>
      </c>
      <c r="J483" s="5">
        <f t="shared" si="7"/>
        <v>26055</v>
      </c>
      <c r="K483" s="9">
        <v>19</v>
      </c>
      <c r="L483" s="9" t="s">
        <v>33</v>
      </c>
      <c r="M483" s="9">
        <v>5</v>
      </c>
    </row>
    <row r="484" spans="2:13" ht="15.6" thickTop="1" thickBot="1" x14ac:dyDescent="0.35">
      <c r="B484" s="6">
        <v>482</v>
      </c>
      <c r="C484" s="7" t="s">
        <v>10</v>
      </c>
      <c r="D484" s="18">
        <v>45472</v>
      </c>
      <c r="E484" s="7" t="s">
        <v>15</v>
      </c>
      <c r="F484" s="7" t="s">
        <v>25</v>
      </c>
      <c r="G484" s="7" t="s">
        <v>30</v>
      </c>
      <c r="H484" s="7">
        <v>71</v>
      </c>
      <c r="I484" s="5">
        <v>180</v>
      </c>
      <c r="J484" s="5">
        <f t="shared" si="7"/>
        <v>12780</v>
      </c>
      <c r="K484" s="7">
        <v>11</v>
      </c>
      <c r="L484" s="7" t="s">
        <v>35</v>
      </c>
      <c r="M484" s="7">
        <v>5</v>
      </c>
    </row>
    <row r="485" spans="2:13" ht="15.6" thickTop="1" thickBot="1" x14ac:dyDescent="0.35">
      <c r="B485" s="8">
        <v>483</v>
      </c>
      <c r="C485" s="9" t="s">
        <v>11</v>
      </c>
      <c r="D485" s="19">
        <v>45473</v>
      </c>
      <c r="E485" s="9" t="s">
        <v>19</v>
      </c>
      <c r="F485" s="9" t="s">
        <v>23</v>
      </c>
      <c r="G485" s="9" t="s">
        <v>30</v>
      </c>
      <c r="H485" s="9">
        <v>192</v>
      </c>
      <c r="I485" s="5">
        <v>180</v>
      </c>
      <c r="J485" s="5">
        <f t="shared" si="7"/>
        <v>34560</v>
      </c>
      <c r="K485" s="9">
        <v>7</v>
      </c>
      <c r="L485" s="9" t="s">
        <v>35</v>
      </c>
      <c r="M485" s="9">
        <v>1</v>
      </c>
    </row>
    <row r="486" spans="2:13" ht="15.6" thickTop="1" thickBot="1" x14ac:dyDescent="0.35">
      <c r="B486" s="6">
        <v>484</v>
      </c>
      <c r="C486" s="7" t="s">
        <v>11</v>
      </c>
      <c r="D486" s="18">
        <v>45474</v>
      </c>
      <c r="E486" s="7" t="s">
        <v>18</v>
      </c>
      <c r="F486" s="7" t="s">
        <v>27</v>
      </c>
      <c r="G486" s="7" t="s">
        <v>29</v>
      </c>
      <c r="H486" s="7">
        <v>56</v>
      </c>
      <c r="I486" s="5">
        <v>135</v>
      </c>
      <c r="J486" s="5">
        <f t="shared" si="7"/>
        <v>7560</v>
      </c>
      <c r="K486" s="7">
        <v>7</v>
      </c>
      <c r="L486" s="7" t="s">
        <v>33</v>
      </c>
      <c r="M486" s="7">
        <v>3</v>
      </c>
    </row>
    <row r="487" spans="2:13" ht="15.6" thickTop="1" thickBot="1" x14ac:dyDescent="0.35">
      <c r="B487" s="8">
        <v>485</v>
      </c>
      <c r="C487" s="9" t="s">
        <v>11</v>
      </c>
      <c r="D487" s="19">
        <v>45475</v>
      </c>
      <c r="E487" s="9" t="s">
        <v>14</v>
      </c>
      <c r="F487" s="9" t="s">
        <v>25</v>
      </c>
      <c r="G487" s="9" t="s">
        <v>28</v>
      </c>
      <c r="H487" s="9">
        <v>243</v>
      </c>
      <c r="I487" s="5">
        <v>225</v>
      </c>
      <c r="J487" s="5">
        <f t="shared" si="7"/>
        <v>54675</v>
      </c>
      <c r="K487" s="9">
        <v>17</v>
      </c>
      <c r="L487" s="9" t="s">
        <v>35</v>
      </c>
      <c r="M487" s="9">
        <v>4</v>
      </c>
    </row>
    <row r="488" spans="2:13" ht="15.6" thickTop="1" thickBot="1" x14ac:dyDescent="0.35">
      <c r="B488" s="6">
        <v>486</v>
      </c>
      <c r="C488" s="7" t="s">
        <v>11</v>
      </c>
      <c r="D488" s="18">
        <v>45476</v>
      </c>
      <c r="E488" s="7" t="s">
        <v>14</v>
      </c>
      <c r="F488" s="7" t="s">
        <v>25</v>
      </c>
      <c r="G488" s="7" t="s">
        <v>29</v>
      </c>
      <c r="H488" s="7">
        <v>232</v>
      </c>
      <c r="I488" s="5">
        <v>135</v>
      </c>
      <c r="J488" s="5">
        <f t="shared" si="7"/>
        <v>31320</v>
      </c>
      <c r="K488" s="7">
        <v>7</v>
      </c>
      <c r="L488" s="7" t="s">
        <v>35</v>
      </c>
      <c r="M488" s="7">
        <v>2</v>
      </c>
    </row>
    <row r="489" spans="2:13" ht="15.6" thickTop="1" thickBot="1" x14ac:dyDescent="0.35">
      <c r="B489" s="8">
        <v>487</v>
      </c>
      <c r="C489" s="9" t="s">
        <v>10</v>
      </c>
      <c r="D489" s="19">
        <v>45477</v>
      </c>
      <c r="E489" s="9" t="s">
        <v>17</v>
      </c>
      <c r="F489" s="9" t="s">
        <v>24</v>
      </c>
      <c r="G489" s="9" t="s">
        <v>29</v>
      </c>
      <c r="H489" s="9">
        <v>61</v>
      </c>
      <c r="I489" s="5">
        <v>135</v>
      </c>
      <c r="J489" s="5">
        <f t="shared" si="7"/>
        <v>8235</v>
      </c>
      <c r="K489" s="9">
        <v>18</v>
      </c>
      <c r="L489" s="9" t="s">
        <v>35</v>
      </c>
      <c r="M489" s="9">
        <v>1</v>
      </c>
    </row>
    <row r="490" spans="2:13" ht="15.6" thickTop="1" thickBot="1" x14ac:dyDescent="0.35">
      <c r="B490" s="6">
        <v>488</v>
      </c>
      <c r="C490" s="7" t="s">
        <v>10</v>
      </c>
      <c r="D490" s="18">
        <v>45478</v>
      </c>
      <c r="E490" s="7" t="s">
        <v>17</v>
      </c>
      <c r="F490" s="7" t="s">
        <v>24</v>
      </c>
      <c r="G490" s="7" t="s">
        <v>31</v>
      </c>
      <c r="H490" s="7">
        <v>205</v>
      </c>
      <c r="I490" s="5">
        <v>180</v>
      </c>
      <c r="J490" s="5">
        <f t="shared" si="7"/>
        <v>36900</v>
      </c>
      <c r="K490" s="7">
        <v>22</v>
      </c>
      <c r="L490" s="7" t="s">
        <v>33</v>
      </c>
      <c r="M490" s="7">
        <v>1</v>
      </c>
    </row>
    <row r="491" spans="2:13" ht="15.6" thickTop="1" thickBot="1" x14ac:dyDescent="0.35">
      <c r="B491" s="8">
        <v>489</v>
      </c>
      <c r="C491" s="9" t="s">
        <v>10</v>
      </c>
      <c r="D491" s="19">
        <v>45479</v>
      </c>
      <c r="E491" s="9" t="s">
        <v>15</v>
      </c>
      <c r="F491" s="9" t="s">
        <v>25</v>
      </c>
      <c r="G491" s="9" t="s">
        <v>29</v>
      </c>
      <c r="H491" s="9">
        <v>159</v>
      </c>
      <c r="I491" s="5">
        <v>45</v>
      </c>
      <c r="J491" s="5">
        <f t="shared" si="7"/>
        <v>7155</v>
      </c>
      <c r="K491" s="9">
        <v>13</v>
      </c>
      <c r="L491" s="9" t="s">
        <v>33</v>
      </c>
      <c r="M491" s="9">
        <v>5</v>
      </c>
    </row>
    <row r="492" spans="2:13" ht="15.6" thickTop="1" thickBot="1" x14ac:dyDescent="0.35">
      <c r="B492" s="6">
        <v>490</v>
      </c>
      <c r="C492" s="7" t="s">
        <v>10</v>
      </c>
      <c r="D492" s="18">
        <v>45480</v>
      </c>
      <c r="E492" s="7" t="s">
        <v>22</v>
      </c>
      <c r="F492" s="7" t="s">
        <v>25</v>
      </c>
      <c r="G492" s="7" t="s">
        <v>29</v>
      </c>
      <c r="H492" s="7">
        <v>46</v>
      </c>
      <c r="I492" s="5">
        <v>225</v>
      </c>
      <c r="J492" s="5">
        <f t="shared" si="7"/>
        <v>10350</v>
      </c>
      <c r="K492" s="7">
        <v>22</v>
      </c>
      <c r="L492" s="7" t="s">
        <v>34</v>
      </c>
      <c r="M492" s="7">
        <v>4</v>
      </c>
    </row>
    <row r="493" spans="2:13" ht="15.6" thickTop="1" thickBot="1" x14ac:dyDescent="0.35">
      <c r="B493" s="8">
        <v>491</v>
      </c>
      <c r="C493" s="9" t="s">
        <v>11</v>
      </c>
      <c r="D493" s="19">
        <v>45383</v>
      </c>
      <c r="E493" s="9" t="s">
        <v>14</v>
      </c>
      <c r="F493" s="9" t="s">
        <v>25</v>
      </c>
      <c r="G493" s="9" t="s">
        <v>28</v>
      </c>
      <c r="H493" s="9">
        <v>249</v>
      </c>
      <c r="I493" s="5">
        <v>225</v>
      </c>
      <c r="J493" s="5">
        <f t="shared" si="7"/>
        <v>56025</v>
      </c>
      <c r="K493" s="9">
        <v>9</v>
      </c>
      <c r="L493" s="9" t="s">
        <v>33</v>
      </c>
      <c r="M493" s="9">
        <v>4</v>
      </c>
    </row>
    <row r="494" spans="2:13" ht="15.6" thickTop="1" thickBot="1" x14ac:dyDescent="0.35">
      <c r="B494" s="6">
        <v>492</v>
      </c>
      <c r="C494" s="7" t="s">
        <v>11</v>
      </c>
      <c r="D494" s="18">
        <v>45384</v>
      </c>
      <c r="E494" s="7" t="s">
        <v>14</v>
      </c>
      <c r="F494" s="7" t="s">
        <v>25</v>
      </c>
      <c r="G494" s="7" t="s">
        <v>32</v>
      </c>
      <c r="H494" s="7">
        <v>153</v>
      </c>
      <c r="I494" s="5">
        <v>90</v>
      </c>
      <c r="J494" s="5">
        <f t="shared" si="7"/>
        <v>13770</v>
      </c>
      <c r="K494" s="7">
        <v>11</v>
      </c>
      <c r="L494" s="7" t="s">
        <v>34</v>
      </c>
      <c r="M494" s="7"/>
    </row>
    <row r="495" spans="2:13" ht="15.6" thickTop="1" thickBot="1" x14ac:dyDescent="0.35">
      <c r="B495" s="8">
        <v>493</v>
      </c>
      <c r="C495" s="9" t="s">
        <v>11</v>
      </c>
      <c r="D495" s="19">
        <v>45385</v>
      </c>
      <c r="E495" s="9" t="s">
        <v>14</v>
      </c>
      <c r="F495" s="9" t="s">
        <v>25</v>
      </c>
      <c r="G495" s="9" t="s">
        <v>30</v>
      </c>
      <c r="H495" s="9">
        <v>194</v>
      </c>
      <c r="I495" s="5">
        <v>90</v>
      </c>
      <c r="J495" s="5">
        <f t="shared" si="7"/>
        <v>17460</v>
      </c>
      <c r="K495" s="9">
        <v>18</v>
      </c>
      <c r="L495" s="9" t="s">
        <v>34</v>
      </c>
      <c r="M495" s="9"/>
    </row>
    <row r="496" spans="2:13" ht="15.6" thickTop="1" thickBot="1" x14ac:dyDescent="0.35">
      <c r="B496" s="6">
        <v>494</v>
      </c>
      <c r="C496" s="7" t="s">
        <v>10</v>
      </c>
      <c r="D496" s="18">
        <v>45386</v>
      </c>
      <c r="E496" s="7" t="s">
        <v>17</v>
      </c>
      <c r="F496" s="7" t="s">
        <v>24</v>
      </c>
      <c r="G496" s="7" t="s">
        <v>29</v>
      </c>
      <c r="H496" s="7">
        <v>120</v>
      </c>
      <c r="I496" s="5">
        <v>180</v>
      </c>
      <c r="J496" s="5">
        <f t="shared" si="7"/>
        <v>21600</v>
      </c>
      <c r="K496" s="7">
        <v>16</v>
      </c>
      <c r="L496" s="7" t="s">
        <v>34</v>
      </c>
      <c r="M496" s="7">
        <v>5</v>
      </c>
    </row>
    <row r="497" spans="2:13" ht="15.6" thickTop="1" thickBot="1" x14ac:dyDescent="0.35">
      <c r="B497" s="8">
        <v>495</v>
      </c>
      <c r="C497" s="9" t="s">
        <v>11</v>
      </c>
      <c r="D497" s="19">
        <v>45387</v>
      </c>
      <c r="E497" s="9" t="s">
        <v>15</v>
      </c>
      <c r="F497" s="9" t="s">
        <v>25</v>
      </c>
      <c r="G497" s="9" t="s">
        <v>32</v>
      </c>
      <c r="H497" s="9">
        <v>149</v>
      </c>
      <c r="I497" s="5">
        <v>225</v>
      </c>
      <c r="J497" s="5">
        <f t="shared" si="7"/>
        <v>33525</v>
      </c>
      <c r="K497" s="9">
        <v>18</v>
      </c>
      <c r="L497" s="9" t="s">
        <v>34</v>
      </c>
      <c r="M497" s="9"/>
    </row>
    <row r="498" spans="2:13" ht="15.6" thickTop="1" thickBot="1" x14ac:dyDescent="0.35">
      <c r="B498" s="6">
        <v>496</v>
      </c>
      <c r="C498" s="7" t="s">
        <v>11</v>
      </c>
      <c r="D498" s="18">
        <v>45388</v>
      </c>
      <c r="E498" s="7" t="s">
        <v>17</v>
      </c>
      <c r="F498" s="7" t="s">
        <v>24</v>
      </c>
      <c r="G498" s="7" t="s">
        <v>30</v>
      </c>
      <c r="H498" s="7">
        <v>55</v>
      </c>
      <c r="I498" s="5">
        <v>225</v>
      </c>
      <c r="J498" s="5">
        <f t="shared" si="7"/>
        <v>12375</v>
      </c>
      <c r="K498" s="7">
        <v>11</v>
      </c>
      <c r="L498" s="7" t="s">
        <v>34</v>
      </c>
      <c r="M498" s="7">
        <v>4</v>
      </c>
    </row>
    <row r="499" spans="2:13" ht="15.6" thickTop="1" thickBot="1" x14ac:dyDescent="0.35">
      <c r="B499" s="8">
        <v>497</v>
      </c>
      <c r="C499" s="9" t="s">
        <v>10</v>
      </c>
      <c r="D499" s="19">
        <v>45389</v>
      </c>
      <c r="E499" s="9" t="s">
        <v>20</v>
      </c>
      <c r="F499" s="9" t="s">
        <v>20</v>
      </c>
      <c r="G499" s="9" t="s">
        <v>31</v>
      </c>
      <c r="H499" s="9">
        <v>117</v>
      </c>
      <c r="I499" s="5">
        <v>135</v>
      </c>
      <c r="J499" s="5">
        <f t="shared" si="7"/>
        <v>15795</v>
      </c>
      <c r="K499" s="9">
        <v>18</v>
      </c>
      <c r="L499" s="9" t="s">
        <v>33</v>
      </c>
      <c r="M499" s="9">
        <v>5</v>
      </c>
    </row>
    <row r="500" spans="2:13" ht="15.6" thickTop="1" thickBot="1" x14ac:dyDescent="0.35">
      <c r="B500" s="6">
        <v>498</v>
      </c>
      <c r="C500" s="7" t="s">
        <v>10</v>
      </c>
      <c r="D500" s="18">
        <v>45390</v>
      </c>
      <c r="E500" s="7" t="s">
        <v>18</v>
      </c>
      <c r="F500" s="7" t="s">
        <v>27</v>
      </c>
      <c r="G500" s="7" t="s">
        <v>28</v>
      </c>
      <c r="H500" s="7">
        <v>165</v>
      </c>
      <c r="I500" s="5">
        <v>135</v>
      </c>
      <c r="J500" s="5">
        <f t="shared" si="7"/>
        <v>22275</v>
      </c>
      <c r="K500" s="7">
        <v>22</v>
      </c>
      <c r="L500" s="7" t="s">
        <v>33</v>
      </c>
      <c r="M500" s="7">
        <v>1</v>
      </c>
    </row>
    <row r="501" spans="2:13" ht="15.6" thickTop="1" thickBot="1" x14ac:dyDescent="0.35">
      <c r="B501" s="8">
        <v>499</v>
      </c>
      <c r="C501" s="9" t="s">
        <v>10</v>
      </c>
      <c r="D501" s="19">
        <v>45391</v>
      </c>
      <c r="E501" s="9" t="s">
        <v>14</v>
      </c>
      <c r="F501" s="9" t="s">
        <v>25</v>
      </c>
      <c r="G501" s="9" t="s">
        <v>28</v>
      </c>
      <c r="H501" s="9">
        <v>69</v>
      </c>
      <c r="I501" s="5">
        <v>180</v>
      </c>
      <c r="J501" s="5">
        <f t="shared" si="7"/>
        <v>12420</v>
      </c>
      <c r="K501" s="9">
        <v>13</v>
      </c>
      <c r="L501" s="9" t="s">
        <v>34</v>
      </c>
      <c r="M501" s="9">
        <v>2</v>
      </c>
    </row>
    <row r="502" spans="2:13" ht="15.6" thickTop="1" thickBot="1" x14ac:dyDescent="0.35">
      <c r="B502" s="6">
        <v>500</v>
      </c>
      <c r="C502" s="7" t="s">
        <v>10</v>
      </c>
      <c r="D502" s="18">
        <v>45392</v>
      </c>
      <c r="E502" s="7" t="s">
        <v>13</v>
      </c>
      <c r="F502" s="7" t="s">
        <v>24</v>
      </c>
      <c r="G502" s="7" t="s">
        <v>28</v>
      </c>
      <c r="H502" s="7">
        <v>140</v>
      </c>
      <c r="I502" s="5">
        <v>135</v>
      </c>
      <c r="J502" s="5">
        <f t="shared" si="7"/>
        <v>18900</v>
      </c>
      <c r="K502" s="7">
        <v>15</v>
      </c>
      <c r="L502" s="7" t="s">
        <v>33</v>
      </c>
      <c r="M502" s="7">
        <v>5</v>
      </c>
    </row>
    <row r="503" spans="2:13" ht="15.6" thickTop="1" thickBot="1" x14ac:dyDescent="0.35">
      <c r="B503" s="8">
        <v>501</v>
      </c>
      <c r="C503" s="9" t="s">
        <v>10</v>
      </c>
      <c r="D503" s="19">
        <v>45393</v>
      </c>
      <c r="E503" s="9" t="s">
        <v>20</v>
      </c>
      <c r="F503" s="9" t="s">
        <v>20</v>
      </c>
      <c r="G503" s="9" t="s">
        <v>32</v>
      </c>
      <c r="H503" s="9">
        <v>248</v>
      </c>
      <c r="I503" s="5">
        <v>225</v>
      </c>
      <c r="J503" s="5">
        <f t="shared" si="7"/>
        <v>55800</v>
      </c>
      <c r="K503" s="9">
        <v>21</v>
      </c>
      <c r="L503" s="9" t="s">
        <v>35</v>
      </c>
      <c r="M503" s="9">
        <v>1</v>
      </c>
    </row>
    <row r="504" spans="2:13" ht="15.6" thickTop="1" thickBot="1" x14ac:dyDescent="0.35">
      <c r="B504" s="6">
        <v>502</v>
      </c>
      <c r="C504" s="7" t="s">
        <v>11</v>
      </c>
      <c r="D504" s="18">
        <v>45394</v>
      </c>
      <c r="E504" s="7" t="s">
        <v>21</v>
      </c>
      <c r="F504" s="7" t="s">
        <v>26</v>
      </c>
      <c r="G504" s="7" t="s">
        <v>28</v>
      </c>
      <c r="H504" s="7">
        <v>74</v>
      </c>
      <c r="I504" s="5">
        <v>90</v>
      </c>
      <c r="J504" s="5">
        <f t="shared" si="7"/>
        <v>6660</v>
      </c>
      <c r="K504" s="7">
        <v>16</v>
      </c>
      <c r="L504" s="7" t="s">
        <v>34</v>
      </c>
      <c r="M504" s="7">
        <v>5</v>
      </c>
    </row>
    <row r="505" spans="2:13" ht="15.6" thickTop="1" thickBot="1" x14ac:dyDescent="0.35">
      <c r="B505" s="8">
        <v>503</v>
      </c>
      <c r="C505" s="9" t="s">
        <v>10</v>
      </c>
      <c r="D505" s="19">
        <v>45395</v>
      </c>
      <c r="E505" s="9" t="s">
        <v>18</v>
      </c>
      <c r="F505" s="9" t="s">
        <v>27</v>
      </c>
      <c r="G505" s="9" t="s">
        <v>29</v>
      </c>
      <c r="H505" s="9">
        <v>156</v>
      </c>
      <c r="I505" s="5">
        <v>135</v>
      </c>
      <c r="J505" s="5">
        <f t="shared" si="7"/>
        <v>21060</v>
      </c>
      <c r="K505" s="9">
        <v>13</v>
      </c>
      <c r="L505" s="9" t="s">
        <v>33</v>
      </c>
      <c r="M505" s="9">
        <v>3</v>
      </c>
    </row>
    <row r="506" spans="2:13" ht="15.6" thickTop="1" thickBot="1" x14ac:dyDescent="0.35">
      <c r="B506" s="6">
        <v>504</v>
      </c>
      <c r="C506" s="7" t="s">
        <v>11</v>
      </c>
      <c r="D506" s="18">
        <v>45396</v>
      </c>
      <c r="E506" s="7" t="s">
        <v>22</v>
      </c>
      <c r="F506" s="7" t="s">
        <v>25</v>
      </c>
      <c r="G506" s="7" t="s">
        <v>28</v>
      </c>
      <c r="H506" s="7">
        <v>38</v>
      </c>
      <c r="I506" s="5">
        <v>225</v>
      </c>
      <c r="J506" s="5">
        <f t="shared" si="7"/>
        <v>8550</v>
      </c>
      <c r="K506" s="7">
        <v>7</v>
      </c>
      <c r="L506" s="7" t="s">
        <v>33</v>
      </c>
      <c r="M506" s="7">
        <v>3</v>
      </c>
    </row>
    <row r="507" spans="2:13" ht="15.6" thickTop="1" thickBot="1" x14ac:dyDescent="0.35">
      <c r="B507" s="8">
        <v>505</v>
      </c>
      <c r="C507" s="9" t="s">
        <v>11</v>
      </c>
      <c r="D507" s="19">
        <v>45397</v>
      </c>
      <c r="E507" s="9" t="s">
        <v>13</v>
      </c>
      <c r="F507" s="9" t="s">
        <v>24</v>
      </c>
      <c r="G507" s="9" t="s">
        <v>28</v>
      </c>
      <c r="H507" s="9">
        <v>219</v>
      </c>
      <c r="I507" s="5">
        <v>90</v>
      </c>
      <c r="J507" s="5">
        <f t="shared" si="7"/>
        <v>19710</v>
      </c>
      <c r="K507" s="9">
        <v>19</v>
      </c>
      <c r="L507" s="9" t="s">
        <v>35</v>
      </c>
      <c r="M507" s="9">
        <v>4</v>
      </c>
    </row>
    <row r="508" spans="2:13" ht="15.6" thickTop="1" thickBot="1" x14ac:dyDescent="0.35">
      <c r="B508" s="6">
        <v>506</v>
      </c>
      <c r="C508" s="7" t="s">
        <v>10</v>
      </c>
      <c r="D508" s="18">
        <v>45398</v>
      </c>
      <c r="E508" s="7" t="s">
        <v>22</v>
      </c>
      <c r="F508" s="7" t="s">
        <v>25</v>
      </c>
      <c r="G508" s="7" t="s">
        <v>32</v>
      </c>
      <c r="H508" s="7">
        <v>147</v>
      </c>
      <c r="I508" s="5">
        <v>135</v>
      </c>
      <c r="J508" s="5">
        <f t="shared" si="7"/>
        <v>19845</v>
      </c>
      <c r="K508" s="7">
        <v>12</v>
      </c>
      <c r="L508" s="7" t="s">
        <v>34</v>
      </c>
      <c r="M508" s="7">
        <v>2</v>
      </c>
    </row>
    <row r="509" spans="2:13" ht="15.6" thickTop="1" thickBot="1" x14ac:dyDescent="0.35">
      <c r="B509" s="8">
        <v>507</v>
      </c>
      <c r="C509" s="9" t="s">
        <v>10</v>
      </c>
      <c r="D509" s="19">
        <v>45399</v>
      </c>
      <c r="E509" s="9" t="s">
        <v>18</v>
      </c>
      <c r="F509" s="9" t="s">
        <v>27</v>
      </c>
      <c r="G509" s="9" t="s">
        <v>30</v>
      </c>
      <c r="H509" s="9">
        <v>182</v>
      </c>
      <c r="I509" s="5">
        <v>225</v>
      </c>
      <c r="J509" s="5">
        <f t="shared" si="7"/>
        <v>40950</v>
      </c>
      <c r="K509" s="9">
        <v>25</v>
      </c>
      <c r="L509" s="9" t="s">
        <v>35</v>
      </c>
      <c r="M509" s="9">
        <v>5</v>
      </c>
    </row>
    <row r="510" spans="2:13" ht="15.6" thickTop="1" thickBot="1" x14ac:dyDescent="0.35">
      <c r="B510" s="6">
        <v>508</v>
      </c>
      <c r="C510" s="7" t="s">
        <v>10</v>
      </c>
      <c r="D510" s="18">
        <v>45400</v>
      </c>
      <c r="E510" s="7" t="s">
        <v>21</v>
      </c>
      <c r="F510" s="7" t="s">
        <v>26</v>
      </c>
      <c r="G510" s="7" t="s">
        <v>32</v>
      </c>
      <c r="H510" s="7">
        <v>167</v>
      </c>
      <c r="I510" s="5">
        <v>135</v>
      </c>
      <c r="J510" s="5">
        <f t="shared" si="7"/>
        <v>22545</v>
      </c>
      <c r="K510" s="7">
        <v>14</v>
      </c>
      <c r="L510" s="7" t="s">
        <v>35</v>
      </c>
      <c r="M510" s="7">
        <v>2</v>
      </c>
    </row>
    <row r="511" spans="2:13" ht="15.6" thickTop="1" thickBot="1" x14ac:dyDescent="0.35">
      <c r="B511" s="8">
        <v>509</v>
      </c>
      <c r="C511" s="9" t="s">
        <v>11</v>
      </c>
      <c r="D511" s="19">
        <v>45401</v>
      </c>
      <c r="E511" s="9" t="s">
        <v>20</v>
      </c>
      <c r="F511" s="9" t="s">
        <v>20</v>
      </c>
      <c r="G511" s="9" t="s">
        <v>30</v>
      </c>
      <c r="H511" s="9">
        <v>150</v>
      </c>
      <c r="I511" s="5">
        <v>180</v>
      </c>
      <c r="J511" s="5">
        <f t="shared" si="7"/>
        <v>27000</v>
      </c>
      <c r="K511" s="9">
        <v>17</v>
      </c>
      <c r="L511" s="9" t="s">
        <v>34</v>
      </c>
      <c r="M511" s="9"/>
    </row>
    <row r="512" spans="2:13" ht="15.6" thickTop="1" thickBot="1" x14ac:dyDescent="0.35">
      <c r="B512" s="6">
        <v>510</v>
      </c>
      <c r="C512" s="7" t="s">
        <v>10</v>
      </c>
      <c r="D512" s="18">
        <v>45402</v>
      </c>
      <c r="E512" s="7" t="s">
        <v>19</v>
      </c>
      <c r="F512" s="7" t="s">
        <v>23</v>
      </c>
      <c r="G512" s="7" t="s">
        <v>32</v>
      </c>
      <c r="H512" s="7">
        <v>61</v>
      </c>
      <c r="I512" s="5">
        <v>135</v>
      </c>
      <c r="J512" s="5">
        <f t="shared" si="7"/>
        <v>8235</v>
      </c>
      <c r="K512" s="7">
        <v>15</v>
      </c>
      <c r="L512" s="7" t="s">
        <v>33</v>
      </c>
      <c r="M512" s="7">
        <v>5</v>
      </c>
    </row>
    <row r="513" spans="2:13" ht="15.6" thickTop="1" thickBot="1" x14ac:dyDescent="0.35">
      <c r="B513" s="8">
        <v>511</v>
      </c>
      <c r="C513" s="9" t="s">
        <v>11</v>
      </c>
      <c r="D513" s="19">
        <v>45403</v>
      </c>
      <c r="E513" s="9" t="s">
        <v>13</v>
      </c>
      <c r="F513" s="9" t="s">
        <v>24</v>
      </c>
      <c r="G513" s="9" t="s">
        <v>31</v>
      </c>
      <c r="H513" s="9">
        <v>132</v>
      </c>
      <c r="I513" s="5">
        <v>180</v>
      </c>
      <c r="J513" s="5">
        <f t="shared" si="7"/>
        <v>23760</v>
      </c>
      <c r="K513" s="9">
        <v>12</v>
      </c>
      <c r="L513" s="9" t="s">
        <v>35</v>
      </c>
      <c r="M513" s="9">
        <v>4</v>
      </c>
    </row>
    <row r="514" spans="2:13" ht="15.6" thickTop="1" thickBot="1" x14ac:dyDescent="0.35">
      <c r="B514" s="6">
        <v>512</v>
      </c>
      <c r="C514" s="7" t="s">
        <v>10</v>
      </c>
      <c r="D514" s="18">
        <v>45404</v>
      </c>
      <c r="E514" s="7" t="s">
        <v>14</v>
      </c>
      <c r="F514" s="7" t="s">
        <v>25</v>
      </c>
      <c r="G514" s="7" t="s">
        <v>28</v>
      </c>
      <c r="H514" s="7">
        <v>161</v>
      </c>
      <c r="I514" s="5">
        <v>135</v>
      </c>
      <c r="J514" s="5">
        <f t="shared" si="7"/>
        <v>21735</v>
      </c>
      <c r="K514" s="7">
        <v>16</v>
      </c>
      <c r="L514" s="7" t="s">
        <v>33</v>
      </c>
      <c r="M514" s="7">
        <v>1</v>
      </c>
    </row>
    <row r="515" spans="2:13" ht="15.6" thickTop="1" thickBot="1" x14ac:dyDescent="0.35">
      <c r="B515" s="8">
        <v>513</v>
      </c>
      <c r="C515" s="9" t="s">
        <v>11</v>
      </c>
      <c r="D515" s="19">
        <v>45405</v>
      </c>
      <c r="E515" s="9" t="s">
        <v>17</v>
      </c>
      <c r="F515" s="9" t="s">
        <v>24</v>
      </c>
      <c r="G515" s="9" t="s">
        <v>30</v>
      </c>
      <c r="H515" s="9">
        <v>112</v>
      </c>
      <c r="I515" s="5">
        <v>45</v>
      </c>
      <c r="J515" s="5">
        <f t="shared" si="7"/>
        <v>5040</v>
      </c>
      <c r="K515" s="9">
        <v>13</v>
      </c>
      <c r="L515" s="9" t="s">
        <v>33</v>
      </c>
      <c r="M515" s="9">
        <v>1</v>
      </c>
    </row>
    <row r="516" spans="2:13" ht="15.6" thickTop="1" thickBot="1" x14ac:dyDescent="0.35">
      <c r="B516" s="6">
        <v>514</v>
      </c>
      <c r="C516" s="7" t="s">
        <v>11</v>
      </c>
      <c r="D516" s="18">
        <v>45406</v>
      </c>
      <c r="E516" s="7" t="s">
        <v>19</v>
      </c>
      <c r="F516" s="7" t="s">
        <v>23</v>
      </c>
      <c r="G516" s="7" t="s">
        <v>32</v>
      </c>
      <c r="H516" s="7">
        <v>56</v>
      </c>
      <c r="I516" s="5">
        <v>225</v>
      </c>
      <c r="J516" s="5">
        <f t="shared" ref="J516:J579" si="8">H516*I516</f>
        <v>12600</v>
      </c>
      <c r="K516" s="7">
        <v>8</v>
      </c>
      <c r="L516" s="7" t="s">
        <v>35</v>
      </c>
      <c r="M516" s="7">
        <v>4</v>
      </c>
    </row>
    <row r="517" spans="2:13" ht="15.6" thickTop="1" thickBot="1" x14ac:dyDescent="0.35">
      <c r="B517" s="8">
        <v>515</v>
      </c>
      <c r="C517" s="9" t="s">
        <v>10</v>
      </c>
      <c r="D517" s="19">
        <v>45407</v>
      </c>
      <c r="E517" s="9" t="s">
        <v>12</v>
      </c>
      <c r="F517" s="9" t="s">
        <v>23</v>
      </c>
      <c r="G517" s="9" t="s">
        <v>30</v>
      </c>
      <c r="H517" s="9">
        <v>209</v>
      </c>
      <c r="I517" s="5">
        <v>90</v>
      </c>
      <c r="J517" s="5">
        <f t="shared" si="8"/>
        <v>18810</v>
      </c>
      <c r="K517" s="9">
        <v>13</v>
      </c>
      <c r="L517" s="9" t="s">
        <v>35</v>
      </c>
      <c r="M517" s="9">
        <v>3</v>
      </c>
    </row>
    <row r="518" spans="2:13" ht="15.6" thickTop="1" thickBot="1" x14ac:dyDescent="0.35">
      <c r="B518" s="6">
        <v>516</v>
      </c>
      <c r="C518" s="7" t="s">
        <v>11</v>
      </c>
      <c r="D518" s="18">
        <v>45408</v>
      </c>
      <c r="E518" s="7" t="s">
        <v>13</v>
      </c>
      <c r="F518" s="7" t="s">
        <v>24</v>
      </c>
      <c r="G518" s="7" t="s">
        <v>31</v>
      </c>
      <c r="H518" s="7">
        <v>235</v>
      </c>
      <c r="I518" s="5">
        <v>135</v>
      </c>
      <c r="J518" s="5">
        <f t="shared" si="8"/>
        <v>31725</v>
      </c>
      <c r="K518" s="7">
        <v>14</v>
      </c>
      <c r="L518" s="7" t="s">
        <v>33</v>
      </c>
      <c r="M518" s="7">
        <v>1</v>
      </c>
    </row>
    <row r="519" spans="2:13" ht="15.6" thickTop="1" thickBot="1" x14ac:dyDescent="0.35">
      <c r="B519" s="8">
        <v>517</v>
      </c>
      <c r="C519" s="9" t="s">
        <v>11</v>
      </c>
      <c r="D519" s="19">
        <v>45409</v>
      </c>
      <c r="E519" s="9" t="s">
        <v>19</v>
      </c>
      <c r="F519" s="9" t="s">
        <v>23</v>
      </c>
      <c r="G519" s="9" t="s">
        <v>28</v>
      </c>
      <c r="H519" s="9">
        <v>108</v>
      </c>
      <c r="I519" s="5">
        <v>225</v>
      </c>
      <c r="J519" s="5">
        <f t="shared" si="8"/>
        <v>24300</v>
      </c>
      <c r="K519" s="9">
        <v>13</v>
      </c>
      <c r="L519" s="9" t="s">
        <v>33</v>
      </c>
      <c r="M519" s="9">
        <v>1</v>
      </c>
    </row>
    <row r="520" spans="2:13" ht="15.6" thickTop="1" thickBot="1" x14ac:dyDescent="0.35">
      <c r="B520" s="6">
        <v>518</v>
      </c>
      <c r="C520" s="7" t="s">
        <v>10</v>
      </c>
      <c r="D520" s="18">
        <v>45410</v>
      </c>
      <c r="E520" s="7" t="s">
        <v>19</v>
      </c>
      <c r="F520" s="7" t="s">
        <v>23</v>
      </c>
      <c r="G520" s="7" t="s">
        <v>31</v>
      </c>
      <c r="H520" s="7">
        <v>98</v>
      </c>
      <c r="I520" s="5">
        <v>135</v>
      </c>
      <c r="J520" s="5">
        <f t="shared" si="8"/>
        <v>13230</v>
      </c>
      <c r="K520" s="7">
        <v>19</v>
      </c>
      <c r="L520" s="7" t="s">
        <v>35</v>
      </c>
      <c r="M520" s="7">
        <v>1</v>
      </c>
    </row>
    <row r="521" spans="2:13" ht="15.6" thickTop="1" thickBot="1" x14ac:dyDescent="0.35">
      <c r="B521" s="8">
        <v>519</v>
      </c>
      <c r="C521" s="9" t="s">
        <v>11</v>
      </c>
      <c r="D521" s="19">
        <v>45411</v>
      </c>
      <c r="E521" s="9" t="s">
        <v>17</v>
      </c>
      <c r="F521" s="9" t="s">
        <v>24</v>
      </c>
      <c r="G521" s="9" t="s">
        <v>31</v>
      </c>
      <c r="H521" s="9">
        <v>53</v>
      </c>
      <c r="I521" s="5">
        <v>135</v>
      </c>
      <c r="J521" s="5">
        <f t="shared" si="8"/>
        <v>7155</v>
      </c>
      <c r="K521" s="9">
        <v>11</v>
      </c>
      <c r="L521" s="9" t="s">
        <v>34</v>
      </c>
      <c r="M521" s="9">
        <v>1</v>
      </c>
    </row>
    <row r="522" spans="2:13" ht="15.6" thickTop="1" thickBot="1" x14ac:dyDescent="0.35">
      <c r="B522" s="6">
        <v>520</v>
      </c>
      <c r="C522" s="7" t="s">
        <v>11</v>
      </c>
      <c r="D522" s="18">
        <v>45412</v>
      </c>
      <c r="E522" s="7" t="s">
        <v>14</v>
      </c>
      <c r="F522" s="7" t="s">
        <v>25</v>
      </c>
      <c r="G522" s="7" t="s">
        <v>29</v>
      </c>
      <c r="H522" s="7">
        <v>190</v>
      </c>
      <c r="I522" s="5">
        <v>180</v>
      </c>
      <c r="J522" s="5">
        <f t="shared" si="8"/>
        <v>34200</v>
      </c>
      <c r="K522" s="7">
        <v>19</v>
      </c>
      <c r="L522" s="7" t="s">
        <v>35</v>
      </c>
      <c r="M522" s="7">
        <v>2</v>
      </c>
    </row>
    <row r="523" spans="2:13" ht="15.6" thickTop="1" thickBot="1" x14ac:dyDescent="0.35">
      <c r="B523" s="8">
        <v>521</v>
      </c>
      <c r="C523" s="9" t="s">
        <v>11</v>
      </c>
      <c r="D523" s="19">
        <v>45413</v>
      </c>
      <c r="E523" s="9" t="s">
        <v>18</v>
      </c>
      <c r="F523" s="9" t="s">
        <v>27</v>
      </c>
      <c r="G523" s="9" t="s">
        <v>29</v>
      </c>
      <c r="H523" s="9">
        <v>177</v>
      </c>
      <c r="I523" s="5">
        <v>45</v>
      </c>
      <c r="J523" s="5">
        <f t="shared" si="8"/>
        <v>7965</v>
      </c>
      <c r="K523" s="9">
        <v>7</v>
      </c>
      <c r="L523" s="9" t="s">
        <v>35</v>
      </c>
      <c r="M523" s="9">
        <v>2</v>
      </c>
    </row>
    <row r="524" spans="2:13" ht="15.6" thickTop="1" thickBot="1" x14ac:dyDescent="0.35">
      <c r="B524" s="6">
        <v>522</v>
      </c>
      <c r="C524" s="7" t="s">
        <v>10</v>
      </c>
      <c r="D524" s="18">
        <v>45414</v>
      </c>
      <c r="E524" s="7" t="s">
        <v>12</v>
      </c>
      <c r="F524" s="7" t="s">
        <v>23</v>
      </c>
      <c r="G524" s="7" t="s">
        <v>31</v>
      </c>
      <c r="H524" s="7">
        <v>175</v>
      </c>
      <c r="I524" s="5">
        <v>225</v>
      </c>
      <c r="J524" s="5">
        <f t="shared" si="8"/>
        <v>39375</v>
      </c>
      <c r="K524" s="7">
        <v>18</v>
      </c>
      <c r="L524" s="7" t="s">
        <v>34</v>
      </c>
      <c r="M524" s="7"/>
    </row>
    <row r="525" spans="2:13" ht="15.6" thickTop="1" thickBot="1" x14ac:dyDescent="0.35">
      <c r="B525" s="8">
        <v>523</v>
      </c>
      <c r="C525" s="9" t="s">
        <v>10</v>
      </c>
      <c r="D525" s="19">
        <v>45415</v>
      </c>
      <c r="E525" s="9" t="s">
        <v>19</v>
      </c>
      <c r="F525" s="9" t="s">
        <v>23</v>
      </c>
      <c r="G525" s="9" t="s">
        <v>32</v>
      </c>
      <c r="H525" s="9">
        <v>226</v>
      </c>
      <c r="I525" s="5">
        <v>225</v>
      </c>
      <c r="J525" s="5">
        <f t="shared" si="8"/>
        <v>50850</v>
      </c>
      <c r="K525" s="9">
        <v>20</v>
      </c>
      <c r="L525" s="9" t="s">
        <v>35</v>
      </c>
      <c r="M525" s="9">
        <v>2</v>
      </c>
    </row>
    <row r="526" spans="2:13" ht="15.6" thickTop="1" thickBot="1" x14ac:dyDescent="0.35">
      <c r="B526" s="6">
        <v>524</v>
      </c>
      <c r="C526" s="7" t="s">
        <v>11</v>
      </c>
      <c r="D526" s="18">
        <v>45416</v>
      </c>
      <c r="E526" s="7" t="s">
        <v>12</v>
      </c>
      <c r="F526" s="7" t="s">
        <v>23</v>
      </c>
      <c r="G526" s="7" t="s">
        <v>31</v>
      </c>
      <c r="H526" s="7">
        <v>67</v>
      </c>
      <c r="I526" s="5">
        <v>45</v>
      </c>
      <c r="J526" s="5">
        <f t="shared" si="8"/>
        <v>3015</v>
      </c>
      <c r="K526" s="7">
        <v>12</v>
      </c>
      <c r="L526" s="7" t="s">
        <v>35</v>
      </c>
      <c r="M526" s="7">
        <v>4</v>
      </c>
    </row>
    <row r="527" spans="2:13" ht="15.6" thickTop="1" thickBot="1" x14ac:dyDescent="0.35">
      <c r="B527" s="8">
        <v>525</v>
      </c>
      <c r="C527" s="9" t="s">
        <v>11</v>
      </c>
      <c r="D527" s="19">
        <v>45417</v>
      </c>
      <c r="E527" s="9" t="s">
        <v>15</v>
      </c>
      <c r="F527" s="9" t="s">
        <v>25</v>
      </c>
      <c r="G527" s="9" t="s">
        <v>30</v>
      </c>
      <c r="H527" s="9">
        <v>32</v>
      </c>
      <c r="I527" s="5">
        <v>90</v>
      </c>
      <c r="J527" s="5">
        <f t="shared" si="8"/>
        <v>2880</v>
      </c>
      <c r="K527" s="9">
        <v>8</v>
      </c>
      <c r="L527" s="9" t="s">
        <v>33</v>
      </c>
      <c r="M527" s="9">
        <v>3</v>
      </c>
    </row>
    <row r="528" spans="2:13" ht="15.6" thickTop="1" thickBot="1" x14ac:dyDescent="0.35">
      <c r="B528" s="6">
        <v>526</v>
      </c>
      <c r="C528" s="7" t="s">
        <v>10</v>
      </c>
      <c r="D528" s="18">
        <v>45418</v>
      </c>
      <c r="E528" s="7" t="s">
        <v>22</v>
      </c>
      <c r="F528" s="7" t="s">
        <v>25</v>
      </c>
      <c r="G528" s="7" t="s">
        <v>28</v>
      </c>
      <c r="H528" s="7">
        <v>33</v>
      </c>
      <c r="I528" s="5">
        <v>135</v>
      </c>
      <c r="J528" s="5">
        <f t="shared" si="8"/>
        <v>4455</v>
      </c>
      <c r="K528" s="7">
        <v>20</v>
      </c>
      <c r="L528" s="7" t="s">
        <v>33</v>
      </c>
      <c r="M528" s="7">
        <v>4</v>
      </c>
    </row>
    <row r="529" spans="2:13" ht="15.6" thickTop="1" thickBot="1" x14ac:dyDescent="0.35">
      <c r="B529" s="8">
        <v>527</v>
      </c>
      <c r="C529" s="9" t="s">
        <v>11</v>
      </c>
      <c r="D529" s="19">
        <v>45419</v>
      </c>
      <c r="E529" s="9" t="s">
        <v>19</v>
      </c>
      <c r="F529" s="9" t="s">
        <v>23</v>
      </c>
      <c r="G529" s="9" t="s">
        <v>31</v>
      </c>
      <c r="H529" s="9">
        <v>37</v>
      </c>
      <c r="I529" s="5">
        <v>90</v>
      </c>
      <c r="J529" s="5">
        <f t="shared" si="8"/>
        <v>3330</v>
      </c>
      <c r="K529" s="9">
        <v>7</v>
      </c>
      <c r="L529" s="9" t="s">
        <v>34</v>
      </c>
      <c r="M529" s="9">
        <v>3</v>
      </c>
    </row>
    <row r="530" spans="2:13" ht="15.6" thickTop="1" thickBot="1" x14ac:dyDescent="0.35">
      <c r="B530" s="6">
        <v>528</v>
      </c>
      <c r="C530" s="7" t="s">
        <v>11</v>
      </c>
      <c r="D530" s="18">
        <v>45420</v>
      </c>
      <c r="E530" s="7" t="s">
        <v>19</v>
      </c>
      <c r="F530" s="7" t="s">
        <v>23</v>
      </c>
      <c r="G530" s="7" t="s">
        <v>30</v>
      </c>
      <c r="H530" s="7">
        <v>53</v>
      </c>
      <c r="I530" s="5">
        <v>180</v>
      </c>
      <c r="J530" s="5">
        <f t="shared" si="8"/>
        <v>9540</v>
      </c>
      <c r="K530" s="7">
        <v>8</v>
      </c>
      <c r="L530" s="7" t="s">
        <v>35</v>
      </c>
      <c r="M530" s="7">
        <v>4</v>
      </c>
    </row>
    <row r="531" spans="2:13" ht="15.6" thickTop="1" thickBot="1" x14ac:dyDescent="0.35">
      <c r="B531" s="8">
        <v>529</v>
      </c>
      <c r="C531" s="9" t="s">
        <v>10</v>
      </c>
      <c r="D531" s="19">
        <v>45421</v>
      </c>
      <c r="E531" s="9" t="s">
        <v>16</v>
      </c>
      <c r="F531" s="9" t="s">
        <v>26</v>
      </c>
      <c r="G531" s="9" t="s">
        <v>29</v>
      </c>
      <c r="H531" s="9">
        <v>201</v>
      </c>
      <c r="I531" s="5">
        <v>225</v>
      </c>
      <c r="J531" s="5">
        <f t="shared" si="8"/>
        <v>45225</v>
      </c>
      <c r="K531" s="9">
        <v>23</v>
      </c>
      <c r="L531" s="9" t="s">
        <v>34</v>
      </c>
      <c r="M531" s="9"/>
    </row>
    <row r="532" spans="2:13" ht="15.6" thickTop="1" thickBot="1" x14ac:dyDescent="0.35">
      <c r="B532" s="6">
        <v>530</v>
      </c>
      <c r="C532" s="7" t="s">
        <v>11</v>
      </c>
      <c r="D532" s="18">
        <v>45422</v>
      </c>
      <c r="E532" s="7" t="s">
        <v>13</v>
      </c>
      <c r="F532" s="7" t="s">
        <v>24</v>
      </c>
      <c r="G532" s="7" t="s">
        <v>28</v>
      </c>
      <c r="H532" s="7">
        <v>61</v>
      </c>
      <c r="I532" s="5">
        <v>135</v>
      </c>
      <c r="J532" s="5">
        <f t="shared" si="8"/>
        <v>8235</v>
      </c>
      <c r="K532" s="7">
        <v>8</v>
      </c>
      <c r="L532" s="7" t="s">
        <v>33</v>
      </c>
      <c r="M532" s="7">
        <v>5</v>
      </c>
    </row>
    <row r="533" spans="2:13" ht="15.6" thickTop="1" thickBot="1" x14ac:dyDescent="0.35">
      <c r="B533" s="8">
        <v>531</v>
      </c>
      <c r="C533" s="9" t="s">
        <v>11</v>
      </c>
      <c r="D533" s="19">
        <v>45423</v>
      </c>
      <c r="E533" s="9" t="s">
        <v>14</v>
      </c>
      <c r="F533" s="9" t="s">
        <v>25</v>
      </c>
      <c r="G533" s="9" t="s">
        <v>31</v>
      </c>
      <c r="H533" s="9">
        <v>125</v>
      </c>
      <c r="I533" s="5">
        <v>135</v>
      </c>
      <c r="J533" s="5">
        <f t="shared" si="8"/>
        <v>16875</v>
      </c>
      <c r="K533" s="9">
        <v>12</v>
      </c>
      <c r="L533" s="9" t="s">
        <v>35</v>
      </c>
      <c r="M533" s="9">
        <v>3</v>
      </c>
    </row>
    <row r="534" spans="2:13" ht="15.6" thickTop="1" thickBot="1" x14ac:dyDescent="0.35">
      <c r="B534" s="6">
        <v>532</v>
      </c>
      <c r="C534" s="7" t="s">
        <v>11</v>
      </c>
      <c r="D534" s="18">
        <v>45424</v>
      </c>
      <c r="E534" s="7" t="s">
        <v>13</v>
      </c>
      <c r="F534" s="7" t="s">
        <v>24</v>
      </c>
      <c r="G534" s="7" t="s">
        <v>31</v>
      </c>
      <c r="H534" s="7">
        <v>249</v>
      </c>
      <c r="I534" s="5">
        <v>180</v>
      </c>
      <c r="J534" s="5">
        <f t="shared" si="8"/>
        <v>44820</v>
      </c>
      <c r="K534" s="7">
        <v>16</v>
      </c>
      <c r="L534" s="7" t="s">
        <v>35</v>
      </c>
      <c r="M534" s="7"/>
    </row>
    <row r="535" spans="2:13" ht="15.6" thickTop="1" thickBot="1" x14ac:dyDescent="0.35">
      <c r="B535" s="8">
        <v>533</v>
      </c>
      <c r="C535" s="9" t="s">
        <v>11</v>
      </c>
      <c r="D535" s="19">
        <v>45425</v>
      </c>
      <c r="E535" s="9" t="s">
        <v>19</v>
      </c>
      <c r="F535" s="9" t="s">
        <v>23</v>
      </c>
      <c r="G535" s="9" t="s">
        <v>28</v>
      </c>
      <c r="H535" s="9">
        <v>189</v>
      </c>
      <c r="I535" s="5">
        <v>90</v>
      </c>
      <c r="J535" s="5">
        <f t="shared" si="8"/>
        <v>17010</v>
      </c>
      <c r="K535" s="9">
        <v>8</v>
      </c>
      <c r="L535" s="9" t="s">
        <v>35</v>
      </c>
      <c r="M535" s="9">
        <v>3</v>
      </c>
    </row>
    <row r="536" spans="2:13" ht="15.6" thickTop="1" thickBot="1" x14ac:dyDescent="0.35">
      <c r="B536" s="6">
        <v>534</v>
      </c>
      <c r="C536" s="7" t="s">
        <v>10</v>
      </c>
      <c r="D536" s="18">
        <v>45426</v>
      </c>
      <c r="E536" s="7" t="s">
        <v>22</v>
      </c>
      <c r="F536" s="7" t="s">
        <v>25</v>
      </c>
      <c r="G536" s="7" t="s">
        <v>30</v>
      </c>
      <c r="H536" s="7">
        <v>205</v>
      </c>
      <c r="I536" s="5">
        <v>180</v>
      </c>
      <c r="J536" s="5">
        <f t="shared" si="8"/>
        <v>36900</v>
      </c>
      <c r="K536" s="7">
        <v>15</v>
      </c>
      <c r="L536" s="7" t="s">
        <v>35</v>
      </c>
      <c r="M536" s="7">
        <v>1</v>
      </c>
    </row>
    <row r="537" spans="2:13" ht="15.6" thickTop="1" thickBot="1" x14ac:dyDescent="0.35">
      <c r="B537" s="8">
        <v>535</v>
      </c>
      <c r="C537" s="9" t="s">
        <v>10</v>
      </c>
      <c r="D537" s="19">
        <v>45427</v>
      </c>
      <c r="E537" s="9" t="s">
        <v>19</v>
      </c>
      <c r="F537" s="9" t="s">
        <v>23</v>
      </c>
      <c r="G537" s="9" t="s">
        <v>28</v>
      </c>
      <c r="H537" s="9">
        <v>81</v>
      </c>
      <c r="I537" s="5">
        <v>45</v>
      </c>
      <c r="J537" s="5">
        <f t="shared" si="8"/>
        <v>3645</v>
      </c>
      <c r="K537" s="9">
        <v>21</v>
      </c>
      <c r="L537" s="9" t="s">
        <v>33</v>
      </c>
      <c r="M537" s="9">
        <v>3</v>
      </c>
    </row>
    <row r="538" spans="2:13" ht="15.6" thickTop="1" thickBot="1" x14ac:dyDescent="0.35">
      <c r="B538" s="6">
        <v>536</v>
      </c>
      <c r="C538" s="7" t="s">
        <v>11</v>
      </c>
      <c r="D538" s="18">
        <v>45428</v>
      </c>
      <c r="E538" s="7" t="s">
        <v>22</v>
      </c>
      <c r="F538" s="7" t="s">
        <v>25</v>
      </c>
      <c r="G538" s="7" t="s">
        <v>29</v>
      </c>
      <c r="H538" s="7">
        <v>241</v>
      </c>
      <c r="I538" s="5">
        <v>90</v>
      </c>
      <c r="J538" s="5">
        <f t="shared" si="8"/>
        <v>21690</v>
      </c>
      <c r="K538" s="7">
        <v>10</v>
      </c>
      <c r="L538" s="7" t="s">
        <v>35</v>
      </c>
      <c r="M538" s="7">
        <v>5</v>
      </c>
    </row>
    <row r="539" spans="2:13" ht="15.6" thickTop="1" thickBot="1" x14ac:dyDescent="0.35">
      <c r="B539" s="8">
        <v>537</v>
      </c>
      <c r="C539" s="9" t="s">
        <v>10</v>
      </c>
      <c r="D539" s="19">
        <v>45429</v>
      </c>
      <c r="E539" s="9" t="s">
        <v>15</v>
      </c>
      <c r="F539" s="9" t="s">
        <v>25</v>
      </c>
      <c r="G539" s="9" t="s">
        <v>30</v>
      </c>
      <c r="H539" s="9">
        <v>35</v>
      </c>
      <c r="I539" s="5">
        <v>90</v>
      </c>
      <c r="J539" s="5">
        <f t="shared" si="8"/>
        <v>3150</v>
      </c>
      <c r="K539" s="9">
        <v>13</v>
      </c>
      <c r="L539" s="9" t="s">
        <v>35</v>
      </c>
      <c r="M539" s="9">
        <v>3</v>
      </c>
    </row>
    <row r="540" spans="2:13" ht="15.6" thickTop="1" thickBot="1" x14ac:dyDescent="0.35">
      <c r="B540" s="6">
        <v>538</v>
      </c>
      <c r="C540" s="7" t="s">
        <v>11</v>
      </c>
      <c r="D540" s="18">
        <v>45430</v>
      </c>
      <c r="E540" s="7" t="s">
        <v>22</v>
      </c>
      <c r="F540" s="7" t="s">
        <v>25</v>
      </c>
      <c r="G540" s="7" t="s">
        <v>28</v>
      </c>
      <c r="H540" s="7">
        <v>225</v>
      </c>
      <c r="I540" s="5">
        <v>135</v>
      </c>
      <c r="J540" s="5">
        <f t="shared" si="8"/>
        <v>30375</v>
      </c>
      <c r="K540" s="7">
        <v>14</v>
      </c>
      <c r="L540" s="7" t="s">
        <v>35</v>
      </c>
      <c r="M540" s="7"/>
    </row>
    <row r="541" spans="2:13" ht="15.6" thickTop="1" thickBot="1" x14ac:dyDescent="0.35">
      <c r="B541" s="8">
        <v>539</v>
      </c>
      <c r="C541" s="9" t="s">
        <v>10</v>
      </c>
      <c r="D541" s="19">
        <v>45431</v>
      </c>
      <c r="E541" s="9" t="s">
        <v>15</v>
      </c>
      <c r="F541" s="9" t="s">
        <v>25</v>
      </c>
      <c r="G541" s="9" t="s">
        <v>28</v>
      </c>
      <c r="H541" s="9">
        <v>184</v>
      </c>
      <c r="I541" s="5">
        <v>135</v>
      </c>
      <c r="J541" s="5">
        <f t="shared" si="8"/>
        <v>24840</v>
      </c>
      <c r="K541" s="9">
        <v>18</v>
      </c>
      <c r="L541" s="9" t="s">
        <v>35</v>
      </c>
      <c r="M541" s="9"/>
    </row>
    <row r="542" spans="2:13" ht="15.6" thickTop="1" thickBot="1" x14ac:dyDescent="0.35">
      <c r="B542" s="6">
        <v>540</v>
      </c>
      <c r="C542" s="7" t="s">
        <v>10</v>
      </c>
      <c r="D542" s="18">
        <v>45432</v>
      </c>
      <c r="E542" s="7" t="s">
        <v>15</v>
      </c>
      <c r="F542" s="7" t="s">
        <v>25</v>
      </c>
      <c r="G542" s="7" t="s">
        <v>32</v>
      </c>
      <c r="H542" s="7">
        <v>138</v>
      </c>
      <c r="I542" s="5">
        <v>45</v>
      </c>
      <c r="J542" s="5">
        <f t="shared" si="8"/>
        <v>6210</v>
      </c>
      <c r="K542" s="7">
        <v>13</v>
      </c>
      <c r="L542" s="7" t="s">
        <v>34</v>
      </c>
      <c r="M542" s="7">
        <v>1</v>
      </c>
    </row>
    <row r="543" spans="2:13" ht="15.6" thickTop="1" thickBot="1" x14ac:dyDescent="0.35">
      <c r="B543" s="8">
        <v>541</v>
      </c>
      <c r="C543" s="9" t="s">
        <v>11</v>
      </c>
      <c r="D543" s="19">
        <v>45433</v>
      </c>
      <c r="E543" s="9" t="s">
        <v>17</v>
      </c>
      <c r="F543" s="9" t="s">
        <v>24</v>
      </c>
      <c r="G543" s="9" t="s">
        <v>30</v>
      </c>
      <c r="H543" s="9">
        <v>77</v>
      </c>
      <c r="I543" s="5">
        <v>180</v>
      </c>
      <c r="J543" s="5">
        <f t="shared" si="8"/>
        <v>13860</v>
      </c>
      <c r="K543" s="9">
        <v>11</v>
      </c>
      <c r="L543" s="9" t="s">
        <v>34</v>
      </c>
      <c r="M543" s="9">
        <v>4</v>
      </c>
    </row>
    <row r="544" spans="2:13" ht="15.6" thickTop="1" thickBot="1" x14ac:dyDescent="0.35">
      <c r="B544" s="6">
        <v>542</v>
      </c>
      <c r="C544" s="7" t="s">
        <v>10</v>
      </c>
      <c r="D544" s="18">
        <v>45434</v>
      </c>
      <c r="E544" s="7" t="s">
        <v>16</v>
      </c>
      <c r="F544" s="7" t="s">
        <v>26</v>
      </c>
      <c r="G544" s="7" t="s">
        <v>30</v>
      </c>
      <c r="H544" s="7">
        <v>178</v>
      </c>
      <c r="I544" s="5">
        <v>180</v>
      </c>
      <c r="J544" s="5">
        <f t="shared" si="8"/>
        <v>32040</v>
      </c>
      <c r="K544" s="7">
        <v>18</v>
      </c>
      <c r="L544" s="7" t="s">
        <v>34</v>
      </c>
      <c r="M544" s="7">
        <v>2</v>
      </c>
    </row>
    <row r="545" spans="2:13" ht="15.6" thickTop="1" thickBot="1" x14ac:dyDescent="0.35">
      <c r="B545" s="8">
        <v>543</v>
      </c>
      <c r="C545" s="9" t="s">
        <v>11</v>
      </c>
      <c r="D545" s="19">
        <v>45435</v>
      </c>
      <c r="E545" s="9" t="s">
        <v>19</v>
      </c>
      <c r="F545" s="9" t="s">
        <v>23</v>
      </c>
      <c r="G545" s="9" t="s">
        <v>28</v>
      </c>
      <c r="H545" s="9">
        <v>108</v>
      </c>
      <c r="I545" s="5">
        <v>135</v>
      </c>
      <c r="J545" s="5">
        <f t="shared" si="8"/>
        <v>14580</v>
      </c>
      <c r="K545" s="9">
        <v>10</v>
      </c>
      <c r="L545" s="9" t="s">
        <v>33</v>
      </c>
      <c r="M545" s="9">
        <v>3</v>
      </c>
    </row>
    <row r="546" spans="2:13" ht="15.6" thickTop="1" thickBot="1" x14ac:dyDescent="0.35">
      <c r="B546" s="6">
        <v>544</v>
      </c>
      <c r="C546" s="7" t="s">
        <v>10</v>
      </c>
      <c r="D546" s="18">
        <v>45436</v>
      </c>
      <c r="E546" s="7" t="s">
        <v>15</v>
      </c>
      <c r="F546" s="7" t="s">
        <v>25</v>
      </c>
      <c r="G546" s="7" t="s">
        <v>30</v>
      </c>
      <c r="H546" s="7">
        <v>79</v>
      </c>
      <c r="I546" s="5">
        <v>90</v>
      </c>
      <c r="J546" s="5">
        <f t="shared" si="8"/>
        <v>7110</v>
      </c>
      <c r="K546" s="7">
        <v>18</v>
      </c>
      <c r="L546" s="7" t="s">
        <v>33</v>
      </c>
      <c r="M546" s="7">
        <v>4</v>
      </c>
    </row>
    <row r="547" spans="2:13" ht="15.6" thickTop="1" thickBot="1" x14ac:dyDescent="0.35">
      <c r="B547" s="8">
        <v>545</v>
      </c>
      <c r="C547" s="9" t="s">
        <v>10</v>
      </c>
      <c r="D547" s="19">
        <v>45437</v>
      </c>
      <c r="E547" s="9" t="s">
        <v>17</v>
      </c>
      <c r="F547" s="9" t="s">
        <v>24</v>
      </c>
      <c r="G547" s="9" t="s">
        <v>31</v>
      </c>
      <c r="H547" s="9">
        <v>122</v>
      </c>
      <c r="I547" s="5">
        <v>45</v>
      </c>
      <c r="J547" s="5">
        <f t="shared" si="8"/>
        <v>5490</v>
      </c>
      <c r="K547" s="9">
        <v>25</v>
      </c>
      <c r="L547" s="9" t="s">
        <v>34</v>
      </c>
      <c r="M547" s="9">
        <v>2</v>
      </c>
    </row>
    <row r="548" spans="2:13" ht="15.6" thickTop="1" thickBot="1" x14ac:dyDescent="0.35">
      <c r="B548" s="6">
        <v>546</v>
      </c>
      <c r="C548" s="7" t="s">
        <v>10</v>
      </c>
      <c r="D548" s="18">
        <v>45438</v>
      </c>
      <c r="E548" s="7" t="s">
        <v>13</v>
      </c>
      <c r="F548" s="7" t="s">
        <v>24</v>
      </c>
      <c r="G548" s="7" t="s">
        <v>30</v>
      </c>
      <c r="H548" s="7">
        <v>201</v>
      </c>
      <c r="I548" s="5">
        <v>135</v>
      </c>
      <c r="J548" s="5">
        <f t="shared" si="8"/>
        <v>27135</v>
      </c>
      <c r="K548" s="7">
        <v>15</v>
      </c>
      <c r="L548" s="7" t="s">
        <v>33</v>
      </c>
      <c r="M548" s="7">
        <v>1</v>
      </c>
    </row>
    <row r="549" spans="2:13" ht="15.6" thickTop="1" thickBot="1" x14ac:dyDescent="0.35">
      <c r="B549" s="8">
        <v>547</v>
      </c>
      <c r="C549" s="9" t="s">
        <v>11</v>
      </c>
      <c r="D549" s="19">
        <v>45439</v>
      </c>
      <c r="E549" s="9" t="s">
        <v>17</v>
      </c>
      <c r="F549" s="9" t="s">
        <v>24</v>
      </c>
      <c r="G549" s="9" t="s">
        <v>30</v>
      </c>
      <c r="H549" s="9">
        <v>48</v>
      </c>
      <c r="I549" s="5">
        <v>225</v>
      </c>
      <c r="J549" s="5">
        <f t="shared" si="8"/>
        <v>10800</v>
      </c>
      <c r="K549" s="9">
        <v>16</v>
      </c>
      <c r="L549" s="9" t="s">
        <v>34</v>
      </c>
      <c r="M549" s="9">
        <v>5</v>
      </c>
    </row>
    <row r="550" spans="2:13" ht="15.6" thickTop="1" thickBot="1" x14ac:dyDescent="0.35">
      <c r="B550" s="6">
        <v>548</v>
      </c>
      <c r="C550" s="7" t="s">
        <v>11</v>
      </c>
      <c r="D550" s="18">
        <v>45440</v>
      </c>
      <c r="E550" s="7" t="s">
        <v>21</v>
      </c>
      <c r="F550" s="7" t="s">
        <v>26</v>
      </c>
      <c r="G550" s="7" t="s">
        <v>28</v>
      </c>
      <c r="H550" s="7">
        <v>65</v>
      </c>
      <c r="I550" s="5">
        <v>135</v>
      </c>
      <c r="J550" s="5">
        <f t="shared" si="8"/>
        <v>8775</v>
      </c>
      <c r="K550" s="7">
        <v>18</v>
      </c>
      <c r="L550" s="7" t="s">
        <v>33</v>
      </c>
      <c r="M550" s="7">
        <v>3</v>
      </c>
    </row>
    <row r="551" spans="2:13" ht="15.6" thickTop="1" thickBot="1" x14ac:dyDescent="0.35">
      <c r="B551" s="8">
        <v>549</v>
      </c>
      <c r="C551" s="9" t="s">
        <v>10</v>
      </c>
      <c r="D551" s="19">
        <v>45441</v>
      </c>
      <c r="E551" s="9" t="s">
        <v>17</v>
      </c>
      <c r="F551" s="9" t="s">
        <v>24</v>
      </c>
      <c r="G551" s="9" t="s">
        <v>32</v>
      </c>
      <c r="H551" s="9">
        <v>108</v>
      </c>
      <c r="I551" s="5">
        <v>135</v>
      </c>
      <c r="J551" s="5">
        <f t="shared" si="8"/>
        <v>14580</v>
      </c>
      <c r="K551" s="9">
        <v>23</v>
      </c>
      <c r="L551" s="9" t="s">
        <v>34</v>
      </c>
      <c r="M551" s="9">
        <v>4</v>
      </c>
    </row>
    <row r="552" spans="2:13" ht="15.6" thickTop="1" thickBot="1" x14ac:dyDescent="0.35">
      <c r="B552" s="6">
        <v>550</v>
      </c>
      <c r="C552" s="7" t="s">
        <v>10</v>
      </c>
      <c r="D552" s="18">
        <v>45442</v>
      </c>
      <c r="E552" s="7" t="s">
        <v>20</v>
      </c>
      <c r="F552" s="7" t="s">
        <v>20</v>
      </c>
      <c r="G552" s="7" t="s">
        <v>32</v>
      </c>
      <c r="H552" s="7">
        <v>229</v>
      </c>
      <c r="I552" s="5">
        <v>135</v>
      </c>
      <c r="J552" s="5">
        <f t="shared" si="8"/>
        <v>30915</v>
      </c>
      <c r="K552" s="7">
        <v>22</v>
      </c>
      <c r="L552" s="7" t="s">
        <v>33</v>
      </c>
      <c r="M552" s="7"/>
    </row>
    <row r="553" spans="2:13" ht="15.6" thickTop="1" thickBot="1" x14ac:dyDescent="0.35">
      <c r="B553" s="8">
        <v>551</v>
      </c>
      <c r="C553" s="9" t="s">
        <v>11</v>
      </c>
      <c r="D553" s="19">
        <v>45443</v>
      </c>
      <c r="E553" s="9" t="s">
        <v>12</v>
      </c>
      <c r="F553" s="9" t="s">
        <v>23</v>
      </c>
      <c r="G553" s="9" t="s">
        <v>28</v>
      </c>
      <c r="H553" s="9">
        <v>156</v>
      </c>
      <c r="I553" s="5">
        <v>135</v>
      </c>
      <c r="J553" s="5">
        <f t="shared" si="8"/>
        <v>21060</v>
      </c>
      <c r="K553" s="9">
        <v>12</v>
      </c>
      <c r="L553" s="9" t="s">
        <v>33</v>
      </c>
      <c r="M553" s="9">
        <v>4</v>
      </c>
    </row>
    <row r="554" spans="2:13" ht="15.6" thickTop="1" thickBot="1" x14ac:dyDescent="0.35">
      <c r="B554" s="6">
        <v>552</v>
      </c>
      <c r="C554" s="7" t="s">
        <v>11</v>
      </c>
      <c r="D554" s="18">
        <v>45444</v>
      </c>
      <c r="E554" s="7" t="s">
        <v>17</v>
      </c>
      <c r="F554" s="7" t="s">
        <v>24</v>
      </c>
      <c r="G554" s="7" t="s">
        <v>28</v>
      </c>
      <c r="H554" s="7">
        <v>195</v>
      </c>
      <c r="I554" s="5">
        <v>135</v>
      </c>
      <c r="J554" s="5">
        <f t="shared" si="8"/>
        <v>26325</v>
      </c>
      <c r="K554" s="7">
        <v>12</v>
      </c>
      <c r="L554" s="7" t="s">
        <v>34</v>
      </c>
      <c r="M554" s="7">
        <v>3</v>
      </c>
    </row>
    <row r="555" spans="2:13" ht="15.6" thickTop="1" thickBot="1" x14ac:dyDescent="0.35">
      <c r="B555" s="8">
        <v>553</v>
      </c>
      <c r="C555" s="9" t="s">
        <v>10</v>
      </c>
      <c r="D555" s="19">
        <v>45445</v>
      </c>
      <c r="E555" s="9" t="s">
        <v>15</v>
      </c>
      <c r="F555" s="9" t="s">
        <v>25</v>
      </c>
      <c r="G555" s="9" t="s">
        <v>32</v>
      </c>
      <c r="H555" s="9">
        <v>89</v>
      </c>
      <c r="I555" s="5">
        <v>180</v>
      </c>
      <c r="J555" s="5">
        <f t="shared" si="8"/>
        <v>16020</v>
      </c>
      <c r="K555" s="9">
        <v>19</v>
      </c>
      <c r="L555" s="9" t="s">
        <v>33</v>
      </c>
      <c r="M555" s="9"/>
    </row>
    <row r="556" spans="2:13" ht="15.6" thickTop="1" thickBot="1" x14ac:dyDescent="0.35">
      <c r="B556" s="6">
        <v>554</v>
      </c>
      <c r="C556" s="7" t="s">
        <v>10</v>
      </c>
      <c r="D556" s="18">
        <v>45446</v>
      </c>
      <c r="E556" s="7" t="s">
        <v>21</v>
      </c>
      <c r="F556" s="7" t="s">
        <v>26</v>
      </c>
      <c r="G556" s="7" t="s">
        <v>29</v>
      </c>
      <c r="H556" s="7">
        <v>208</v>
      </c>
      <c r="I556" s="5">
        <v>135</v>
      </c>
      <c r="J556" s="5">
        <f t="shared" si="8"/>
        <v>28080</v>
      </c>
      <c r="K556" s="7">
        <v>21</v>
      </c>
      <c r="L556" s="7" t="s">
        <v>33</v>
      </c>
      <c r="M556" s="7">
        <v>3</v>
      </c>
    </row>
    <row r="557" spans="2:13" ht="15.6" thickTop="1" thickBot="1" x14ac:dyDescent="0.35">
      <c r="B557" s="8">
        <v>555</v>
      </c>
      <c r="C557" s="9" t="s">
        <v>10</v>
      </c>
      <c r="D557" s="19">
        <v>45447</v>
      </c>
      <c r="E557" s="9" t="s">
        <v>21</v>
      </c>
      <c r="F557" s="9" t="s">
        <v>26</v>
      </c>
      <c r="G557" s="9" t="s">
        <v>28</v>
      </c>
      <c r="H557" s="9">
        <v>204</v>
      </c>
      <c r="I557" s="5">
        <v>135</v>
      </c>
      <c r="J557" s="5">
        <f t="shared" si="8"/>
        <v>27540</v>
      </c>
      <c r="K557" s="9">
        <v>10</v>
      </c>
      <c r="L557" s="9" t="s">
        <v>34</v>
      </c>
      <c r="M557" s="9">
        <v>5</v>
      </c>
    </row>
    <row r="558" spans="2:13" ht="15.6" thickTop="1" thickBot="1" x14ac:dyDescent="0.35">
      <c r="B558" s="6">
        <v>556</v>
      </c>
      <c r="C558" s="7" t="s">
        <v>11</v>
      </c>
      <c r="D558" s="18">
        <v>45448</v>
      </c>
      <c r="E558" s="7" t="s">
        <v>18</v>
      </c>
      <c r="F558" s="7" t="s">
        <v>27</v>
      </c>
      <c r="G558" s="7" t="s">
        <v>28</v>
      </c>
      <c r="H558" s="7">
        <v>248</v>
      </c>
      <c r="I558" s="5">
        <v>180</v>
      </c>
      <c r="J558" s="5">
        <f t="shared" si="8"/>
        <v>44640</v>
      </c>
      <c r="K558" s="7">
        <v>19</v>
      </c>
      <c r="L558" s="7" t="s">
        <v>34</v>
      </c>
      <c r="M558" s="7">
        <v>3</v>
      </c>
    </row>
    <row r="559" spans="2:13" ht="15.6" thickTop="1" thickBot="1" x14ac:dyDescent="0.35">
      <c r="B559" s="8">
        <v>557</v>
      </c>
      <c r="C559" s="9" t="s">
        <v>11</v>
      </c>
      <c r="D559" s="19">
        <v>45449</v>
      </c>
      <c r="E559" s="9" t="s">
        <v>17</v>
      </c>
      <c r="F559" s="9" t="s">
        <v>24</v>
      </c>
      <c r="G559" s="9" t="s">
        <v>29</v>
      </c>
      <c r="H559" s="9">
        <v>222</v>
      </c>
      <c r="I559" s="5">
        <v>180</v>
      </c>
      <c r="J559" s="5">
        <f t="shared" si="8"/>
        <v>39960</v>
      </c>
      <c r="K559" s="9">
        <v>15</v>
      </c>
      <c r="L559" s="9" t="s">
        <v>33</v>
      </c>
      <c r="M559" s="9">
        <v>3</v>
      </c>
    </row>
    <row r="560" spans="2:13" ht="15.6" thickTop="1" thickBot="1" x14ac:dyDescent="0.35">
      <c r="B560" s="6">
        <v>558</v>
      </c>
      <c r="C560" s="7" t="s">
        <v>10</v>
      </c>
      <c r="D560" s="18">
        <v>45450</v>
      </c>
      <c r="E560" s="7" t="s">
        <v>12</v>
      </c>
      <c r="F560" s="7" t="s">
        <v>23</v>
      </c>
      <c r="G560" s="7" t="s">
        <v>29</v>
      </c>
      <c r="H560" s="7">
        <v>76</v>
      </c>
      <c r="I560" s="5">
        <v>45</v>
      </c>
      <c r="J560" s="5">
        <f t="shared" si="8"/>
        <v>3420</v>
      </c>
      <c r="K560" s="7">
        <v>14</v>
      </c>
      <c r="L560" s="7" t="s">
        <v>34</v>
      </c>
      <c r="M560" s="7">
        <v>1</v>
      </c>
    </row>
    <row r="561" spans="2:13" ht="15.6" thickTop="1" thickBot="1" x14ac:dyDescent="0.35">
      <c r="B561" s="8">
        <v>559</v>
      </c>
      <c r="C561" s="9" t="s">
        <v>10</v>
      </c>
      <c r="D561" s="19">
        <v>45451</v>
      </c>
      <c r="E561" s="9" t="s">
        <v>16</v>
      </c>
      <c r="F561" s="9" t="s">
        <v>26</v>
      </c>
      <c r="G561" s="9" t="s">
        <v>32</v>
      </c>
      <c r="H561" s="9">
        <v>160</v>
      </c>
      <c r="I561" s="5">
        <v>225</v>
      </c>
      <c r="J561" s="5">
        <f t="shared" si="8"/>
        <v>36000</v>
      </c>
      <c r="K561" s="9">
        <v>14</v>
      </c>
      <c r="L561" s="9" t="s">
        <v>33</v>
      </c>
      <c r="M561" s="9"/>
    </row>
    <row r="562" spans="2:13" ht="15.6" thickTop="1" thickBot="1" x14ac:dyDescent="0.35">
      <c r="B562" s="6">
        <v>560</v>
      </c>
      <c r="C562" s="7" t="s">
        <v>11</v>
      </c>
      <c r="D562" s="18">
        <v>45452</v>
      </c>
      <c r="E562" s="7" t="s">
        <v>19</v>
      </c>
      <c r="F562" s="7" t="s">
        <v>23</v>
      </c>
      <c r="G562" s="7" t="s">
        <v>28</v>
      </c>
      <c r="H562" s="7">
        <v>223</v>
      </c>
      <c r="I562" s="5">
        <v>90</v>
      </c>
      <c r="J562" s="5">
        <f t="shared" si="8"/>
        <v>20070</v>
      </c>
      <c r="K562" s="7">
        <v>20</v>
      </c>
      <c r="L562" s="7" t="s">
        <v>35</v>
      </c>
      <c r="M562" s="7"/>
    </row>
    <row r="563" spans="2:13" ht="15.6" thickTop="1" thickBot="1" x14ac:dyDescent="0.35">
      <c r="B563" s="8">
        <v>561</v>
      </c>
      <c r="C563" s="9" t="s">
        <v>11</v>
      </c>
      <c r="D563" s="19">
        <v>45453</v>
      </c>
      <c r="E563" s="9" t="s">
        <v>14</v>
      </c>
      <c r="F563" s="9" t="s">
        <v>25</v>
      </c>
      <c r="G563" s="9" t="s">
        <v>32</v>
      </c>
      <c r="H563" s="9">
        <v>111</v>
      </c>
      <c r="I563" s="5">
        <v>45</v>
      </c>
      <c r="J563" s="5">
        <f t="shared" si="8"/>
        <v>4995</v>
      </c>
      <c r="K563" s="9">
        <v>8</v>
      </c>
      <c r="L563" s="9" t="s">
        <v>33</v>
      </c>
      <c r="M563" s="9">
        <v>2</v>
      </c>
    </row>
    <row r="564" spans="2:13" ht="15.6" thickTop="1" thickBot="1" x14ac:dyDescent="0.35">
      <c r="B564" s="6">
        <v>562</v>
      </c>
      <c r="C564" s="7" t="s">
        <v>11</v>
      </c>
      <c r="D564" s="18">
        <v>45454</v>
      </c>
      <c r="E564" s="7" t="s">
        <v>14</v>
      </c>
      <c r="F564" s="7" t="s">
        <v>25</v>
      </c>
      <c r="G564" s="7" t="s">
        <v>32</v>
      </c>
      <c r="H564" s="7">
        <v>111</v>
      </c>
      <c r="I564" s="5">
        <v>135</v>
      </c>
      <c r="J564" s="5">
        <f t="shared" si="8"/>
        <v>14985</v>
      </c>
      <c r="K564" s="7">
        <v>12</v>
      </c>
      <c r="L564" s="7" t="s">
        <v>35</v>
      </c>
      <c r="M564" s="7">
        <v>5</v>
      </c>
    </row>
    <row r="565" spans="2:13" ht="15.6" thickTop="1" thickBot="1" x14ac:dyDescent="0.35">
      <c r="B565" s="8">
        <v>563</v>
      </c>
      <c r="C565" s="9" t="s">
        <v>11</v>
      </c>
      <c r="D565" s="19">
        <v>45455</v>
      </c>
      <c r="E565" s="9" t="s">
        <v>18</v>
      </c>
      <c r="F565" s="9" t="s">
        <v>27</v>
      </c>
      <c r="G565" s="9" t="s">
        <v>32</v>
      </c>
      <c r="H565" s="9">
        <v>142</v>
      </c>
      <c r="I565" s="5">
        <v>45</v>
      </c>
      <c r="J565" s="5">
        <f t="shared" si="8"/>
        <v>6390</v>
      </c>
      <c r="K565" s="9">
        <v>13</v>
      </c>
      <c r="L565" s="9" t="s">
        <v>33</v>
      </c>
      <c r="M565" s="9">
        <v>1</v>
      </c>
    </row>
    <row r="566" spans="2:13" ht="15.6" thickTop="1" thickBot="1" x14ac:dyDescent="0.35">
      <c r="B566" s="6">
        <v>564</v>
      </c>
      <c r="C566" s="7" t="s">
        <v>10</v>
      </c>
      <c r="D566" s="18">
        <v>45456</v>
      </c>
      <c r="E566" s="7" t="s">
        <v>19</v>
      </c>
      <c r="F566" s="7" t="s">
        <v>23</v>
      </c>
      <c r="G566" s="7" t="s">
        <v>29</v>
      </c>
      <c r="H566" s="7">
        <v>54</v>
      </c>
      <c r="I566" s="5">
        <v>180</v>
      </c>
      <c r="J566" s="5">
        <f t="shared" si="8"/>
        <v>9720</v>
      </c>
      <c r="K566" s="7">
        <v>21</v>
      </c>
      <c r="L566" s="7" t="s">
        <v>35</v>
      </c>
      <c r="M566" s="7">
        <v>1</v>
      </c>
    </row>
    <row r="567" spans="2:13" ht="15.6" thickTop="1" thickBot="1" x14ac:dyDescent="0.35">
      <c r="B567" s="8">
        <v>565</v>
      </c>
      <c r="C567" s="9" t="s">
        <v>10</v>
      </c>
      <c r="D567" s="19">
        <v>45457</v>
      </c>
      <c r="E567" s="9" t="s">
        <v>14</v>
      </c>
      <c r="F567" s="9" t="s">
        <v>25</v>
      </c>
      <c r="G567" s="9" t="s">
        <v>30</v>
      </c>
      <c r="H567" s="9">
        <v>182</v>
      </c>
      <c r="I567" s="5">
        <v>135</v>
      </c>
      <c r="J567" s="5">
        <f t="shared" si="8"/>
        <v>24570</v>
      </c>
      <c r="K567" s="9">
        <v>17</v>
      </c>
      <c r="L567" s="9" t="s">
        <v>33</v>
      </c>
      <c r="M567" s="9">
        <v>1</v>
      </c>
    </row>
    <row r="568" spans="2:13" ht="15.6" thickTop="1" thickBot="1" x14ac:dyDescent="0.35">
      <c r="B568" s="6">
        <v>566</v>
      </c>
      <c r="C568" s="7" t="s">
        <v>11</v>
      </c>
      <c r="D568" s="18">
        <v>45458</v>
      </c>
      <c r="E568" s="7" t="s">
        <v>15</v>
      </c>
      <c r="F568" s="7" t="s">
        <v>25</v>
      </c>
      <c r="G568" s="7" t="s">
        <v>29</v>
      </c>
      <c r="H568" s="7">
        <v>74</v>
      </c>
      <c r="I568" s="5">
        <v>45</v>
      </c>
      <c r="J568" s="5">
        <f t="shared" si="8"/>
        <v>3330</v>
      </c>
      <c r="K568" s="7">
        <v>16</v>
      </c>
      <c r="L568" s="7" t="s">
        <v>33</v>
      </c>
      <c r="M568" s="7">
        <v>4</v>
      </c>
    </row>
    <row r="569" spans="2:13" ht="15.6" thickTop="1" thickBot="1" x14ac:dyDescent="0.35">
      <c r="B569" s="8">
        <v>567</v>
      </c>
      <c r="C569" s="9" t="s">
        <v>10</v>
      </c>
      <c r="D569" s="19">
        <v>45459</v>
      </c>
      <c r="E569" s="9" t="s">
        <v>12</v>
      </c>
      <c r="F569" s="9" t="s">
        <v>23</v>
      </c>
      <c r="G569" s="9" t="s">
        <v>31</v>
      </c>
      <c r="H569" s="9">
        <v>47</v>
      </c>
      <c r="I569" s="5">
        <v>45</v>
      </c>
      <c r="J569" s="5">
        <f t="shared" si="8"/>
        <v>2115</v>
      </c>
      <c r="K569" s="9">
        <v>24</v>
      </c>
      <c r="L569" s="9" t="s">
        <v>34</v>
      </c>
      <c r="M569" s="9">
        <v>5</v>
      </c>
    </row>
    <row r="570" spans="2:13" ht="15.6" thickTop="1" thickBot="1" x14ac:dyDescent="0.35">
      <c r="B570" s="6">
        <v>568</v>
      </c>
      <c r="C570" s="7" t="s">
        <v>10</v>
      </c>
      <c r="D570" s="18">
        <v>45460</v>
      </c>
      <c r="E570" s="7" t="s">
        <v>15</v>
      </c>
      <c r="F570" s="7" t="s">
        <v>25</v>
      </c>
      <c r="G570" s="7" t="s">
        <v>32</v>
      </c>
      <c r="H570" s="7">
        <v>115</v>
      </c>
      <c r="I570" s="5">
        <v>45</v>
      </c>
      <c r="J570" s="5">
        <f t="shared" si="8"/>
        <v>5175</v>
      </c>
      <c r="K570" s="7">
        <v>19</v>
      </c>
      <c r="L570" s="7" t="s">
        <v>33</v>
      </c>
      <c r="M570" s="7">
        <v>2</v>
      </c>
    </row>
    <row r="571" spans="2:13" ht="15.6" thickTop="1" thickBot="1" x14ac:dyDescent="0.35">
      <c r="B571" s="8">
        <v>569</v>
      </c>
      <c r="C571" s="9" t="s">
        <v>11</v>
      </c>
      <c r="D571" s="19">
        <v>45461</v>
      </c>
      <c r="E571" s="9" t="s">
        <v>20</v>
      </c>
      <c r="F571" s="9" t="s">
        <v>20</v>
      </c>
      <c r="G571" s="9" t="s">
        <v>32</v>
      </c>
      <c r="H571" s="9">
        <v>43</v>
      </c>
      <c r="I571" s="5">
        <v>90</v>
      </c>
      <c r="J571" s="5">
        <f t="shared" si="8"/>
        <v>3870</v>
      </c>
      <c r="K571" s="9">
        <v>14</v>
      </c>
      <c r="L571" s="9" t="s">
        <v>34</v>
      </c>
      <c r="M571" s="9">
        <v>2</v>
      </c>
    </row>
    <row r="572" spans="2:13" ht="15.6" thickTop="1" thickBot="1" x14ac:dyDescent="0.35">
      <c r="B572" s="6">
        <v>570</v>
      </c>
      <c r="C572" s="7" t="s">
        <v>11</v>
      </c>
      <c r="D572" s="18">
        <v>45462</v>
      </c>
      <c r="E572" s="7" t="s">
        <v>19</v>
      </c>
      <c r="F572" s="7" t="s">
        <v>23</v>
      </c>
      <c r="G572" s="7" t="s">
        <v>30</v>
      </c>
      <c r="H572" s="7">
        <v>196</v>
      </c>
      <c r="I572" s="5">
        <v>135</v>
      </c>
      <c r="J572" s="5">
        <f t="shared" si="8"/>
        <v>26460</v>
      </c>
      <c r="K572" s="7">
        <v>8</v>
      </c>
      <c r="L572" s="7" t="s">
        <v>34</v>
      </c>
      <c r="M572" s="7"/>
    </row>
    <row r="573" spans="2:13" ht="15.6" thickTop="1" thickBot="1" x14ac:dyDescent="0.35">
      <c r="B573" s="8">
        <v>571</v>
      </c>
      <c r="C573" s="9" t="s">
        <v>10</v>
      </c>
      <c r="D573" s="19">
        <v>45463</v>
      </c>
      <c r="E573" s="9" t="s">
        <v>12</v>
      </c>
      <c r="F573" s="9" t="s">
        <v>23</v>
      </c>
      <c r="G573" s="9" t="s">
        <v>30</v>
      </c>
      <c r="H573" s="9">
        <v>213</v>
      </c>
      <c r="I573" s="5">
        <v>90</v>
      </c>
      <c r="J573" s="5">
        <f t="shared" si="8"/>
        <v>19170</v>
      </c>
      <c r="K573" s="9">
        <v>20</v>
      </c>
      <c r="L573" s="9" t="s">
        <v>33</v>
      </c>
      <c r="M573" s="9">
        <v>3</v>
      </c>
    </row>
    <row r="574" spans="2:13" ht="15.6" thickTop="1" thickBot="1" x14ac:dyDescent="0.35">
      <c r="B574" s="6">
        <v>572</v>
      </c>
      <c r="C574" s="7" t="s">
        <v>10</v>
      </c>
      <c r="D574" s="18">
        <v>45464</v>
      </c>
      <c r="E574" s="7" t="s">
        <v>14</v>
      </c>
      <c r="F574" s="7" t="s">
        <v>25</v>
      </c>
      <c r="G574" s="7" t="s">
        <v>29</v>
      </c>
      <c r="H574" s="7">
        <v>176</v>
      </c>
      <c r="I574" s="5">
        <v>45</v>
      </c>
      <c r="J574" s="5">
        <f t="shared" si="8"/>
        <v>7920</v>
      </c>
      <c r="K574" s="7">
        <v>16</v>
      </c>
      <c r="L574" s="7" t="s">
        <v>34</v>
      </c>
      <c r="M574" s="7">
        <v>4</v>
      </c>
    </row>
    <row r="575" spans="2:13" ht="15.6" thickTop="1" thickBot="1" x14ac:dyDescent="0.35">
      <c r="B575" s="8">
        <v>573</v>
      </c>
      <c r="C575" s="9" t="s">
        <v>10</v>
      </c>
      <c r="D575" s="19">
        <v>45465</v>
      </c>
      <c r="E575" s="9" t="s">
        <v>17</v>
      </c>
      <c r="F575" s="9" t="s">
        <v>24</v>
      </c>
      <c r="G575" s="9" t="s">
        <v>29</v>
      </c>
      <c r="H575" s="9">
        <v>54</v>
      </c>
      <c r="I575" s="5">
        <v>45</v>
      </c>
      <c r="J575" s="5">
        <f t="shared" si="8"/>
        <v>2430</v>
      </c>
      <c r="K575" s="9">
        <v>19</v>
      </c>
      <c r="L575" s="9" t="s">
        <v>34</v>
      </c>
      <c r="M575" s="9"/>
    </row>
    <row r="576" spans="2:13" ht="15.6" thickTop="1" thickBot="1" x14ac:dyDescent="0.35">
      <c r="B576" s="6">
        <v>574</v>
      </c>
      <c r="C576" s="7" t="s">
        <v>10</v>
      </c>
      <c r="D576" s="18">
        <v>45466</v>
      </c>
      <c r="E576" s="7" t="s">
        <v>18</v>
      </c>
      <c r="F576" s="7" t="s">
        <v>27</v>
      </c>
      <c r="G576" s="7" t="s">
        <v>28</v>
      </c>
      <c r="H576" s="7">
        <v>155</v>
      </c>
      <c r="I576" s="5">
        <v>45</v>
      </c>
      <c r="J576" s="5">
        <f t="shared" si="8"/>
        <v>6975</v>
      </c>
      <c r="K576" s="7">
        <v>20</v>
      </c>
      <c r="L576" s="7" t="s">
        <v>34</v>
      </c>
      <c r="M576" s="7">
        <v>1</v>
      </c>
    </row>
    <row r="577" spans="2:13" ht="15.6" thickTop="1" thickBot="1" x14ac:dyDescent="0.35">
      <c r="B577" s="8">
        <v>575</v>
      </c>
      <c r="C577" s="9" t="s">
        <v>11</v>
      </c>
      <c r="D577" s="19">
        <v>45467</v>
      </c>
      <c r="E577" s="9" t="s">
        <v>12</v>
      </c>
      <c r="F577" s="9" t="s">
        <v>23</v>
      </c>
      <c r="G577" s="9" t="s">
        <v>29</v>
      </c>
      <c r="H577" s="9">
        <v>30</v>
      </c>
      <c r="I577" s="5">
        <v>135</v>
      </c>
      <c r="J577" s="5">
        <f t="shared" si="8"/>
        <v>4050</v>
      </c>
      <c r="K577" s="9">
        <v>9</v>
      </c>
      <c r="L577" s="9" t="s">
        <v>33</v>
      </c>
      <c r="M577" s="9">
        <v>4</v>
      </c>
    </row>
    <row r="578" spans="2:13" ht="15.6" thickTop="1" thickBot="1" x14ac:dyDescent="0.35">
      <c r="B578" s="6">
        <v>576</v>
      </c>
      <c r="C578" s="7" t="s">
        <v>10</v>
      </c>
      <c r="D578" s="18">
        <v>45468</v>
      </c>
      <c r="E578" s="7" t="s">
        <v>14</v>
      </c>
      <c r="F578" s="7" t="s">
        <v>25</v>
      </c>
      <c r="G578" s="7" t="s">
        <v>32</v>
      </c>
      <c r="H578" s="7">
        <v>39</v>
      </c>
      <c r="I578" s="5">
        <v>225</v>
      </c>
      <c r="J578" s="5">
        <f t="shared" si="8"/>
        <v>8775</v>
      </c>
      <c r="K578" s="7">
        <v>15</v>
      </c>
      <c r="L578" s="7" t="s">
        <v>33</v>
      </c>
      <c r="M578" s="7">
        <v>1</v>
      </c>
    </row>
    <row r="579" spans="2:13" ht="15.6" thickTop="1" thickBot="1" x14ac:dyDescent="0.35">
      <c r="B579" s="8">
        <v>577</v>
      </c>
      <c r="C579" s="9" t="s">
        <v>10</v>
      </c>
      <c r="D579" s="19">
        <v>45469</v>
      </c>
      <c r="E579" s="9" t="s">
        <v>12</v>
      </c>
      <c r="F579" s="9" t="s">
        <v>23</v>
      </c>
      <c r="G579" s="9" t="s">
        <v>28</v>
      </c>
      <c r="H579" s="9">
        <v>88</v>
      </c>
      <c r="I579" s="5">
        <v>180</v>
      </c>
      <c r="J579" s="5">
        <f t="shared" si="8"/>
        <v>15840</v>
      </c>
      <c r="K579" s="9">
        <v>15</v>
      </c>
      <c r="L579" s="9" t="s">
        <v>35</v>
      </c>
      <c r="M579" s="9">
        <v>3</v>
      </c>
    </row>
    <row r="580" spans="2:13" ht="15.6" thickTop="1" thickBot="1" x14ac:dyDescent="0.35">
      <c r="B580" s="6">
        <v>578</v>
      </c>
      <c r="C580" s="7" t="s">
        <v>11</v>
      </c>
      <c r="D580" s="18">
        <v>45470</v>
      </c>
      <c r="E580" s="7" t="s">
        <v>22</v>
      </c>
      <c r="F580" s="7" t="s">
        <v>25</v>
      </c>
      <c r="G580" s="7" t="s">
        <v>29</v>
      </c>
      <c r="H580" s="7">
        <v>65</v>
      </c>
      <c r="I580" s="5">
        <v>135</v>
      </c>
      <c r="J580" s="5">
        <f t="shared" ref="J580:J643" si="9">H580*I580</f>
        <v>8775</v>
      </c>
      <c r="K580" s="7">
        <v>11</v>
      </c>
      <c r="L580" s="7" t="s">
        <v>33</v>
      </c>
      <c r="M580" s="7">
        <v>3</v>
      </c>
    </row>
    <row r="581" spans="2:13" ht="15.6" thickTop="1" thickBot="1" x14ac:dyDescent="0.35">
      <c r="B581" s="8">
        <v>579</v>
      </c>
      <c r="C581" s="9" t="s">
        <v>10</v>
      </c>
      <c r="D581" s="19">
        <v>45471</v>
      </c>
      <c r="E581" s="9" t="s">
        <v>16</v>
      </c>
      <c r="F581" s="9" t="s">
        <v>26</v>
      </c>
      <c r="G581" s="9" t="s">
        <v>31</v>
      </c>
      <c r="H581" s="9">
        <v>131</v>
      </c>
      <c r="I581" s="5">
        <v>180</v>
      </c>
      <c r="J581" s="5">
        <f t="shared" si="9"/>
        <v>23580</v>
      </c>
      <c r="K581" s="9">
        <v>19</v>
      </c>
      <c r="L581" s="9" t="s">
        <v>35</v>
      </c>
      <c r="M581" s="9">
        <v>3</v>
      </c>
    </row>
    <row r="582" spans="2:13" ht="15.6" thickTop="1" thickBot="1" x14ac:dyDescent="0.35">
      <c r="B582" s="6">
        <v>580</v>
      </c>
      <c r="C582" s="7" t="s">
        <v>10</v>
      </c>
      <c r="D582" s="18">
        <v>45472</v>
      </c>
      <c r="E582" s="7" t="s">
        <v>18</v>
      </c>
      <c r="F582" s="7" t="s">
        <v>27</v>
      </c>
      <c r="G582" s="7" t="s">
        <v>29</v>
      </c>
      <c r="H582" s="7">
        <v>85</v>
      </c>
      <c r="I582" s="5">
        <v>135</v>
      </c>
      <c r="J582" s="5">
        <f t="shared" si="9"/>
        <v>11475</v>
      </c>
      <c r="K582" s="7">
        <v>24</v>
      </c>
      <c r="L582" s="7" t="s">
        <v>33</v>
      </c>
      <c r="M582" s="7">
        <v>3</v>
      </c>
    </row>
    <row r="583" spans="2:13" ht="15.6" thickTop="1" thickBot="1" x14ac:dyDescent="0.35">
      <c r="B583" s="8">
        <v>581</v>
      </c>
      <c r="C583" s="9" t="s">
        <v>10</v>
      </c>
      <c r="D583" s="19">
        <v>45473</v>
      </c>
      <c r="E583" s="9" t="s">
        <v>16</v>
      </c>
      <c r="F583" s="9" t="s">
        <v>26</v>
      </c>
      <c r="G583" s="9" t="s">
        <v>28</v>
      </c>
      <c r="H583" s="9">
        <v>149</v>
      </c>
      <c r="I583" s="5">
        <v>45</v>
      </c>
      <c r="J583" s="5">
        <f t="shared" si="9"/>
        <v>6705</v>
      </c>
      <c r="K583" s="9">
        <v>11</v>
      </c>
      <c r="L583" s="9" t="s">
        <v>33</v>
      </c>
      <c r="M583" s="9">
        <v>5</v>
      </c>
    </row>
    <row r="584" spans="2:13" ht="15.6" thickTop="1" thickBot="1" x14ac:dyDescent="0.35">
      <c r="B584" s="6">
        <v>582</v>
      </c>
      <c r="C584" s="7" t="s">
        <v>11</v>
      </c>
      <c r="D584" s="18">
        <v>45474</v>
      </c>
      <c r="E584" s="7" t="s">
        <v>18</v>
      </c>
      <c r="F584" s="7" t="s">
        <v>27</v>
      </c>
      <c r="G584" s="7" t="s">
        <v>28</v>
      </c>
      <c r="H584" s="7">
        <v>112</v>
      </c>
      <c r="I584" s="5">
        <v>90</v>
      </c>
      <c r="J584" s="5">
        <f t="shared" si="9"/>
        <v>10080</v>
      </c>
      <c r="K584" s="7">
        <v>9</v>
      </c>
      <c r="L584" s="7" t="s">
        <v>35</v>
      </c>
      <c r="M584" s="7">
        <v>5</v>
      </c>
    </row>
    <row r="585" spans="2:13" ht="15.6" thickTop="1" thickBot="1" x14ac:dyDescent="0.35">
      <c r="B585" s="8">
        <v>583</v>
      </c>
      <c r="C585" s="9" t="s">
        <v>11</v>
      </c>
      <c r="D585" s="19">
        <v>45475</v>
      </c>
      <c r="E585" s="9" t="s">
        <v>13</v>
      </c>
      <c r="F585" s="9" t="s">
        <v>24</v>
      </c>
      <c r="G585" s="9" t="s">
        <v>32</v>
      </c>
      <c r="H585" s="9">
        <v>118</v>
      </c>
      <c r="I585" s="5">
        <v>225</v>
      </c>
      <c r="J585" s="5">
        <f t="shared" si="9"/>
        <v>26550</v>
      </c>
      <c r="K585" s="9">
        <v>19</v>
      </c>
      <c r="L585" s="9" t="s">
        <v>35</v>
      </c>
      <c r="M585" s="9">
        <v>2</v>
      </c>
    </row>
    <row r="586" spans="2:13" ht="15.6" thickTop="1" thickBot="1" x14ac:dyDescent="0.35">
      <c r="B586" s="6">
        <v>584</v>
      </c>
      <c r="C586" s="7" t="s">
        <v>11</v>
      </c>
      <c r="D586" s="18">
        <v>45476</v>
      </c>
      <c r="E586" s="7" t="s">
        <v>13</v>
      </c>
      <c r="F586" s="7" t="s">
        <v>24</v>
      </c>
      <c r="G586" s="7" t="s">
        <v>31</v>
      </c>
      <c r="H586" s="7">
        <v>217</v>
      </c>
      <c r="I586" s="5">
        <v>135</v>
      </c>
      <c r="J586" s="5">
        <f t="shared" si="9"/>
        <v>29295</v>
      </c>
      <c r="K586" s="7">
        <v>8</v>
      </c>
      <c r="L586" s="7" t="s">
        <v>35</v>
      </c>
      <c r="M586" s="7">
        <v>4</v>
      </c>
    </row>
    <row r="587" spans="2:13" ht="15.6" thickTop="1" thickBot="1" x14ac:dyDescent="0.35">
      <c r="B587" s="8">
        <v>585</v>
      </c>
      <c r="C587" s="9" t="s">
        <v>10</v>
      </c>
      <c r="D587" s="19">
        <v>45477</v>
      </c>
      <c r="E587" s="9" t="s">
        <v>20</v>
      </c>
      <c r="F587" s="9" t="s">
        <v>20</v>
      </c>
      <c r="G587" s="9" t="s">
        <v>30</v>
      </c>
      <c r="H587" s="9">
        <v>215</v>
      </c>
      <c r="I587" s="5">
        <v>225</v>
      </c>
      <c r="J587" s="5">
        <f t="shared" si="9"/>
        <v>48375</v>
      </c>
      <c r="K587" s="9">
        <v>20</v>
      </c>
      <c r="L587" s="9" t="s">
        <v>35</v>
      </c>
      <c r="M587" s="9">
        <v>3</v>
      </c>
    </row>
    <row r="588" spans="2:13" ht="15.6" thickTop="1" thickBot="1" x14ac:dyDescent="0.35">
      <c r="B588" s="6">
        <v>586</v>
      </c>
      <c r="C588" s="7" t="s">
        <v>11</v>
      </c>
      <c r="D588" s="18">
        <v>45478</v>
      </c>
      <c r="E588" s="7" t="s">
        <v>15</v>
      </c>
      <c r="F588" s="7" t="s">
        <v>25</v>
      </c>
      <c r="G588" s="7" t="s">
        <v>32</v>
      </c>
      <c r="H588" s="7">
        <v>143</v>
      </c>
      <c r="I588" s="5">
        <v>45</v>
      </c>
      <c r="J588" s="5">
        <f t="shared" si="9"/>
        <v>6435</v>
      </c>
      <c r="K588" s="7">
        <v>16</v>
      </c>
      <c r="L588" s="7" t="s">
        <v>35</v>
      </c>
      <c r="M588" s="7">
        <v>3</v>
      </c>
    </row>
    <row r="589" spans="2:13" ht="15.6" thickTop="1" thickBot="1" x14ac:dyDescent="0.35">
      <c r="B589" s="8">
        <v>587</v>
      </c>
      <c r="C589" s="9" t="s">
        <v>11</v>
      </c>
      <c r="D589" s="19">
        <v>45479</v>
      </c>
      <c r="E589" s="9" t="s">
        <v>20</v>
      </c>
      <c r="F589" s="9" t="s">
        <v>20</v>
      </c>
      <c r="G589" s="9" t="s">
        <v>32</v>
      </c>
      <c r="H589" s="9">
        <v>71</v>
      </c>
      <c r="I589" s="5">
        <v>180</v>
      </c>
      <c r="J589" s="5">
        <f t="shared" si="9"/>
        <v>12780</v>
      </c>
      <c r="K589" s="9">
        <v>14</v>
      </c>
      <c r="L589" s="9" t="s">
        <v>34</v>
      </c>
      <c r="M589" s="9">
        <v>4</v>
      </c>
    </row>
    <row r="590" spans="2:13" ht="15.6" thickTop="1" thickBot="1" x14ac:dyDescent="0.35">
      <c r="B590" s="6">
        <v>588</v>
      </c>
      <c r="C590" s="7" t="s">
        <v>11</v>
      </c>
      <c r="D590" s="18">
        <v>45480</v>
      </c>
      <c r="E590" s="7" t="s">
        <v>19</v>
      </c>
      <c r="F590" s="7" t="s">
        <v>23</v>
      </c>
      <c r="G590" s="7" t="s">
        <v>32</v>
      </c>
      <c r="H590" s="7">
        <v>145</v>
      </c>
      <c r="I590" s="5">
        <v>135</v>
      </c>
      <c r="J590" s="5">
        <f t="shared" si="9"/>
        <v>19575</v>
      </c>
      <c r="K590" s="7">
        <v>13</v>
      </c>
      <c r="L590" s="7" t="s">
        <v>33</v>
      </c>
      <c r="M590" s="7">
        <v>4</v>
      </c>
    </row>
    <row r="591" spans="2:13" ht="15.6" thickTop="1" thickBot="1" x14ac:dyDescent="0.35">
      <c r="B591" s="8">
        <v>589</v>
      </c>
      <c r="C591" s="9" t="s">
        <v>11</v>
      </c>
      <c r="D591" s="19">
        <v>45481</v>
      </c>
      <c r="E591" s="9" t="s">
        <v>16</v>
      </c>
      <c r="F591" s="9" t="s">
        <v>26</v>
      </c>
      <c r="G591" s="9" t="s">
        <v>29</v>
      </c>
      <c r="H591" s="9">
        <v>30</v>
      </c>
      <c r="I591" s="5">
        <v>135</v>
      </c>
      <c r="J591" s="5">
        <f t="shared" si="9"/>
        <v>4050</v>
      </c>
      <c r="K591" s="9">
        <v>11</v>
      </c>
      <c r="L591" s="9" t="s">
        <v>33</v>
      </c>
      <c r="M591" s="9">
        <v>5</v>
      </c>
    </row>
    <row r="592" spans="2:13" ht="15.6" thickTop="1" thickBot="1" x14ac:dyDescent="0.35">
      <c r="B592" s="6">
        <v>590</v>
      </c>
      <c r="C592" s="7" t="s">
        <v>10</v>
      </c>
      <c r="D592" s="18">
        <v>45482</v>
      </c>
      <c r="E592" s="7" t="s">
        <v>12</v>
      </c>
      <c r="F592" s="7" t="s">
        <v>23</v>
      </c>
      <c r="G592" s="7" t="s">
        <v>30</v>
      </c>
      <c r="H592" s="7">
        <v>167</v>
      </c>
      <c r="I592" s="5">
        <v>45</v>
      </c>
      <c r="J592" s="5">
        <f t="shared" si="9"/>
        <v>7515</v>
      </c>
      <c r="K592" s="7">
        <v>10</v>
      </c>
      <c r="L592" s="7" t="s">
        <v>34</v>
      </c>
      <c r="M592" s="7">
        <v>1</v>
      </c>
    </row>
    <row r="593" spans="2:13" ht="15.6" thickTop="1" thickBot="1" x14ac:dyDescent="0.35">
      <c r="B593" s="8">
        <v>591</v>
      </c>
      <c r="C593" s="9" t="s">
        <v>11</v>
      </c>
      <c r="D593" s="19">
        <v>45483</v>
      </c>
      <c r="E593" s="9" t="s">
        <v>14</v>
      </c>
      <c r="F593" s="9" t="s">
        <v>25</v>
      </c>
      <c r="G593" s="9" t="s">
        <v>29</v>
      </c>
      <c r="H593" s="9">
        <v>46</v>
      </c>
      <c r="I593" s="5">
        <v>225</v>
      </c>
      <c r="J593" s="5">
        <f t="shared" si="9"/>
        <v>10350</v>
      </c>
      <c r="K593" s="9">
        <v>9</v>
      </c>
      <c r="L593" s="9" t="s">
        <v>33</v>
      </c>
      <c r="M593" s="9"/>
    </row>
    <row r="594" spans="2:13" ht="15.6" thickTop="1" thickBot="1" x14ac:dyDescent="0.35">
      <c r="B594" s="6">
        <v>592</v>
      </c>
      <c r="C594" s="7" t="s">
        <v>11</v>
      </c>
      <c r="D594" s="18">
        <v>45484</v>
      </c>
      <c r="E594" s="7" t="s">
        <v>17</v>
      </c>
      <c r="F594" s="7" t="s">
        <v>24</v>
      </c>
      <c r="G594" s="7" t="s">
        <v>28</v>
      </c>
      <c r="H594" s="7">
        <v>250</v>
      </c>
      <c r="I594" s="5">
        <v>90</v>
      </c>
      <c r="J594" s="5">
        <f t="shared" si="9"/>
        <v>22500</v>
      </c>
      <c r="K594" s="7">
        <v>16</v>
      </c>
      <c r="L594" s="7" t="s">
        <v>33</v>
      </c>
      <c r="M594" s="7">
        <v>3</v>
      </c>
    </row>
    <row r="595" spans="2:13" ht="15.6" thickTop="1" thickBot="1" x14ac:dyDescent="0.35">
      <c r="B595" s="8">
        <v>593</v>
      </c>
      <c r="C595" s="9" t="s">
        <v>11</v>
      </c>
      <c r="D595" s="19">
        <v>45485</v>
      </c>
      <c r="E595" s="9" t="s">
        <v>22</v>
      </c>
      <c r="F595" s="9" t="s">
        <v>25</v>
      </c>
      <c r="G595" s="9" t="s">
        <v>32</v>
      </c>
      <c r="H595" s="9">
        <v>92</v>
      </c>
      <c r="I595" s="5">
        <v>90</v>
      </c>
      <c r="J595" s="5">
        <f t="shared" si="9"/>
        <v>8280</v>
      </c>
      <c r="K595" s="9">
        <v>10</v>
      </c>
      <c r="L595" s="9" t="s">
        <v>34</v>
      </c>
      <c r="M595" s="9"/>
    </row>
    <row r="596" spans="2:13" ht="15.6" thickTop="1" thickBot="1" x14ac:dyDescent="0.35">
      <c r="B596" s="6">
        <v>594</v>
      </c>
      <c r="C596" s="7" t="s">
        <v>11</v>
      </c>
      <c r="D596" s="18">
        <v>45486</v>
      </c>
      <c r="E596" s="7" t="s">
        <v>14</v>
      </c>
      <c r="F596" s="7" t="s">
        <v>25</v>
      </c>
      <c r="G596" s="7" t="s">
        <v>28</v>
      </c>
      <c r="H596" s="7">
        <v>157</v>
      </c>
      <c r="I596" s="5">
        <v>45</v>
      </c>
      <c r="J596" s="5">
        <f t="shared" si="9"/>
        <v>7065</v>
      </c>
      <c r="K596" s="7">
        <v>13</v>
      </c>
      <c r="L596" s="7" t="s">
        <v>35</v>
      </c>
      <c r="M596" s="7">
        <v>1</v>
      </c>
    </row>
    <row r="597" spans="2:13" ht="15.6" thickTop="1" thickBot="1" x14ac:dyDescent="0.35">
      <c r="B597" s="8">
        <v>595</v>
      </c>
      <c r="C597" s="9" t="s">
        <v>11</v>
      </c>
      <c r="D597" s="19">
        <v>45487</v>
      </c>
      <c r="E597" s="9" t="s">
        <v>15</v>
      </c>
      <c r="F597" s="9" t="s">
        <v>25</v>
      </c>
      <c r="G597" s="9" t="s">
        <v>31</v>
      </c>
      <c r="H597" s="9">
        <v>98</v>
      </c>
      <c r="I597" s="5">
        <v>135</v>
      </c>
      <c r="J597" s="5">
        <f t="shared" si="9"/>
        <v>13230</v>
      </c>
      <c r="K597" s="9">
        <v>13</v>
      </c>
      <c r="L597" s="9" t="s">
        <v>34</v>
      </c>
      <c r="M597" s="9">
        <v>2</v>
      </c>
    </row>
    <row r="598" spans="2:13" ht="15.6" thickTop="1" thickBot="1" x14ac:dyDescent="0.35">
      <c r="B598" s="6">
        <v>596</v>
      </c>
      <c r="C598" s="7" t="s">
        <v>10</v>
      </c>
      <c r="D598" s="18">
        <v>45488</v>
      </c>
      <c r="E598" s="7" t="s">
        <v>20</v>
      </c>
      <c r="F598" s="7" t="s">
        <v>20</v>
      </c>
      <c r="G598" s="7" t="s">
        <v>32</v>
      </c>
      <c r="H598" s="7">
        <v>114</v>
      </c>
      <c r="I598" s="5">
        <v>180</v>
      </c>
      <c r="J598" s="5">
        <f t="shared" si="9"/>
        <v>20520</v>
      </c>
      <c r="K598" s="7">
        <v>14</v>
      </c>
      <c r="L598" s="7" t="s">
        <v>34</v>
      </c>
      <c r="M598" s="7">
        <v>4</v>
      </c>
    </row>
    <row r="599" spans="2:13" ht="15.6" thickTop="1" thickBot="1" x14ac:dyDescent="0.35">
      <c r="B599" s="8">
        <v>597</v>
      </c>
      <c r="C599" s="9" t="s">
        <v>10</v>
      </c>
      <c r="D599" s="19">
        <v>45489</v>
      </c>
      <c r="E599" s="9" t="s">
        <v>13</v>
      </c>
      <c r="F599" s="9" t="s">
        <v>24</v>
      </c>
      <c r="G599" s="9" t="s">
        <v>31</v>
      </c>
      <c r="H599" s="9">
        <v>125</v>
      </c>
      <c r="I599" s="5">
        <v>135</v>
      </c>
      <c r="J599" s="5">
        <f t="shared" si="9"/>
        <v>16875</v>
      </c>
      <c r="K599" s="9">
        <v>11</v>
      </c>
      <c r="L599" s="9" t="s">
        <v>34</v>
      </c>
      <c r="M599" s="9"/>
    </row>
    <row r="600" spans="2:13" ht="15.6" thickTop="1" thickBot="1" x14ac:dyDescent="0.35">
      <c r="B600" s="6">
        <v>598</v>
      </c>
      <c r="C600" s="7" t="s">
        <v>11</v>
      </c>
      <c r="D600" s="18">
        <v>45490</v>
      </c>
      <c r="E600" s="7" t="s">
        <v>12</v>
      </c>
      <c r="F600" s="7" t="s">
        <v>23</v>
      </c>
      <c r="G600" s="7" t="s">
        <v>29</v>
      </c>
      <c r="H600" s="7">
        <v>213</v>
      </c>
      <c r="I600" s="5">
        <v>135</v>
      </c>
      <c r="J600" s="5">
        <f t="shared" si="9"/>
        <v>28755</v>
      </c>
      <c r="K600" s="7">
        <v>10</v>
      </c>
      <c r="L600" s="7" t="s">
        <v>34</v>
      </c>
      <c r="M600" s="7">
        <v>5</v>
      </c>
    </row>
    <row r="601" spans="2:13" ht="15.6" thickTop="1" thickBot="1" x14ac:dyDescent="0.35">
      <c r="B601" s="8">
        <v>599</v>
      </c>
      <c r="C601" s="9" t="s">
        <v>11</v>
      </c>
      <c r="D601" s="19">
        <v>45491</v>
      </c>
      <c r="E601" s="9" t="s">
        <v>18</v>
      </c>
      <c r="F601" s="9" t="s">
        <v>27</v>
      </c>
      <c r="G601" s="9" t="s">
        <v>30</v>
      </c>
      <c r="H601" s="9">
        <v>126</v>
      </c>
      <c r="I601" s="5">
        <v>225</v>
      </c>
      <c r="J601" s="5">
        <f t="shared" si="9"/>
        <v>28350</v>
      </c>
      <c r="K601" s="9">
        <v>14</v>
      </c>
      <c r="L601" s="9" t="s">
        <v>35</v>
      </c>
      <c r="M601" s="9">
        <v>1</v>
      </c>
    </row>
    <row r="602" spans="2:13" ht="15.6" thickTop="1" thickBot="1" x14ac:dyDescent="0.35">
      <c r="B602" s="6">
        <v>600</v>
      </c>
      <c r="C602" s="7" t="s">
        <v>11</v>
      </c>
      <c r="D602" s="18">
        <v>45492</v>
      </c>
      <c r="E602" s="7" t="s">
        <v>18</v>
      </c>
      <c r="F602" s="7" t="s">
        <v>27</v>
      </c>
      <c r="G602" s="7" t="s">
        <v>28</v>
      </c>
      <c r="H602" s="7">
        <v>227</v>
      </c>
      <c r="I602" s="5">
        <v>135</v>
      </c>
      <c r="J602" s="5">
        <f t="shared" si="9"/>
        <v>30645</v>
      </c>
      <c r="K602" s="7">
        <v>10</v>
      </c>
      <c r="L602" s="7" t="s">
        <v>35</v>
      </c>
      <c r="M602" s="7">
        <v>3</v>
      </c>
    </row>
    <row r="603" spans="2:13" ht="15.6" thickTop="1" thickBot="1" x14ac:dyDescent="0.35">
      <c r="B603" s="8">
        <v>601</v>
      </c>
      <c r="C603" s="9" t="s">
        <v>10</v>
      </c>
      <c r="D603" s="19">
        <v>45493</v>
      </c>
      <c r="E603" s="9" t="s">
        <v>18</v>
      </c>
      <c r="F603" s="9" t="s">
        <v>27</v>
      </c>
      <c r="G603" s="9" t="s">
        <v>30</v>
      </c>
      <c r="H603" s="9">
        <v>229</v>
      </c>
      <c r="I603" s="5">
        <v>135</v>
      </c>
      <c r="J603" s="5">
        <f t="shared" si="9"/>
        <v>30915</v>
      </c>
      <c r="K603" s="9">
        <v>21</v>
      </c>
      <c r="L603" s="9" t="s">
        <v>34</v>
      </c>
      <c r="M603" s="9">
        <v>4</v>
      </c>
    </row>
    <row r="604" spans="2:13" ht="15.6" thickTop="1" thickBot="1" x14ac:dyDescent="0.35">
      <c r="B604" s="6">
        <v>602</v>
      </c>
      <c r="C604" s="7" t="s">
        <v>11</v>
      </c>
      <c r="D604" s="18">
        <v>45494</v>
      </c>
      <c r="E604" s="7" t="s">
        <v>14</v>
      </c>
      <c r="F604" s="7" t="s">
        <v>25</v>
      </c>
      <c r="G604" s="7" t="s">
        <v>30</v>
      </c>
      <c r="H604" s="7">
        <v>205</v>
      </c>
      <c r="I604" s="5">
        <v>225</v>
      </c>
      <c r="J604" s="5">
        <f t="shared" si="9"/>
        <v>46125</v>
      </c>
      <c r="K604" s="7">
        <v>15</v>
      </c>
      <c r="L604" s="7" t="s">
        <v>34</v>
      </c>
      <c r="M604" s="7">
        <v>1</v>
      </c>
    </row>
    <row r="605" spans="2:13" ht="15.6" thickTop="1" thickBot="1" x14ac:dyDescent="0.35">
      <c r="B605" s="8">
        <v>603</v>
      </c>
      <c r="C605" s="9" t="s">
        <v>10</v>
      </c>
      <c r="D605" s="19">
        <v>45495</v>
      </c>
      <c r="E605" s="9" t="s">
        <v>19</v>
      </c>
      <c r="F605" s="9" t="s">
        <v>23</v>
      </c>
      <c r="G605" s="9" t="s">
        <v>28</v>
      </c>
      <c r="H605" s="9">
        <v>193</v>
      </c>
      <c r="I605" s="5">
        <v>180</v>
      </c>
      <c r="J605" s="5">
        <f t="shared" si="9"/>
        <v>34740</v>
      </c>
      <c r="K605" s="9">
        <v>18</v>
      </c>
      <c r="L605" s="9" t="s">
        <v>35</v>
      </c>
      <c r="M605" s="9">
        <v>2</v>
      </c>
    </row>
    <row r="606" spans="2:13" ht="15.6" thickTop="1" thickBot="1" x14ac:dyDescent="0.35">
      <c r="B606" s="6">
        <v>604</v>
      </c>
      <c r="C606" s="7" t="s">
        <v>10</v>
      </c>
      <c r="D606" s="18">
        <v>45496</v>
      </c>
      <c r="E606" s="7" t="s">
        <v>16</v>
      </c>
      <c r="F606" s="7" t="s">
        <v>26</v>
      </c>
      <c r="G606" s="7" t="s">
        <v>29</v>
      </c>
      <c r="H606" s="7">
        <v>63</v>
      </c>
      <c r="I606" s="5">
        <v>90</v>
      </c>
      <c r="J606" s="5">
        <f t="shared" si="9"/>
        <v>5670</v>
      </c>
      <c r="K606" s="7">
        <v>23</v>
      </c>
      <c r="L606" s="7" t="s">
        <v>33</v>
      </c>
      <c r="M606" s="7">
        <v>4</v>
      </c>
    </row>
    <row r="607" spans="2:13" ht="15.6" thickTop="1" thickBot="1" x14ac:dyDescent="0.35">
      <c r="B607" s="8">
        <v>605</v>
      </c>
      <c r="C607" s="9" t="s">
        <v>11</v>
      </c>
      <c r="D607" s="19">
        <v>45497</v>
      </c>
      <c r="E607" s="9" t="s">
        <v>16</v>
      </c>
      <c r="F607" s="9" t="s">
        <v>26</v>
      </c>
      <c r="G607" s="9" t="s">
        <v>29</v>
      </c>
      <c r="H607" s="9">
        <v>200</v>
      </c>
      <c r="I607" s="5">
        <v>180</v>
      </c>
      <c r="J607" s="5">
        <f t="shared" si="9"/>
        <v>36000</v>
      </c>
      <c r="K607" s="9">
        <v>14</v>
      </c>
      <c r="L607" s="9" t="s">
        <v>33</v>
      </c>
      <c r="M607" s="9">
        <v>4</v>
      </c>
    </row>
    <row r="608" spans="2:13" ht="15.6" thickTop="1" thickBot="1" x14ac:dyDescent="0.35">
      <c r="B608" s="6">
        <v>606</v>
      </c>
      <c r="C608" s="7" t="s">
        <v>11</v>
      </c>
      <c r="D608" s="18">
        <v>45498</v>
      </c>
      <c r="E608" s="7" t="s">
        <v>13</v>
      </c>
      <c r="F608" s="7" t="s">
        <v>24</v>
      </c>
      <c r="G608" s="7" t="s">
        <v>29</v>
      </c>
      <c r="H608" s="7">
        <v>241</v>
      </c>
      <c r="I608" s="5">
        <v>90</v>
      </c>
      <c r="J608" s="5">
        <f t="shared" si="9"/>
        <v>21690</v>
      </c>
      <c r="K608" s="7">
        <v>11</v>
      </c>
      <c r="L608" s="7" t="s">
        <v>34</v>
      </c>
      <c r="M608" s="7">
        <v>4</v>
      </c>
    </row>
    <row r="609" spans="2:13" ht="15.6" thickTop="1" thickBot="1" x14ac:dyDescent="0.35">
      <c r="B609" s="8">
        <v>607</v>
      </c>
      <c r="C609" s="9" t="s">
        <v>10</v>
      </c>
      <c r="D609" s="19">
        <v>45499</v>
      </c>
      <c r="E609" s="9" t="s">
        <v>21</v>
      </c>
      <c r="F609" s="9" t="s">
        <v>26</v>
      </c>
      <c r="G609" s="9" t="s">
        <v>32</v>
      </c>
      <c r="H609" s="9">
        <v>50</v>
      </c>
      <c r="I609" s="5">
        <v>225</v>
      </c>
      <c r="J609" s="5">
        <f t="shared" si="9"/>
        <v>11250</v>
      </c>
      <c r="K609" s="9">
        <v>13</v>
      </c>
      <c r="L609" s="9" t="s">
        <v>34</v>
      </c>
      <c r="M609" s="9"/>
    </row>
    <row r="610" spans="2:13" ht="15.6" thickTop="1" thickBot="1" x14ac:dyDescent="0.35">
      <c r="B610" s="6">
        <v>608</v>
      </c>
      <c r="C610" s="7" t="s">
        <v>10</v>
      </c>
      <c r="D610" s="18">
        <v>45383</v>
      </c>
      <c r="E610" s="7" t="s">
        <v>14</v>
      </c>
      <c r="F610" s="7" t="s">
        <v>25</v>
      </c>
      <c r="G610" s="7" t="s">
        <v>32</v>
      </c>
      <c r="H610" s="7">
        <v>146</v>
      </c>
      <c r="I610" s="5">
        <v>180</v>
      </c>
      <c r="J610" s="5">
        <f t="shared" si="9"/>
        <v>26280</v>
      </c>
      <c r="K610" s="7">
        <v>17</v>
      </c>
      <c r="L610" s="7" t="s">
        <v>35</v>
      </c>
      <c r="M610" s="7">
        <v>5</v>
      </c>
    </row>
    <row r="611" spans="2:13" ht="15.6" thickTop="1" thickBot="1" x14ac:dyDescent="0.35">
      <c r="B611" s="8">
        <v>609</v>
      </c>
      <c r="C611" s="9" t="s">
        <v>11</v>
      </c>
      <c r="D611" s="19">
        <v>45384</v>
      </c>
      <c r="E611" s="9" t="s">
        <v>15</v>
      </c>
      <c r="F611" s="9" t="s">
        <v>25</v>
      </c>
      <c r="G611" s="9" t="s">
        <v>29</v>
      </c>
      <c r="H611" s="9">
        <v>130</v>
      </c>
      <c r="I611" s="5">
        <v>135</v>
      </c>
      <c r="J611" s="5">
        <f t="shared" si="9"/>
        <v>17550</v>
      </c>
      <c r="K611" s="9">
        <v>11</v>
      </c>
      <c r="L611" s="9" t="s">
        <v>33</v>
      </c>
      <c r="M611" s="9">
        <v>3</v>
      </c>
    </row>
    <row r="612" spans="2:13" ht="15.6" thickTop="1" thickBot="1" x14ac:dyDescent="0.35">
      <c r="B612" s="6">
        <v>610</v>
      </c>
      <c r="C612" s="7" t="s">
        <v>10</v>
      </c>
      <c r="D612" s="18">
        <v>45385</v>
      </c>
      <c r="E612" s="7" t="s">
        <v>14</v>
      </c>
      <c r="F612" s="7" t="s">
        <v>25</v>
      </c>
      <c r="G612" s="7" t="s">
        <v>29</v>
      </c>
      <c r="H612" s="7">
        <v>137</v>
      </c>
      <c r="I612" s="5">
        <v>45</v>
      </c>
      <c r="J612" s="5">
        <f t="shared" si="9"/>
        <v>6165</v>
      </c>
      <c r="K612" s="7">
        <v>14</v>
      </c>
      <c r="L612" s="7" t="s">
        <v>34</v>
      </c>
      <c r="M612" s="7">
        <v>1</v>
      </c>
    </row>
    <row r="613" spans="2:13" ht="15.6" thickTop="1" thickBot="1" x14ac:dyDescent="0.35">
      <c r="B613" s="8">
        <v>611</v>
      </c>
      <c r="C613" s="9" t="s">
        <v>10</v>
      </c>
      <c r="D613" s="19">
        <v>45386</v>
      </c>
      <c r="E613" s="9" t="s">
        <v>18</v>
      </c>
      <c r="F613" s="9" t="s">
        <v>27</v>
      </c>
      <c r="G613" s="9" t="s">
        <v>29</v>
      </c>
      <c r="H613" s="9">
        <v>139</v>
      </c>
      <c r="I613" s="5">
        <v>225</v>
      </c>
      <c r="J613" s="5">
        <f t="shared" si="9"/>
        <v>31275</v>
      </c>
      <c r="K613" s="9">
        <v>14</v>
      </c>
      <c r="L613" s="9" t="s">
        <v>35</v>
      </c>
      <c r="M613" s="9">
        <v>1</v>
      </c>
    </row>
    <row r="614" spans="2:13" ht="15.6" thickTop="1" thickBot="1" x14ac:dyDescent="0.35">
      <c r="B614" s="6">
        <v>612</v>
      </c>
      <c r="C614" s="7" t="s">
        <v>10</v>
      </c>
      <c r="D614" s="18">
        <v>45387</v>
      </c>
      <c r="E614" s="7" t="s">
        <v>18</v>
      </c>
      <c r="F614" s="7" t="s">
        <v>27</v>
      </c>
      <c r="G614" s="7" t="s">
        <v>31</v>
      </c>
      <c r="H614" s="7">
        <v>239</v>
      </c>
      <c r="I614" s="5">
        <v>90</v>
      </c>
      <c r="J614" s="5">
        <f t="shared" si="9"/>
        <v>21510</v>
      </c>
      <c r="K614" s="7">
        <v>14</v>
      </c>
      <c r="L614" s="7" t="s">
        <v>33</v>
      </c>
      <c r="M614" s="7">
        <v>4</v>
      </c>
    </row>
    <row r="615" spans="2:13" ht="15.6" thickTop="1" thickBot="1" x14ac:dyDescent="0.35">
      <c r="B615" s="8">
        <v>613</v>
      </c>
      <c r="C615" s="9" t="s">
        <v>11</v>
      </c>
      <c r="D615" s="19">
        <v>45388</v>
      </c>
      <c r="E615" s="9" t="s">
        <v>14</v>
      </c>
      <c r="F615" s="9" t="s">
        <v>25</v>
      </c>
      <c r="G615" s="9" t="s">
        <v>28</v>
      </c>
      <c r="H615" s="9">
        <v>150</v>
      </c>
      <c r="I615" s="5">
        <v>90</v>
      </c>
      <c r="J615" s="5">
        <f t="shared" si="9"/>
        <v>13500</v>
      </c>
      <c r="K615" s="9">
        <v>11</v>
      </c>
      <c r="L615" s="9" t="s">
        <v>35</v>
      </c>
      <c r="M615" s="9">
        <v>4</v>
      </c>
    </row>
    <row r="616" spans="2:13" ht="15.6" thickTop="1" thickBot="1" x14ac:dyDescent="0.35">
      <c r="B616" s="6">
        <v>614</v>
      </c>
      <c r="C616" s="7" t="s">
        <v>11</v>
      </c>
      <c r="D616" s="18">
        <v>45389</v>
      </c>
      <c r="E616" s="7" t="s">
        <v>22</v>
      </c>
      <c r="F616" s="7" t="s">
        <v>25</v>
      </c>
      <c r="G616" s="7" t="s">
        <v>28</v>
      </c>
      <c r="H616" s="7">
        <v>141</v>
      </c>
      <c r="I616" s="5">
        <v>90</v>
      </c>
      <c r="J616" s="5">
        <f t="shared" si="9"/>
        <v>12690</v>
      </c>
      <c r="K616" s="7">
        <v>7</v>
      </c>
      <c r="L616" s="7" t="s">
        <v>33</v>
      </c>
      <c r="M616" s="7">
        <v>2</v>
      </c>
    </row>
    <row r="617" spans="2:13" ht="15.6" thickTop="1" thickBot="1" x14ac:dyDescent="0.35">
      <c r="B617" s="8">
        <v>615</v>
      </c>
      <c r="C617" s="9" t="s">
        <v>11</v>
      </c>
      <c r="D617" s="19">
        <v>45390</v>
      </c>
      <c r="E617" s="9" t="s">
        <v>12</v>
      </c>
      <c r="F617" s="9" t="s">
        <v>23</v>
      </c>
      <c r="G617" s="9" t="s">
        <v>31</v>
      </c>
      <c r="H617" s="9">
        <v>176</v>
      </c>
      <c r="I617" s="5">
        <v>180</v>
      </c>
      <c r="J617" s="5">
        <f t="shared" si="9"/>
        <v>31680</v>
      </c>
      <c r="K617" s="9">
        <v>10</v>
      </c>
      <c r="L617" s="9" t="s">
        <v>35</v>
      </c>
      <c r="M617" s="9">
        <v>3</v>
      </c>
    </row>
    <row r="618" spans="2:13" ht="15.6" thickTop="1" thickBot="1" x14ac:dyDescent="0.35">
      <c r="B618" s="6">
        <v>616</v>
      </c>
      <c r="C618" s="7" t="s">
        <v>11</v>
      </c>
      <c r="D618" s="18">
        <v>45391</v>
      </c>
      <c r="E618" s="7" t="s">
        <v>15</v>
      </c>
      <c r="F618" s="7" t="s">
        <v>25</v>
      </c>
      <c r="G618" s="7" t="s">
        <v>28</v>
      </c>
      <c r="H618" s="7">
        <v>168</v>
      </c>
      <c r="I618" s="5">
        <v>45</v>
      </c>
      <c r="J618" s="5">
        <f t="shared" si="9"/>
        <v>7560</v>
      </c>
      <c r="K618" s="7">
        <v>13</v>
      </c>
      <c r="L618" s="7" t="s">
        <v>35</v>
      </c>
      <c r="M618" s="7">
        <v>2</v>
      </c>
    </row>
    <row r="619" spans="2:13" ht="15.6" thickTop="1" thickBot="1" x14ac:dyDescent="0.35">
      <c r="B619" s="8">
        <v>617</v>
      </c>
      <c r="C619" s="9" t="s">
        <v>10</v>
      </c>
      <c r="D619" s="19">
        <v>45392</v>
      </c>
      <c r="E619" s="9" t="s">
        <v>13</v>
      </c>
      <c r="F619" s="9" t="s">
        <v>24</v>
      </c>
      <c r="G619" s="9" t="s">
        <v>29</v>
      </c>
      <c r="H619" s="9">
        <v>86</v>
      </c>
      <c r="I619" s="5">
        <v>180</v>
      </c>
      <c r="J619" s="5">
        <f t="shared" si="9"/>
        <v>15480</v>
      </c>
      <c r="K619" s="9">
        <v>14</v>
      </c>
      <c r="L619" s="9" t="s">
        <v>35</v>
      </c>
      <c r="M619" s="9">
        <v>1</v>
      </c>
    </row>
    <row r="620" spans="2:13" ht="15.6" thickTop="1" thickBot="1" x14ac:dyDescent="0.35">
      <c r="B620" s="6">
        <v>618</v>
      </c>
      <c r="C620" s="7" t="s">
        <v>11</v>
      </c>
      <c r="D620" s="18">
        <v>45393</v>
      </c>
      <c r="E620" s="7" t="s">
        <v>18</v>
      </c>
      <c r="F620" s="7" t="s">
        <v>27</v>
      </c>
      <c r="G620" s="7" t="s">
        <v>29</v>
      </c>
      <c r="H620" s="7">
        <v>123</v>
      </c>
      <c r="I620" s="5">
        <v>135</v>
      </c>
      <c r="J620" s="5">
        <f t="shared" si="9"/>
        <v>16605</v>
      </c>
      <c r="K620" s="7">
        <v>20</v>
      </c>
      <c r="L620" s="7" t="s">
        <v>35</v>
      </c>
      <c r="M620" s="7"/>
    </row>
    <row r="621" spans="2:13" ht="15.6" thickTop="1" thickBot="1" x14ac:dyDescent="0.35">
      <c r="B621" s="8">
        <v>619</v>
      </c>
      <c r="C621" s="9" t="s">
        <v>11</v>
      </c>
      <c r="D621" s="19">
        <v>45394</v>
      </c>
      <c r="E621" s="9" t="s">
        <v>15</v>
      </c>
      <c r="F621" s="9" t="s">
        <v>25</v>
      </c>
      <c r="G621" s="9" t="s">
        <v>30</v>
      </c>
      <c r="H621" s="9">
        <v>143</v>
      </c>
      <c r="I621" s="5">
        <v>135</v>
      </c>
      <c r="J621" s="5">
        <f t="shared" si="9"/>
        <v>19305</v>
      </c>
      <c r="K621" s="9">
        <v>16</v>
      </c>
      <c r="L621" s="9" t="s">
        <v>33</v>
      </c>
      <c r="M621" s="9">
        <v>5</v>
      </c>
    </row>
    <row r="622" spans="2:13" ht="15.6" thickTop="1" thickBot="1" x14ac:dyDescent="0.35">
      <c r="B622" s="6">
        <v>620</v>
      </c>
      <c r="C622" s="7" t="s">
        <v>11</v>
      </c>
      <c r="D622" s="18">
        <v>45395</v>
      </c>
      <c r="E622" s="7" t="s">
        <v>15</v>
      </c>
      <c r="F622" s="7" t="s">
        <v>25</v>
      </c>
      <c r="G622" s="7" t="s">
        <v>28</v>
      </c>
      <c r="H622" s="7">
        <v>155</v>
      </c>
      <c r="I622" s="5">
        <v>45</v>
      </c>
      <c r="J622" s="5">
        <f t="shared" si="9"/>
        <v>6975</v>
      </c>
      <c r="K622" s="7">
        <v>16</v>
      </c>
      <c r="L622" s="7" t="s">
        <v>35</v>
      </c>
      <c r="M622" s="7">
        <v>1</v>
      </c>
    </row>
    <row r="623" spans="2:13" ht="15.6" thickTop="1" thickBot="1" x14ac:dyDescent="0.35">
      <c r="B623" s="8">
        <v>621</v>
      </c>
      <c r="C623" s="9" t="s">
        <v>11</v>
      </c>
      <c r="D623" s="19">
        <v>45396</v>
      </c>
      <c r="E623" s="9" t="s">
        <v>16</v>
      </c>
      <c r="F623" s="9" t="s">
        <v>26</v>
      </c>
      <c r="G623" s="9" t="s">
        <v>29</v>
      </c>
      <c r="H623" s="9">
        <v>117</v>
      </c>
      <c r="I623" s="5">
        <v>135</v>
      </c>
      <c r="J623" s="5">
        <f t="shared" si="9"/>
        <v>15795</v>
      </c>
      <c r="K623" s="9">
        <v>16</v>
      </c>
      <c r="L623" s="9" t="s">
        <v>33</v>
      </c>
      <c r="M623" s="9">
        <v>3</v>
      </c>
    </row>
    <row r="624" spans="2:13" ht="15.6" thickTop="1" thickBot="1" x14ac:dyDescent="0.35">
      <c r="B624" s="6">
        <v>622</v>
      </c>
      <c r="C624" s="7" t="s">
        <v>11</v>
      </c>
      <c r="D624" s="18">
        <v>45397</v>
      </c>
      <c r="E624" s="7" t="s">
        <v>15</v>
      </c>
      <c r="F624" s="7" t="s">
        <v>25</v>
      </c>
      <c r="G624" s="7" t="s">
        <v>28</v>
      </c>
      <c r="H624" s="7">
        <v>163</v>
      </c>
      <c r="I624" s="5">
        <v>135</v>
      </c>
      <c r="J624" s="5">
        <f t="shared" si="9"/>
        <v>22005</v>
      </c>
      <c r="K624" s="7">
        <v>7</v>
      </c>
      <c r="L624" s="7" t="s">
        <v>33</v>
      </c>
      <c r="M624" s="7">
        <v>5</v>
      </c>
    </row>
    <row r="625" spans="2:13" ht="15.6" thickTop="1" thickBot="1" x14ac:dyDescent="0.35">
      <c r="B625" s="8">
        <v>623</v>
      </c>
      <c r="C625" s="9" t="s">
        <v>11</v>
      </c>
      <c r="D625" s="19">
        <v>45398</v>
      </c>
      <c r="E625" s="9" t="s">
        <v>22</v>
      </c>
      <c r="F625" s="9" t="s">
        <v>25</v>
      </c>
      <c r="G625" s="9" t="s">
        <v>30</v>
      </c>
      <c r="H625" s="9">
        <v>236</v>
      </c>
      <c r="I625" s="5">
        <v>180</v>
      </c>
      <c r="J625" s="5">
        <f t="shared" si="9"/>
        <v>42480</v>
      </c>
      <c r="K625" s="9">
        <v>19</v>
      </c>
      <c r="L625" s="9" t="s">
        <v>34</v>
      </c>
      <c r="M625" s="9">
        <v>2</v>
      </c>
    </row>
    <row r="626" spans="2:13" ht="15.6" thickTop="1" thickBot="1" x14ac:dyDescent="0.35">
      <c r="B626" s="6">
        <v>624</v>
      </c>
      <c r="C626" s="7" t="s">
        <v>10</v>
      </c>
      <c r="D626" s="18">
        <v>45399</v>
      </c>
      <c r="E626" s="7" t="s">
        <v>21</v>
      </c>
      <c r="F626" s="7" t="s">
        <v>26</v>
      </c>
      <c r="G626" s="7" t="s">
        <v>29</v>
      </c>
      <c r="H626" s="7">
        <v>54</v>
      </c>
      <c r="I626" s="5">
        <v>180</v>
      </c>
      <c r="J626" s="5">
        <f t="shared" si="9"/>
        <v>9720</v>
      </c>
      <c r="K626" s="7">
        <v>14</v>
      </c>
      <c r="L626" s="7" t="s">
        <v>34</v>
      </c>
      <c r="M626" s="7">
        <v>1</v>
      </c>
    </row>
    <row r="627" spans="2:13" ht="15.6" thickTop="1" thickBot="1" x14ac:dyDescent="0.35">
      <c r="B627" s="8">
        <v>625</v>
      </c>
      <c r="C627" s="9" t="s">
        <v>11</v>
      </c>
      <c r="D627" s="19">
        <v>45400</v>
      </c>
      <c r="E627" s="9" t="s">
        <v>16</v>
      </c>
      <c r="F627" s="9" t="s">
        <v>26</v>
      </c>
      <c r="G627" s="9" t="s">
        <v>28</v>
      </c>
      <c r="H627" s="9">
        <v>148</v>
      </c>
      <c r="I627" s="5">
        <v>225</v>
      </c>
      <c r="J627" s="5">
        <f t="shared" si="9"/>
        <v>33300</v>
      </c>
      <c r="K627" s="9">
        <v>18</v>
      </c>
      <c r="L627" s="9" t="s">
        <v>34</v>
      </c>
      <c r="M627" s="9">
        <v>3</v>
      </c>
    </row>
    <row r="628" spans="2:13" ht="15.6" thickTop="1" thickBot="1" x14ac:dyDescent="0.35">
      <c r="B628" s="6">
        <v>626</v>
      </c>
      <c r="C628" s="7" t="s">
        <v>11</v>
      </c>
      <c r="D628" s="18">
        <v>45401</v>
      </c>
      <c r="E628" s="7" t="s">
        <v>17</v>
      </c>
      <c r="F628" s="7" t="s">
        <v>24</v>
      </c>
      <c r="G628" s="7" t="s">
        <v>29</v>
      </c>
      <c r="H628" s="7">
        <v>192</v>
      </c>
      <c r="I628" s="5">
        <v>90</v>
      </c>
      <c r="J628" s="5">
        <f t="shared" si="9"/>
        <v>17280</v>
      </c>
      <c r="K628" s="7">
        <v>7</v>
      </c>
      <c r="L628" s="7" t="s">
        <v>33</v>
      </c>
      <c r="M628" s="7">
        <v>2</v>
      </c>
    </row>
    <row r="629" spans="2:13" ht="15.6" thickTop="1" thickBot="1" x14ac:dyDescent="0.35">
      <c r="B629" s="8">
        <v>627</v>
      </c>
      <c r="C629" s="9" t="s">
        <v>11</v>
      </c>
      <c r="D629" s="19">
        <v>45402</v>
      </c>
      <c r="E629" s="9" t="s">
        <v>15</v>
      </c>
      <c r="F629" s="9" t="s">
        <v>25</v>
      </c>
      <c r="G629" s="9" t="s">
        <v>29</v>
      </c>
      <c r="H629" s="9">
        <v>166</v>
      </c>
      <c r="I629" s="5">
        <v>45</v>
      </c>
      <c r="J629" s="5">
        <f t="shared" si="9"/>
        <v>7470</v>
      </c>
      <c r="K629" s="9">
        <v>15</v>
      </c>
      <c r="L629" s="9" t="s">
        <v>34</v>
      </c>
      <c r="M629" s="9">
        <v>2</v>
      </c>
    </row>
    <row r="630" spans="2:13" ht="15.6" thickTop="1" thickBot="1" x14ac:dyDescent="0.35">
      <c r="B630" s="6">
        <v>628</v>
      </c>
      <c r="C630" s="7" t="s">
        <v>10</v>
      </c>
      <c r="D630" s="18">
        <v>45403</v>
      </c>
      <c r="E630" s="7" t="s">
        <v>12</v>
      </c>
      <c r="F630" s="7" t="s">
        <v>23</v>
      </c>
      <c r="G630" s="7" t="s">
        <v>30</v>
      </c>
      <c r="H630" s="7">
        <v>144</v>
      </c>
      <c r="I630" s="5">
        <v>90</v>
      </c>
      <c r="J630" s="5">
        <f t="shared" si="9"/>
        <v>12960</v>
      </c>
      <c r="K630" s="7">
        <v>23</v>
      </c>
      <c r="L630" s="7" t="s">
        <v>33</v>
      </c>
      <c r="M630" s="7"/>
    </row>
    <row r="631" spans="2:13" ht="15.6" thickTop="1" thickBot="1" x14ac:dyDescent="0.35">
      <c r="B631" s="8">
        <v>629</v>
      </c>
      <c r="C631" s="9" t="s">
        <v>10</v>
      </c>
      <c r="D631" s="19">
        <v>45404</v>
      </c>
      <c r="E631" s="9" t="s">
        <v>14</v>
      </c>
      <c r="F631" s="9" t="s">
        <v>25</v>
      </c>
      <c r="G631" s="9" t="s">
        <v>32</v>
      </c>
      <c r="H631" s="9">
        <v>101</v>
      </c>
      <c r="I631" s="5">
        <v>90</v>
      </c>
      <c r="J631" s="5">
        <f t="shared" si="9"/>
        <v>9090</v>
      </c>
      <c r="K631" s="9">
        <v>25</v>
      </c>
      <c r="L631" s="9" t="s">
        <v>35</v>
      </c>
      <c r="M631" s="9">
        <v>3</v>
      </c>
    </row>
    <row r="632" spans="2:13" ht="15.6" thickTop="1" thickBot="1" x14ac:dyDescent="0.35">
      <c r="B632" s="6">
        <v>630</v>
      </c>
      <c r="C632" s="7" t="s">
        <v>10</v>
      </c>
      <c r="D632" s="18">
        <v>45405</v>
      </c>
      <c r="E632" s="7" t="s">
        <v>18</v>
      </c>
      <c r="F632" s="7" t="s">
        <v>27</v>
      </c>
      <c r="G632" s="7" t="s">
        <v>30</v>
      </c>
      <c r="H632" s="7">
        <v>66</v>
      </c>
      <c r="I632" s="5">
        <v>45</v>
      </c>
      <c r="J632" s="5">
        <f t="shared" si="9"/>
        <v>2970</v>
      </c>
      <c r="K632" s="7">
        <v>23</v>
      </c>
      <c r="L632" s="7" t="s">
        <v>35</v>
      </c>
      <c r="M632" s="7">
        <v>2</v>
      </c>
    </row>
    <row r="633" spans="2:13" ht="15.6" thickTop="1" thickBot="1" x14ac:dyDescent="0.35">
      <c r="B633" s="8">
        <v>631</v>
      </c>
      <c r="C633" s="9" t="s">
        <v>10</v>
      </c>
      <c r="D633" s="19">
        <v>45406</v>
      </c>
      <c r="E633" s="9" t="s">
        <v>14</v>
      </c>
      <c r="F633" s="9" t="s">
        <v>25</v>
      </c>
      <c r="G633" s="9" t="s">
        <v>32</v>
      </c>
      <c r="H633" s="9">
        <v>131</v>
      </c>
      <c r="I633" s="5">
        <v>90</v>
      </c>
      <c r="J633" s="5">
        <f t="shared" si="9"/>
        <v>11790</v>
      </c>
      <c r="K633" s="9">
        <v>16</v>
      </c>
      <c r="L633" s="9" t="s">
        <v>34</v>
      </c>
      <c r="M633" s="9">
        <v>3</v>
      </c>
    </row>
    <row r="634" spans="2:13" ht="15.6" thickTop="1" thickBot="1" x14ac:dyDescent="0.35">
      <c r="B634" s="6">
        <v>632</v>
      </c>
      <c r="C634" s="7" t="s">
        <v>10</v>
      </c>
      <c r="D634" s="18">
        <v>45407</v>
      </c>
      <c r="E634" s="7" t="s">
        <v>15</v>
      </c>
      <c r="F634" s="7" t="s">
        <v>25</v>
      </c>
      <c r="G634" s="7" t="s">
        <v>29</v>
      </c>
      <c r="H634" s="7">
        <v>38</v>
      </c>
      <c r="I634" s="5">
        <v>180</v>
      </c>
      <c r="J634" s="5">
        <f t="shared" si="9"/>
        <v>6840</v>
      </c>
      <c r="K634" s="7">
        <v>10</v>
      </c>
      <c r="L634" s="7" t="s">
        <v>35</v>
      </c>
      <c r="M634" s="7"/>
    </row>
    <row r="635" spans="2:13" ht="15.6" thickTop="1" thickBot="1" x14ac:dyDescent="0.35">
      <c r="B635" s="8">
        <v>633</v>
      </c>
      <c r="C635" s="9" t="s">
        <v>10</v>
      </c>
      <c r="D635" s="19">
        <v>45408</v>
      </c>
      <c r="E635" s="9" t="s">
        <v>18</v>
      </c>
      <c r="F635" s="9" t="s">
        <v>27</v>
      </c>
      <c r="G635" s="9" t="s">
        <v>30</v>
      </c>
      <c r="H635" s="9">
        <v>171</v>
      </c>
      <c r="I635" s="5">
        <v>90</v>
      </c>
      <c r="J635" s="5">
        <f t="shared" si="9"/>
        <v>15390</v>
      </c>
      <c r="K635" s="9">
        <v>11</v>
      </c>
      <c r="L635" s="9" t="s">
        <v>34</v>
      </c>
      <c r="M635" s="9">
        <v>2</v>
      </c>
    </row>
    <row r="636" spans="2:13" ht="15.6" thickTop="1" thickBot="1" x14ac:dyDescent="0.35">
      <c r="B636" s="6">
        <v>634</v>
      </c>
      <c r="C636" s="7" t="s">
        <v>10</v>
      </c>
      <c r="D636" s="18">
        <v>45409</v>
      </c>
      <c r="E636" s="7" t="s">
        <v>17</v>
      </c>
      <c r="F636" s="7" t="s">
        <v>24</v>
      </c>
      <c r="G636" s="7" t="s">
        <v>28</v>
      </c>
      <c r="H636" s="7">
        <v>247</v>
      </c>
      <c r="I636" s="5">
        <v>135</v>
      </c>
      <c r="J636" s="5">
        <f t="shared" si="9"/>
        <v>33345</v>
      </c>
      <c r="K636" s="7">
        <v>10</v>
      </c>
      <c r="L636" s="7" t="s">
        <v>34</v>
      </c>
      <c r="M636" s="7">
        <v>4</v>
      </c>
    </row>
    <row r="637" spans="2:13" ht="15.6" thickTop="1" thickBot="1" x14ac:dyDescent="0.35">
      <c r="B637" s="8">
        <v>635</v>
      </c>
      <c r="C637" s="9" t="s">
        <v>11</v>
      </c>
      <c r="D637" s="19">
        <v>45410</v>
      </c>
      <c r="E637" s="9" t="s">
        <v>20</v>
      </c>
      <c r="F637" s="9" t="s">
        <v>20</v>
      </c>
      <c r="G637" s="9" t="s">
        <v>31</v>
      </c>
      <c r="H637" s="9">
        <v>157</v>
      </c>
      <c r="I637" s="5">
        <v>90</v>
      </c>
      <c r="J637" s="5">
        <f t="shared" si="9"/>
        <v>14130</v>
      </c>
      <c r="K637" s="9">
        <v>12</v>
      </c>
      <c r="L637" s="9" t="s">
        <v>35</v>
      </c>
      <c r="M637" s="9">
        <v>4</v>
      </c>
    </row>
    <row r="638" spans="2:13" ht="15.6" thickTop="1" thickBot="1" x14ac:dyDescent="0.35">
      <c r="B638" s="6">
        <v>636</v>
      </c>
      <c r="C638" s="7" t="s">
        <v>11</v>
      </c>
      <c r="D638" s="18">
        <v>45411</v>
      </c>
      <c r="E638" s="7" t="s">
        <v>14</v>
      </c>
      <c r="F638" s="7" t="s">
        <v>25</v>
      </c>
      <c r="G638" s="7" t="s">
        <v>29</v>
      </c>
      <c r="H638" s="7">
        <v>141</v>
      </c>
      <c r="I638" s="5">
        <v>90</v>
      </c>
      <c r="J638" s="5">
        <f t="shared" si="9"/>
        <v>12690</v>
      </c>
      <c r="K638" s="7">
        <v>17</v>
      </c>
      <c r="L638" s="7" t="s">
        <v>33</v>
      </c>
      <c r="M638" s="7">
        <v>1</v>
      </c>
    </row>
    <row r="639" spans="2:13" ht="15.6" thickTop="1" thickBot="1" x14ac:dyDescent="0.35">
      <c r="B639" s="8">
        <v>637</v>
      </c>
      <c r="C639" s="9" t="s">
        <v>11</v>
      </c>
      <c r="D639" s="19">
        <v>45412</v>
      </c>
      <c r="E639" s="9" t="s">
        <v>22</v>
      </c>
      <c r="F639" s="9" t="s">
        <v>25</v>
      </c>
      <c r="G639" s="9" t="s">
        <v>29</v>
      </c>
      <c r="H639" s="9">
        <v>203</v>
      </c>
      <c r="I639" s="5">
        <v>180</v>
      </c>
      <c r="J639" s="5">
        <f t="shared" si="9"/>
        <v>36540</v>
      </c>
      <c r="K639" s="9">
        <v>18</v>
      </c>
      <c r="L639" s="9" t="s">
        <v>33</v>
      </c>
      <c r="M639" s="9">
        <v>2</v>
      </c>
    </row>
    <row r="640" spans="2:13" ht="15.6" thickTop="1" thickBot="1" x14ac:dyDescent="0.35">
      <c r="B640" s="6">
        <v>638</v>
      </c>
      <c r="C640" s="7" t="s">
        <v>11</v>
      </c>
      <c r="D640" s="18">
        <v>45413</v>
      </c>
      <c r="E640" s="7" t="s">
        <v>15</v>
      </c>
      <c r="F640" s="7" t="s">
        <v>25</v>
      </c>
      <c r="G640" s="7" t="s">
        <v>29</v>
      </c>
      <c r="H640" s="7">
        <v>55</v>
      </c>
      <c r="I640" s="5">
        <v>135</v>
      </c>
      <c r="J640" s="5">
        <f t="shared" si="9"/>
        <v>7425</v>
      </c>
      <c r="K640" s="7">
        <v>10</v>
      </c>
      <c r="L640" s="7" t="s">
        <v>34</v>
      </c>
      <c r="M640" s="7">
        <v>2</v>
      </c>
    </row>
    <row r="641" spans="2:13" ht="15.6" thickTop="1" thickBot="1" x14ac:dyDescent="0.35">
      <c r="B641" s="8">
        <v>639</v>
      </c>
      <c r="C641" s="9" t="s">
        <v>11</v>
      </c>
      <c r="D641" s="19">
        <v>45414</v>
      </c>
      <c r="E641" s="9" t="s">
        <v>22</v>
      </c>
      <c r="F641" s="9" t="s">
        <v>25</v>
      </c>
      <c r="G641" s="9" t="s">
        <v>32</v>
      </c>
      <c r="H641" s="9">
        <v>78</v>
      </c>
      <c r="I641" s="5">
        <v>90</v>
      </c>
      <c r="J641" s="5">
        <f t="shared" si="9"/>
        <v>7020</v>
      </c>
      <c r="K641" s="9">
        <v>19</v>
      </c>
      <c r="L641" s="9" t="s">
        <v>33</v>
      </c>
      <c r="M641" s="9">
        <v>5</v>
      </c>
    </row>
    <row r="642" spans="2:13" ht="15.6" thickTop="1" thickBot="1" x14ac:dyDescent="0.35">
      <c r="B642" s="6">
        <v>640</v>
      </c>
      <c r="C642" s="7" t="s">
        <v>11</v>
      </c>
      <c r="D642" s="18">
        <v>45415</v>
      </c>
      <c r="E642" s="7" t="s">
        <v>14</v>
      </c>
      <c r="F642" s="7" t="s">
        <v>25</v>
      </c>
      <c r="G642" s="7" t="s">
        <v>32</v>
      </c>
      <c r="H642" s="7">
        <v>81</v>
      </c>
      <c r="I642" s="5">
        <v>90</v>
      </c>
      <c r="J642" s="5">
        <f t="shared" si="9"/>
        <v>7290</v>
      </c>
      <c r="K642" s="7">
        <v>9</v>
      </c>
      <c r="L642" s="7" t="s">
        <v>34</v>
      </c>
      <c r="M642" s="7">
        <v>3</v>
      </c>
    </row>
    <row r="643" spans="2:13" ht="15.6" thickTop="1" thickBot="1" x14ac:dyDescent="0.35">
      <c r="B643" s="8">
        <v>641</v>
      </c>
      <c r="C643" s="9" t="s">
        <v>11</v>
      </c>
      <c r="D643" s="19">
        <v>45416</v>
      </c>
      <c r="E643" s="9" t="s">
        <v>16</v>
      </c>
      <c r="F643" s="9" t="s">
        <v>26</v>
      </c>
      <c r="G643" s="9" t="s">
        <v>31</v>
      </c>
      <c r="H643" s="9">
        <v>46</v>
      </c>
      <c r="I643" s="5">
        <v>135</v>
      </c>
      <c r="J643" s="5">
        <f t="shared" si="9"/>
        <v>6210</v>
      </c>
      <c r="K643" s="9">
        <v>7</v>
      </c>
      <c r="L643" s="9" t="s">
        <v>33</v>
      </c>
      <c r="M643" s="9"/>
    </row>
    <row r="644" spans="2:13" ht="15.6" thickTop="1" thickBot="1" x14ac:dyDescent="0.35">
      <c r="B644" s="6">
        <v>642</v>
      </c>
      <c r="C644" s="7" t="s">
        <v>10</v>
      </c>
      <c r="D644" s="18">
        <v>45417</v>
      </c>
      <c r="E644" s="7" t="s">
        <v>18</v>
      </c>
      <c r="F644" s="7" t="s">
        <v>27</v>
      </c>
      <c r="G644" s="7" t="s">
        <v>32</v>
      </c>
      <c r="H644" s="7">
        <v>172</v>
      </c>
      <c r="I644" s="5">
        <v>90</v>
      </c>
      <c r="J644" s="5">
        <f t="shared" ref="J644:J707" si="10">H644*I644</f>
        <v>15480</v>
      </c>
      <c r="K644" s="7">
        <v>25</v>
      </c>
      <c r="L644" s="7" t="s">
        <v>35</v>
      </c>
      <c r="M644" s="7">
        <v>3</v>
      </c>
    </row>
    <row r="645" spans="2:13" ht="15.6" thickTop="1" thickBot="1" x14ac:dyDescent="0.35">
      <c r="B645" s="8">
        <v>643</v>
      </c>
      <c r="C645" s="9" t="s">
        <v>10</v>
      </c>
      <c r="D645" s="19">
        <v>45418</v>
      </c>
      <c r="E645" s="9" t="s">
        <v>20</v>
      </c>
      <c r="F645" s="9" t="s">
        <v>20</v>
      </c>
      <c r="G645" s="9" t="s">
        <v>31</v>
      </c>
      <c r="H645" s="9">
        <v>131</v>
      </c>
      <c r="I645" s="5">
        <v>225</v>
      </c>
      <c r="J645" s="5">
        <f t="shared" si="10"/>
        <v>29475</v>
      </c>
      <c r="K645" s="9">
        <v>13</v>
      </c>
      <c r="L645" s="9" t="s">
        <v>34</v>
      </c>
      <c r="M645" s="9"/>
    </row>
    <row r="646" spans="2:13" ht="15.6" thickTop="1" thickBot="1" x14ac:dyDescent="0.35">
      <c r="B646" s="6">
        <v>644</v>
      </c>
      <c r="C646" s="7" t="s">
        <v>10</v>
      </c>
      <c r="D646" s="18">
        <v>45419</v>
      </c>
      <c r="E646" s="7" t="s">
        <v>17</v>
      </c>
      <c r="F646" s="7" t="s">
        <v>24</v>
      </c>
      <c r="G646" s="7" t="s">
        <v>28</v>
      </c>
      <c r="H646" s="7">
        <v>71</v>
      </c>
      <c r="I646" s="5">
        <v>135</v>
      </c>
      <c r="J646" s="5">
        <f t="shared" si="10"/>
        <v>9585</v>
      </c>
      <c r="K646" s="7">
        <v>13</v>
      </c>
      <c r="L646" s="7" t="s">
        <v>33</v>
      </c>
      <c r="M646" s="7">
        <v>3</v>
      </c>
    </row>
    <row r="647" spans="2:13" ht="15.6" thickTop="1" thickBot="1" x14ac:dyDescent="0.35">
      <c r="B647" s="8">
        <v>645</v>
      </c>
      <c r="C647" s="9" t="s">
        <v>11</v>
      </c>
      <c r="D647" s="19">
        <v>45420</v>
      </c>
      <c r="E647" s="9" t="s">
        <v>17</v>
      </c>
      <c r="F647" s="9" t="s">
        <v>24</v>
      </c>
      <c r="G647" s="9" t="s">
        <v>32</v>
      </c>
      <c r="H647" s="9">
        <v>159</v>
      </c>
      <c r="I647" s="5">
        <v>90</v>
      </c>
      <c r="J647" s="5">
        <f t="shared" si="10"/>
        <v>14310</v>
      </c>
      <c r="K647" s="9">
        <v>19</v>
      </c>
      <c r="L647" s="9" t="s">
        <v>33</v>
      </c>
      <c r="M647" s="9">
        <v>4</v>
      </c>
    </row>
    <row r="648" spans="2:13" ht="15.6" thickTop="1" thickBot="1" x14ac:dyDescent="0.35">
      <c r="B648" s="6">
        <v>646</v>
      </c>
      <c r="C648" s="7" t="s">
        <v>11</v>
      </c>
      <c r="D648" s="18">
        <v>45421</v>
      </c>
      <c r="E648" s="7" t="s">
        <v>19</v>
      </c>
      <c r="F648" s="7" t="s">
        <v>23</v>
      </c>
      <c r="G648" s="7" t="s">
        <v>30</v>
      </c>
      <c r="H648" s="7">
        <v>223</v>
      </c>
      <c r="I648" s="5">
        <v>135</v>
      </c>
      <c r="J648" s="5">
        <f t="shared" si="10"/>
        <v>30105</v>
      </c>
      <c r="K648" s="7">
        <v>20</v>
      </c>
      <c r="L648" s="7" t="s">
        <v>34</v>
      </c>
      <c r="M648" s="7">
        <v>4</v>
      </c>
    </row>
    <row r="649" spans="2:13" ht="15.6" thickTop="1" thickBot="1" x14ac:dyDescent="0.35">
      <c r="B649" s="8">
        <v>647</v>
      </c>
      <c r="C649" s="9" t="s">
        <v>10</v>
      </c>
      <c r="D649" s="19">
        <v>45422</v>
      </c>
      <c r="E649" s="9" t="s">
        <v>17</v>
      </c>
      <c r="F649" s="9" t="s">
        <v>24</v>
      </c>
      <c r="G649" s="9" t="s">
        <v>29</v>
      </c>
      <c r="H649" s="9">
        <v>179</v>
      </c>
      <c r="I649" s="5">
        <v>135</v>
      </c>
      <c r="J649" s="5">
        <f t="shared" si="10"/>
        <v>24165</v>
      </c>
      <c r="K649" s="9">
        <v>17</v>
      </c>
      <c r="L649" s="9" t="s">
        <v>35</v>
      </c>
      <c r="M649" s="9">
        <v>1</v>
      </c>
    </row>
    <row r="650" spans="2:13" ht="15.6" thickTop="1" thickBot="1" x14ac:dyDescent="0.35">
      <c r="B650" s="6">
        <v>648</v>
      </c>
      <c r="C650" s="7" t="s">
        <v>10</v>
      </c>
      <c r="D650" s="18">
        <v>45423</v>
      </c>
      <c r="E650" s="7" t="s">
        <v>13</v>
      </c>
      <c r="F650" s="7" t="s">
        <v>24</v>
      </c>
      <c r="G650" s="7" t="s">
        <v>29</v>
      </c>
      <c r="H650" s="7">
        <v>68</v>
      </c>
      <c r="I650" s="5">
        <v>90</v>
      </c>
      <c r="J650" s="5">
        <f t="shared" si="10"/>
        <v>6120</v>
      </c>
      <c r="K650" s="7">
        <v>11</v>
      </c>
      <c r="L650" s="7" t="s">
        <v>34</v>
      </c>
      <c r="M650" s="7">
        <v>5</v>
      </c>
    </row>
    <row r="651" spans="2:13" ht="15.6" thickTop="1" thickBot="1" x14ac:dyDescent="0.35">
      <c r="B651" s="8">
        <v>649</v>
      </c>
      <c r="C651" s="9" t="s">
        <v>10</v>
      </c>
      <c r="D651" s="19">
        <v>45424</v>
      </c>
      <c r="E651" s="9" t="s">
        <v>16</v>
      </c>
      <c r="F651" s="9" t="s">
        <v>26</v>
      </c>
      <c r="G651" s="9" t="s">
        <v>28</v>
      </c>
      <c r="H651" s="9">
        <v>249</v>
      </c>
      <c r="I651" s="5">
        <v>225</v>
      </c>
      <c r="J651" s="5">
        <f t="shared" si="10"/>
        <v>56025</v>
      </c>
      <c r="K651" s="9">
        <v>11</v>
      </c>
      <c r="L651" s="9" t="s">
        <v>34</v>
      </c>
      <c r="M651" s="9">
        <v>1</v>
      </c>
    </row>
    <row r="652" spans="2:13" ht="15.6" thickTop="1" thickBot="1" x14ac:dyDescent="0.35">
      <c r="B652" s="6">
        <v>650</v>
      </c>
      <c r="C652" s="7" t="s">
        <v>10</v>
      </c>
      <c r="D652" s="18">
        <v>45425</v>
      </c>
      <c r="E652" s="7" t="s">
        <v>16</v>
      </c>
      <c r="F652" s="7" t="s">
        <v>26</v>
      </c>
      <c r="G652" s="7" t="s">
        <v>30</v>
      </c>
      <c r="H652" s="7">
        <v>122</v>
      </c>
      <c r="I652" s="5">
        <v>135</v>
      </c>
      <c r="J652" s="5">
        <f t="shared" si="10"/>
        <v>16470</v>
      </c>
      <c r="K652" s="7">
        <v>20</v>
      </c>
      <c r="L652" s="7" t="s">
        <v>34</v>
      </c>
      <c r="M652" s="7"/>
    </row>
    <row r="653" spans="2:13" ht="15.6" thickTop="1" thickBot="1" x14ac:dyDescent="0.35">
      <c r="B653" s="8">
        <v>651</v>
      </c>
      <c r="C653" s="9" t="s">
        <v>10</v>
      </c>
      <c r="D653" s="19">
        <v>45426</v>
      </c>
      <c r="E653" s="9" t="s">
        <v>21</v>
      </c>
      <c r="F653" s="9" t="s">
        <v>26</v>
      </c>
      <c r="G653" s="9" t="s">
        <v>32</v>
      </c>
      <c r="H653" s="9">
        <v>225</v>
      </c>
      <c r="I653" s="5">
        <v>225</v>
      </c>
      <c r="J653" s="5">
        <f t="shared" si="10"/>
        <v>50625</v>
      </c>
      <c r="K653" s="9">
        <v>19</v>
      </c>
      <c r="L653" s="9" t="s">
        <v>33</v>
      </c>
      <c r="M653" s="9">
        <v>2</v>
      </c>
    </row>
    <row r="654" spans="2:13" ht="15.6" thickTop="1" thickBot="1" x14ac:dyDescent="0.35">
      <c r="B654" s="6">
        <v>652</v>
      </c>
      <c r="C654" s="7" t="s">
        <v>10</v>
      </c>
      <c r="D654" s="18">
        <v>45427</v>
      </c>
      <c r="E654" s="7" t="s">
        <v>12</v>
      </c>
      <c r="F654" s="7" t="s">
        <v>23</v>
      </c>
      <c r="G654" s="7" t="s">
        <v>28</v>
      </c>
      <c r="H654" s="7">
        <v>161</v>
      </c>
      <c r="I654" s="5">
        <v>225</v>
      </c>
      <c r="J654" s="5">
        <f t="shared" si="10"/>
        <v>36225</v>
      </c>
      <c r="K654" s="7">
        <v>16</v>
      </c>
      <c r="L654" s="7" t="s">
        <v>34</v>
      </c>
      <c r="M654" s="7">
        <v>1</v>
      </c>
    </row>
    <row r="655" spans="2:13" ht="15.6" thickTop="1" thickBot="1" x14ac:dyDescent="0.35">
      <c r="B655" s="8">
        <v>653</v>
      </c>
      <c r="C655" s="9" t="s">
        <v>11</v>
      </c>
      <c r="D655" s="19">
        <v>45428</v>
      </c>
      <c r="E655" s="9" t="s">
        <v>15</v>
      </c>
      <c r="F655" s="9" t="s">
        <v>25</v>
      </c>
      <c r="G655" s="9" t="s">
        <v>29</v>
      </c>
      <c r="H655" s="9">
        <v>52</v>
      </c>
      <c r="I655" s="5">
        <v>135</v>
      </c>
      <c r="J655" s="5">
        <f t="shared" si="10"/>
        <v>7020</v>
      </c>
      <c r="K655" s="9">
        <v>9</v>
      </c>
      <c r="L655" s="9" t="s">
        <v>33</v>
      </c>
      <c r="M655" s="9"/>
    </row>
    <row r="656" spans="2:13" ht="15.6" thickTop="1" thickBot="1" x14ac:dyDescent="0.35">
      <c r="B656" s="6">
        <v>654</v>
      </c>
      <c r="C656" s="7" t="s">
        <v>10</v>
      </c>
      <c r="D656" s="18">
        <v>45429</v>
      </c>
      <c r="E656" s="7" t="s">
        <v>14</v>
      </c>
      <c r="F656" s="7" t="s">
        <v>25</v>
      </c>
      <c r="G656" s="7" t="s">
        <v>31</v>
      </c>
      <c r="H656" s="7">
        <v>214</v>
      </c>
      <c r="I656" s="5">
        <v>180</v>
      </c>
      <c r="J656" s="5">
        <f t="shared" si="10"/>
        <v>38520</v>
      </c>
      <c r="K656" s="7">
        <v>13</v>
      </c>
      <c r="L656" s="7" t="s">
        <v>33</v>
      </c>
      <c r="M656" s="7">
        <v>2</v>
      </c>
    </row>
    <row r="657" spans="2:13" ht="15.6" thickTop="1" thickBot="1" x14ac:dyDescent="0.35">
      <c r="B657" s="8">
        <v>655</v>
      </c>
      <c r="C657" s="9" t="s">
        <v>11</v>
      </c>
      <c r="D657" s="19">
        <v>45430</v>
      </c>
      <c r="E657" s="9" t="s">
        <v>19</v>
      </c>
      <c r="F657" s="9" t="s">
        <v>23</v>
      </c>
      <c r="G657" s="9" t="s">
        <v>32</v>
      </c>
      <c r="H657" s="9">
        <v>247</v>
      </c>
      <c r="I657" s="5">
        <v>45</v>
      </c>
      <c r="J657" s="5">
        <f t="shared" si="10"/>
        <v>11115</v>
      </c>
      <c r="K657" s="9">
        <v>20</v>
      </c>
      <c r="L657" s="9" t="s">
        <v>33</v>
      </c>
      <c r="M657" s="9">
        <v>4</v>
      </c>
    </row>
    <row r="658" spans="2:13" ht="15.6" thickTop="1" thickBot="1" x14ac:dyDescent="0.35">
      <c r="B658" s="6">
        <v>656</v>
      </c>
      <c r="C658" s="7" t="s">
        <v>10</v>
      </c>
      <c r="D658" s="18">
        <v>45431</v>
      </c>
      <c r="E658" s="7" t="s">
        <v>13</v>
      </c>
      <c r="F658" s="7" t="s">
        <v>24</v>
      </c>
      <c r="G658" s="7" t="s">
        <v>28</v>
      </c>
      <c r="H658" s="7">
        <v>84</v>
      </c>
      <c r="I658" s="5">
        <v>90</v>
      </c>
      <c r="J658" s="5">
        <f t="shared" si="10"/>
        <v>7560</v>
      </c>
      <c r="K658" s="7">
        <v>22</v>
      </c>
      <c r="L658" s="7" t="s">
        <v>33</v>
      </c>
      <c r="M658" s="7">
        <v>5</v>
      </c>
    </row>
    <row r="659" spans="2:13" ht="15.6" thickTop="1" thickBot="1" x14ac:dyDescent="0.35">
      <c r="B659" s="8">
        <v>657</v>
      </c>
      <c r="C659" s="9" t="s">
        <v>10</v>
      </c>
      <c r="D659" s="19">
        <v>45432</v>
      </c>
      <c r="E659" s="9" t="s">
        <v>13</v>
      </c>
      <c r="F659" s="9" t="s">
        <v>24</v>
      </c>
      <c r="G659" s="9" t="s">
        <v>32</v>
      </c>
      <c r="H659" s="9">
        <v>201</v>
      </c>
      <c r="I659" s="5">
        <v>45</v>
      </c>
      <c r="J659" s="5">
        <f t="shared" si="10"/>
        <v>9045</v>
      </c>
      <c r="K659" s="9">
        <v>22</v>
      </c>
      <c r="L659" s="9" t="s">
        <v>33</v>
      </c>
      <c r="M659" s="9">
        <v>1</v>
      </c>
    </row>
    <row r="660" spans="2:13" ht="15.6" thickTop="1" thickBot="1" x14ac:dyDescent="0.35">
      <c r="B660" s="6">
        <v>658</v>
      </c>
      <c r="C660" s="7" t="s">
        <v>11</v>
      </c>
      <c r="D660" s="18">
        <v>45433</v>
      </c>
      <c r="E660" s="7" t="s">
        <v>22</v>
      </c>
      <c r="F660" s="7" t="s">
        <v>25</v>
      </c>
      <c r="G660" s="7" t="s">
        <v>29</v>
      </c>
      <c r="H660" s="7">
        <v>50</v>
      </c>
      <c r="I660" s="5">
        <v>180</v>
      </c>
      <c r="J660" s="5">
        <f t="shared" si="10"/>
        <v>9000</v>
      </c>
      <c r="K660" s="7">
        <v>18</v>
      </c>
      <c r="L660" s="7" t="s">
        <v>34</v>
      </c>
      <c r="M660" s="7">
        <v>1</v>
      </c>
    </row>
    <row r="661" spans="2:13" ht="15.6" thickTop="1" thickBot="1" x14ac:dyDescent="0.35">
      <c r="B661" s="8">
        <v>659</v>
      </c>
      <c r="C661" s="9" t="s">
        <v>10</v>
      </c>
      <c r="D661" s="19">
        <v>45434</v>
      </c>
      <c r="E661" s="9" t="s">
        <v>21</v>
      </c>
      <c r="F661" s="9" t="s">
        <v>26</v>
      </c>
      <c r="G661" s="9" t="s">
        <v>30</v>
      </c>
      <c r="H661" s="9">
        <v>146</v>
      </c>
      <c r="I661" s="5">
        <v>180</v>
      </c>
      <c r="J661" s="5">
        <f t="shared" si="10"/>
        <v>26280</v>
      </c>
      <c r="K661" s="9">
        <v>21</v>
      </c>
      <c r="L661" s="9" t="s">
        <v>34</v>
      </c>
      <c r="M661" s="9">
        <v>2</v>
      </c>
    </row>
    <row r="662" spans="2:13" ht="15.6" thickTop="1" thickBot="1" x14ac:dyDescent="0.35">
      <c r="B662" s="6">
        <v>660</v>
      </c>
      <c r="C662" s="7" t="s">
        <v>11</v>
      </c>
      <c r="D662" s="18">
        <v>45435</v>
      </c>
      <c r="E662" s="7" t="s">
        <v>18</v>
      </c>
      <c r="F662" s="7" t="s">
        <v>27</v>
      </c>
      <c r="G662" s="7" t="s">
        <v>30</v>
      </c>
      <c r="H662" s="7">
        <v>75</v>
      </c>
      <c r="I662" s="5">
        <v>135</v>
      </c>
      <c r="J662" s="5">
        <f t="shared" si="10"/>
        <v>10125</v>
      </c>
      <c r="K662" s="7">
        <v>7</v>
      </c>
      <c r="L662" s="7" t="s">
        <v>34</v>
      </c>
      <c r="M662" s="7">
        <v>1</v>
      </c>
    </row>
    <row r="663" spans="2:13" ht="15.6" thickTop="1" thickBot="1" x14ac:dyDescent="0.35">
      <c r="B663" s="8">
        <v>661</v>
      </c>
      <c r="C663" s="9" t="s">
        <v>10</v>
      </c>
      <c r="D663" s="19">
        <v>45436</v>
      </c>
      <c r="E663" s="9" t="s">
        <v>14</v>
      </c>
      <c r="F663" s="9" t="s">
        <v>25</v>
      </c>
      <c r="G663" s="9" t="s">
        <v>29</v>
      </c>
      <c r="H663" s="9">
        <v>211</v>
      </c>
      <c r="I663" s="5">
        <v>135</v>
      </c>
      <c r="J663" s="5">
        <f t="shared" si="10"/>
        <v>28485</v>
      </c>
      <c r="K663" s="9">
        <v>16</v>
      </c>
      <c r="L663" s="9" t="s">
        <v>34</v>
      </c>
      <c r="M663" s="9">
        <v>5</v>
      </c>
    </row>
    <row r="664" spans="2:13" ht="15.6" thickTop="1" thickBot="1" x14ac:dyDescent="0.35">
      <c r="B664" s="6">
        <v>662</v>
      </c>
      <c r="C664" s="7" t="s">
        <v>10</v>
      </c>
      <c r="D664" s="18">
        <v>45437</v>
      </c>
      <c r="E664" s="7" t="s">
        <v>21</v>
      </c>
      <c r="F664" s="7" t="s">
        <v>26</v>
      </c>
      <c r="G664" s="7" t="s">
        <v>31</v>
      </c>
      <c r="H664" s="7">
        <v>188</v>
      </c>
      <c r="I664" s="5">
        <v>90</v>
      </c>
      <c r="J664" s="5">
        <f t="shared" si="10"/>
        <v>16920</v>
      </c>
      <c r="K664" s="7">
        <v>20</v>
      </c>
      <c r="L664" s="7" t="s">
        <v>34</v>
      </c>
      <c r="M664" s="7">
        <v>4</v>
      </c>
    </row>
    <row r="665" spans="2:13" ht="15.6" thickTop="1" thickBot="1" x14ac:dyDescent="0.35">
      <c r="B665" s="8">
        <v>663</v>
      </c>
      <c r="C665" s="9" t="s">
        <v>11</v>
      </c>
      <c r="D665" s="19">
        <v>45438</v>
      </c>
      <c r="E665" s="9" t="s">
        <v>13</v>
      </c>
      <c r="F665" s="9" t="s">
        <v>24</v>
      </c>
      <c r="G665" s="9" t="s">
        <v>29</v>
      </c>
      <c r="H665" s="9">
        <v>183</v>
      </c>
      <c r="I665" s="5">
        <v>225</v>
      </c>
      <c r="J665" s="5">
        <f t="shared" si="10"/>
        <v>41175</v>
      </c>
      <c r="K665" s="9">
        <v>11</v>
      </c>
      <c r="L665" s="9" t="s">
        <v>33</v>
      </c>
      <c r="M665" s="9">
        <v>4</v>
      </c>
    </row>
    <row r="666" spans="2:13" ht="15.6" thickTop="1" thickBot="1" x14ac:dyDescent="0.35">
      <c r="B666" s="6">
        <v>664</v>
      </c>
      <c r="C666" s="7" t="s">
        <v>11</v>
      </c>
      <c r="D666" s="18">
        <v>45439</v>
      </c>
      <c r="E666" s="7" t="s">
        <v>12</v>
      </c>
      <c r="F666" s="7" t="s">
        <v>23</v>
      </c>
      <c r="G666" s="7" t="s">
        <v>29</v>
      </c>
      <c r="H666" s="7">
        <v>148</v>
      </c>
      <c r="I666" s="5">
        <v>45</v>
      </c>
      <c r="J666" s="5">
        <f t="shared" si="10"/>
        <v>6660</v>
      </c>
      <c r="K666" s="7">
        <v>15</v>
      </c>
      <c r="L666" s="7" t="s">
        <v>33</v>
      </c>
      <c r="M666" s="7"/>
    </row>
    <row r="667" spans="2:13" ht="15.6" thickTop="1" thickBot="1" x14ac:dyDescent="0.35">
      <c r="B667" s="8">
        <v>665</v>
      </c>
      <c r="C667" s="9" t="s">
        <v>11</v>
      </c>
      <c r="D667" s="19">
        <v>45440</v>
      </c>
      <c r="E667" s="9" t="s">
        <v>15</v>
      </c>
      <c r="F667" s="9" t="s">
        <v>25</v>
      </c>
      <c r="G667" s="9" t="s">
        <v>31</v>
      </c>
      <c r="H667" s="9">
        <v>46</v>
      </c>
      <c r="I667" s="5">
        <v>135</v>
      </c>
      <c r="J667" s="5">
        <f t="shared" si="10"/>
        <v>6210</v>
      </c>
      <c r="K667" s="9">
        <v>12</v>
      </c>
      <c r="L667" s="9" t="s">
        <v>35</v>
      </c>
      <c r="M667" s="9">
        <v>1</v>
      </c>
    </row>
    <row r="668" spans="2:13" ht="15.6" thickTop="1" thickBot="1" x14ac:dyDescent="0.35">
      <c r="B668" s="6">
        <v>666</v>
      </c>
      <c r="C668" s="7" t="s">
        <v>10</v>
      </c>
      <c r="D668" s="18">
        <v>45441</v>
      </c>
      <c r="E668" s="7" t="s">
        <v>20</v>
      </c>
      <c r="F668" s="7" t="s">
        <v>20</v>
      </c>
      <c r="G668" s="7" t="s">
        <v>31</v>
      </c>
      <c r="H668" s="7">
        <v>189</v>
      </c>
      <c r="I668" s="5">
        <v>180</v>
      </c>
      <c r="J668" s="5">
        <f t="shared" si="10"/>
        <v>34020</v>
      </c>
      <c r="K668" s="7">
        <v>11</v>
      </c>
      <c r="L668" s="7" t="s">
        <v>33</v>
      </c>
      <c r="M668" s="7">
        <v>2</v>
      </c>
    </row>
    <row r="669" spans="2:13" ht="15.6" thickTop="1" thickBot="1" x14ac:dyDescent="0.35">
      <c r="B669" s="8">
        <v>667</v>
      </c>
      <c r="C669" s="9" t="s">
        <v>11</v>
      </c>
      <c r="D669" s="19">
        <v>45442</v>
      </c>
      <c r="E669" s="9" t="s">
        <v>12</v>
      </c>
      <c r="F669" s="9" t="s">
        <v>23</v>
      </c>
      <c r="G669" s="9" t="s">
        <v>28</v>
      </c>
      <c r="H669" s="9">
        <v>224</v>
      </c>
      <c r="I669" s="5">
        <v>180</v>
      </c>
      <c r="J669" s="5">
        <f t="shared" si="10"/>
        <v>40320</v>
      </c>
      <c r="K669" s="9">
        <v>18</v>
      </c>
      <c r="L669" s="9" t="s">
        <v>34</v>
      </c>
      <c r="M669" s="9">
        <v>4</v>
      </c>
    </row>
    <row r="670" spans="2:13" ht="15.6" thickTop="1" thickBot="1" x14ac:dyDescent="0.35">
      <c r="B670" s="6">
        <v>668</v>
      </c>
      <c r="C670" s="7" t="s">
        <v>11</v>
      </c>
      <c r="D670" s="18">
        <v>45443</v>
      </c>
      <c r="E670" s="7" t="s">
        <v>22</v>
      </c>
      <c r="F670" s="7" t="s">
        <v>25</v>
      </c>
      <c r="G670" s="7" t="s">
        <v>28</v>
      </c>
      <c r="H670" s="7">
        <v>45</v>
      </c>
      <c r="I670" s="5">
        <v>90</v>
      </c>
      <c r="J670" s="5">
        <f t="shared" si="10"/>
        <v>4050</v>
      </c>
      <c r="K670" s="7">
        <v>20</v>
      </c>
      <c r="L670" s="7" t="s">
        <v>35</v>
      </c>
      <c r="M670" s="7">
        <v>3</v>
      </c>
    </row>
    <row r="671" spans="2:13" ht="15.6" thickTop="1" thickBot="1" x14ac:dyDescent="0.35">
      <c r="B671" s="8">
        <v>669</v>
      </c>
      <c r="C671" s="9" t="s">
        <v>11</v>
      </c>
      <c r="D671" s="19">
        <v>45444</v>
      </c>
      <c r="E671" s="9" t="s">
        <v>18</v>
      </c>
      <c r="F671" s="9" t="s">
        <v>27</v>
      </c>
      <c r="G671" s="9" t="s">
        <v>31</v>
      </c>
      <c r="H671" s="9">
        <v>246</v>
      </c>
      <c r="I671" s="5">
        <v>45</v>
      </c>
      <c r="J671" s="5">
        <f t="shared" si="10"/>
        <v>11070</v>
      </c>
      <c r="K671" s="9">
        <v>14</v>
      </c>
      <c r="L671" s="9" t="s">
        <v>33</v>
      </c>
      <c r="M671" s="9">
        <v>2</v>
      </c>
    </row>
    <row r="672" spans="2:13" ht="15.6" thickTop="1" thickBot="1" x14ac:dyDescent="0.35">
      <c r="B672" s="6">
        <v>670</v>
      </c>
      <c r="C672" s="7" t="s">
        <v>11</v>
      </c>
      <c r="D672" s="18">
        <v>45445</v>
      </c>
      <c r="E672" s="7" t="s">
        <v>20</v>
      </c>
      <c r="F672" s="7" t="s">
        <v>20</v>
      </c>
      <c r="G672" s="7" t="s">
        <v>30</v>
      </c>
      <c r="H672" s="7">
        <v>55</v>
      </c>
      <c r="I672" s="5">
        <v>45</v>
      </c>
      <c r="J672" s="5">
        <f t="shared" si="10"/>
        <v>2475</v>
      </c>
      <c r="K672" s="7">
        <v>10</v>
      </c>
      <c r="L672" s="7" t="s">
        <v>33</v>
      </c>
      <c r="M672" s="7">
        <v>2</v>
      </c>
    </row>
    <row r="673" spans="2:13" ht="15.6" thickTop="1" thickBot="1" x14ac:dyDescent="0.35">
      <c r="B673" s="8">
        <v>671</v>
      </c>
      <c r="C673" s="9" t="s">
        <v>11</v>
      </c>
      <c r="D673" s="19">
        <v>45446</v>
      </c>
      <c r="E673" s="9" t="s">
        <v>19</v>
      </c>
      <c r="F673" s="9" t="s">
        <v>23</v>
      </c>
      <c r="G673" s="9" t="s">
        <v>29</v>
      </c>
      <c r="H673" s="9">
        <v>63</v>
      </c>
      <c r="I673" s="5">
        <v>225</v>
      </c>
      <c r="J673" s="5">
        <f t="shared" si="10"/>
        <v>14175</v>
      </c>
      <c r="K673" s="9">
        <v>10</v>
      </c>
      <c r="L673" s="9" t="s">
        <v>35</v>
      </c>
      <c r="M673" s="9">
        <v>4</v>
      </c>
    </row>
    <row r="674" spans="2:13" ht="15.6" thickTop="1" thickBot="1" x14ac:dyDescent="0.35">
      <c r="B674" s="6">
        <v>672</v>
      </c>
      <c r="C674" s="7" t="s">
        <v>10</v>
      </c>
      <c r="D674" s="18">
        <v>45447</v>
      </c>
      <c r="E674" s="7" t="s">
        <v>12</v>
      </c>
      <c r="F674" s="7" t="s">
        <v>23</v>
      </c>
      <c r="G674" s="7" t="s">
        <v>31</v>
      </c>
      <c r="H674" s="7">
        <v>163</v>
      </c>
      <c r="I674" s="5">
        <v>180</v>
      </c>
      <c r="J674" s="5">
        <f t="shared" si="10"/>
        <v>29340</v>
      </c>
      <c r="K674" s="7">
        <v>14</v>
      </c>
      <c r="L674" s="7" t="s">
        <v>33</v>
      </c>
      <c r="M674" s="7"/>
    </row>
    <row r="675" spans="2:13" ht="15.6" thickTop="1" thickBot="1" x14ac:dyDescent="0.35">
      <c r="B675" s="8">
        <v>673</v>
      </c>
      <c r="C675" s="9" t="s">
        <v>11</v>
      </c>
      <c r="D675" s="19">
        <v>45448</v>
      </c>
      <c r="E675" s="9" t="s">
        <v>15</v>
      </c>
      <c r="F675" s="9" t="s">
        <v>25</v>
      </c>
      <c r="G675" s="9" t="s">
        <v>31</v>
      </c>
      <c r="H675" s="9">
        <v>222</v>
      </c>
      <c r="I675" s="5">
        <v>45</v>
      </c>
      <c r="J675" s="5">
        <f t="shared" si="10"/>
        <v>9990</v>
      </c>
      <c r="K675" s="9">
        <v>8</v>
      </c>
      <c r="L675" s="9" t="s">
        <v>33</v>
      </c>
      <c r="M675" s="9">
        <v>3</v>
      </c>
    </row>
    <row r="676" spans="2:13" ht="15.6" thickTop="1" thickBot="1" x14ac:dyDescent="0.35">
      <c r="B676" s="6">
        <v>674</v>
      </c>
      <c r="C676" s="7" t="s">
        <v>11</v>
      </c>
      <c r="D676" s="18">
        <v>45449</v>
      </c>
      <c r="E676" s="7" t="s">
        <v>20</v>
      </c>
      <c r="F676" s="7" t="s">
        <v>20</v>
      </c>
      <c r="G676" s="7" t="s">
        <v>32</v>
      </c>
      <c r="H676" s="7">
        <v>197</v>
      </c>
      <c r="I676" s="5">
        <v>180</v>
      </c>
      <c r="J676" s="5">
        <f t="shared" si="10"/>
        <v>35460</v>
      </c>
      <c r="K676" s="7">
        <v>17</v>
      </c>
      <c r="L676" s="7" t="s">
        <v>33</v>
      </c>
      <c r="M676" s="7">
        <v>4</v>
      </c>
    </row>
    <row r="677" spans="2:13" ht="15.6" thickTop="1" thickBot="1" x14ac:dyDescent="0.35">
      <c r="B677" s="8">
        <v>675</v>
      </c>
      <c r="C677" s="9" t="s">
        <v>10</v>
      </c>
      <c r="D677" s="19">
        <v>45450</v>
      </c>
      <c r="E677" s="9" t="s">
        <v>19</v>
      </c>
      <c r="F677" s="9" t="s">
        <v>23</v>
      </c>
      <c r="G677" s="9" t="s">
        <v>29</v>
      </c>
      <c r="H677" s="9">
        <v>147</v>
      </c>
      <c r="I677" s="5">
        <v>225</v>
      </c>
      <c r="J677" s="5">
        <f t="shared" si="10"/>
        <v>33075</v>
      </c>
      <c r="K677" s="9">
        <v>14</v>
      </c>
      <c r="L677" s="9" t="s">
        <v>34</v>
      </c>
      <c r="M677" s="9">
        <v>2</v>
      </c>
    </row>
    <row r="678" spans="2:13" ht="15.6" thickTop="1" thickBot="1" x14ac:dyDescent="0.35">
      <c r="B678" s="6">
        <v>676</v>
      </c>
      <c r="C678" s="7" t="s">
        <v>10</v>
      </c>
      <c r="D678" s="18">
        <v>45451</v>
      </c>
      <c r="E678" s="7" t="s">
        <v>20</v>
      </c>
      <c r="F678" s="7" t="s">
        <v>20</v>
      </c>
      <c r="G678" s="7" t="s">
        <v>32</v>
      </c>
      <c r="H678" s="7">
        <v>52</v>
      </c>
      <c r="I678" s="5">
        <v>90</v>
      </c>
      <c r="J678" s="5">
        <f t="shared" si="10"/>
        <v>4680</v>
      </c>
      <c r="K678" s="7">
        <v>19</v>
      </c>
      <c r="L678" s="7" t="s">
        <v>35</v>
      </c>
      <c r="M678" s="7">
        <v>1</v>
      </c>
    </row>
    <row r="679" spans="2:13" ht="15.6" thickTop="1" thickBot="1" x14ac:dyDescent="0.35">
      <c r="B679" s="8">
        <v>677</v>
      </c>
      <c r="C679" s="9" t="s">
        <v>10</v>
      </c>
      <c r="D679" s="19">
        <v>45452</v>
      </c>
      <c r="E679" s="9" t="s">
        <v>15</v>
      </c>
      <c r="F679" s="9" t="s">
        <v>25</v>
      </c>
      <c r="G679" s="9" t="s">
        <v>32</v>
      </c>
      <c r="H679" s="9">
        <v>135</v>
      </c>
      <c r="I679" s="5">
        <v>225</v>
      </c>
      <c r="J679" s="5">
        <f t="shared" si="10"/>
        <v>30375</v>
      </c>
      <c r="K679" s="9">
        <v>15</v>
      </c>
      <c r="L679" s="9" t="s">
        <v>35</v>
      </c>
      <c r="M679" s="9"/>
    </row>
    <row r="680" spans="2:13" ht="15.6" thickTop="1" thickBot="1" x14ac:dyDescent="0.35">
      <c r="B680" s="6">
        <v>678</v>
      </c>
      <c r="C680" s="7" t="s">
        <v>10</v>
      </c>
      <c r="D680" s="18">
        <v>45453</v>
      </c>
      <c r="E680" s="7" t="s">
        <v>21</v>
      </c>
      <c r="F680" s="7" t="s">
        <v>26</v>
      </c>
      <c r="G680" s="7" t="s">
        <v>31</v>
      </c>
      <c r="H680" s="7">
        <v>85</v>
      </c>
      <c r="I680" s="5">
        <v>45</v>
      </c>
      <c r="J680" s="5">
        <f t="shared" si="10"/>
        <v>3825</v>
      </c>
      <c r="K680" s="7">
        <v>19</v>
      </c>
      <c r="L680" s="7" t="s">
        <v>33</v>
      </c>
      <c r="M680" s="7"/>
    </row>
    <row r="681" spans="2:13" ht="15.6" thickTop="1" thickBot="1" x14ac:dyDescent="0.35">
      <c r="B681" s="8">
        <v>679</v>
      </c>
      <c r="C681" s="9" t="s">
        <v>11</v>
      </c>
      <c r="D681" s="19">
        <v>45454</v>
      </c>
      <c r="E681" s="9" t="s">
        <v>17</v>
      </c>
      <c r="F681" s="9" t="s">
        <v>24</v>
      </c>
      <c r="G681" s="9" t="s">
        <v>28</v>
      </c>
      <c r="H681" s="9">
        <v>180</v>
      </c>
      <c r="I681" s="5">
        <v>225</v>
      </c>
      <c r="J681" s="5">
        <f t="shared" si="10"/>
        <v>40500</v>
      </c>
      <c r="K681" s="9">
        <v>12</v>
      </c>
      <c r="L681" s="9" t="s">
        <v>34</v>
      </c>
      <c r="M681" s="9"/>
    </row>
    <row r="682" spans="2:13" ht="15.6" thickTop="1" thickBot="1" x14ac:dyDescent="0.35">
      <c r="B682" s="6">
        <v>680</v>
      </c>
      <c r="C682" s="7" t="s">
        <v>11</v>
      </c>
      <c r="D682" s="18">
        <v>45455</v>
      </c>
      <c r="E682" s="7" t="s">
        <v>17</v>
      </c>
      <c r="F682" s="7" t="s">
        <v>24</v>
      </c>
      <c r="G682" s="7" t="s">
        <v>28</v>
      </c>
      <c r="H682" s="7">
        <v>209</v>
      </c>
      <c r="I682" s="5">
        <v>225</v>
      </c>
      <c r="J682" s="5">
        <f t="shared" si="10"/>
        <v>47025</v>
      </c>
      <c r="K682" s="7">
        <v>18</v>
      </c>
      <c r="L682" s="7" t="s">
        <v>33</v>
      </c>
      <c r="M682" s="7">
        <v>3</v>
      </c>
    </row>
    <row r="683" spans="2:13" ht="15.6" thickTop="1" thickBot="1" x14ac:dyDescent="0.35">
      <c r="B683" s="8">
        <v>681</v>
      </c>
      <c r="C683" s="9" t="s">
        <v>10</v>
      </c>
      <c r="D683" s="19">
        <v>45456</v>
      </c>
      <c r="E683" s="9" t="s">
        <v>15</v>
      </c>
      <c r="F683" s="9" t="s">
        <v>25</v>
      </c>
      <c r="G683" s="9" t="s">
        <v>28</v>
      </c>
      <c r="H683" s="9">
        <v>205</v>
      </c>
      <c r="I683" s="5">
        <v>90</v>
      </c>
      <c r="J683" s="5">
        <f t="shared" si="10"/>
        <v>18450</v>
      </c>
      <c r="K683" s="9">
        <v>11</v>
      </c>
      <c r="L683" s="9" t="s">
        <v>34</v>
      </c>
      <c r="M683" s="9"/>
    </row>
    <row r="684" spans="2:13" ht="15.6" thickTop="1" thickBot="1" x14ac:dyDescent="0.35">
      <c r="B684" s="6">
        <v>682</v>
      </c>
      <c r="C684" s="7" t="s">
        <v>10</v>
      </c>
      <c r="D684" s="18">
        <v>45457</v>
      </c>
      <c r="E684" s="7" t="s">
        <v>18</v>
      </c>
      <c r="F684" s="7" t="s">
        <v>27</v>
      </c>
      <c r="G684" s="7" t="s">
        <v>31</v>
      </c>
      <c r="H684" s="7">
        <v>104</v>
      </c>
      <c r="I684" s="5">
        <v>45</v>
      </c>
      <c r="J684" s="5">
        <f t="shared" si="10"/>
        <v>4680</v>
      </c>
      <c r="K684" s="7">
        <v>13</v>
      </c>
      <c r="L684" s="7" t="s">
        <v>33</v>
      </c>
      <c r="M684" s="7"/>
    </row>
    <row r="685" spans="2:13" ht="15.6" thickTop="1" thickBot="1" x14ac:dyDescent="0.35">
      <c r="B685" s="8">
        <v>683</v>
      </c>
      <c r="C685" s="9" t="s">
        <v>10</v>
      </c>
      <c r="D685" s="19">
        <v>45458</v>
      </c>
      <c r="E685" s="9" t="s">
        <v>13</v>
      </c>
      <c r="F685" s="9" t="s">
        <v>24</v>
      </c>
      <c r="G685" s="9" t="s">
        <v>28</v>
      </c>
      <c r="H685" s="9">
        <v>76</v>
      </c>
      <c r="I685" s="5">
        <v>90</v>
      </c>
      <c r="J685" s="5">
        <f t="shared" si="10"/>
        <v>6840</v>
      </c>
      <c r="K685" s="9">
        <v>12</v>
      </c>
      <c r="L685" s="9" t="s">
        <v>34</v>
      </c>
      <c r="M685" s="9">
        <v>1</v>
      </c>
    </row>
    <row r="686" spans="2:13" ht="15.6" thickTop="1" thickBot="1" x14ac:dyDescent="0.35">
      <c r="B686" s="6">
        <v>684</v>
      </c>
      <c r="C686" s="7" t="s">
        <v>11</v>
      </c>
      <c r="D686" s="18">
        <v>45459</v>
      </c>
      <c r="E686" s="7" t="s">
        <v>18</v>
      </c>
      <c r="F686" s="7" t="s">
        <v>27</v>
      </c>
      <c r="G686" s="7" t="s">
        <v>30</v>
      </c>
      <c r="H686" s="7">
        <v>142</v>
      </c>
      <c r="I686" s="5">
        <v>180</v>
      </c>
      <c r="J686" s="5">
        <f t="shared" si="10"/>
        <v>25560</v>
      </c>
      <c r="K686" s="7">
        <v>15</v>
      </c>
      <c r="L686" s="7" t="s">
        <v>33</v>
      </c>
      <c r="M686" s="7">
        <v>5</v>
      </c>
    </row>
    <row r="687" spans="2:13" ht="15.6" thickTop="1" thickBot="1" x14ac:dyDescent="0.35">
      <c r="B687" s="8">
        <v>685</v>
      </c>
      <c r="C687" s="9" t="s">
        <v>11</v>
      </c>
      <c r="D687" s="19">
        <v>45460</v>
      </c>
      <c r="E687" s="9" t="s">
        <v>16</v>
      </c>
      <c r="F687" s="9" t="s">
        <v>26</v>
      </c>
      <c r="G687" s="9" t="s">
        <v>32</v>
      </c>
      <c r="H687" s="9">
        <v>111</v>
      </c>
      <c r="I687" s="5">
        <v>45</v>
      </c>
      <c r="J687" s="5">
        <f t="shared" si="10"/>
        <v>4995</v>
      </c>
      <c r="K687" s="9">
        <v>9</v>
      </c>
      <c r="L687" s="9" t="s">
        <v>34</v>
      </c>
      <c r="M687" s="9">
        <v>3</v>
      </c>
    </row>
    <row r="688" spans="2:13" ht="15.6" thickTop="1" thickBot="1" x14ac:dyDescent="0.35">
      <c r="B688" s="6">
        <v>686</v>
      </c>
      <c r="C688" s="7" t="s">
        <v>10</v>
      </c>
      <c r="D688" s="18">
        <v>45461</v>
      </c>
      <c r="E688" s="7" t="s">
        <v>22</v>
      </c>
      <c r="F688" s="7" t="s">
        <v>25</v>
      </c>
      <c r="G688" s="7" t="s">
        <v>31</v>
      </c>
      <c r="H688" s="7">
        <v>199</v>
      </c>
      <c r="I688" s="5">
        <v>90</v>
      </c>
      <c r="J688" s="5">
        <f t="shared" si="10"/>
        <v>17910</v>
      </c>
      <c r="K688" s="7">
        <v>14</v>
      </c>
      <c r="L688" s="7" t="s">
        <v>34</v>
      </c>
      <c r="M688" s="7">
        <v>1</v>
      </c>
    </row>
    <row r="689" spans="2:13" ht="15.6" thickTop="1" thickBot="1" x14ac:dyDescent="0.35">
      <c r="B689" s="8">
        <v>687</v>
      </c>
      <c r="C689" s="9" t="s">
        <v>11</v>
      </c>
      <c r="D689" s="19">
        <v>45462</v>
      </c>
      <c r="E689" s="9" t="s">
        <v>14</v>
      </c>
      <c r="F689" s="9" t="s">
        <v>25</v>
      </c>
      <c r="G689" s="9" t="s">
        <v>31</v>
      </c>
      <c r="H689" s="9">
        <v>109</v>
      </c>
      <c r="I689" s="5">
        <v>225</v>
      </c>
      <c r="J689" s="5">
        <f t="shared" si="10"/>
        <v>24525</v>
      </c>
      <c r="K689" s="9">
        <v>8</v>
      </c>
      <c r="L689" s="9" t="s">
        <v>34</v>
      </c>
      <c r="M689" s="9">
        <v>2</v>
      </c>
    </row>
    <row r="690" spans="2:13" ht="15.6" thickTop="1" thickBot="1" x14ac:dyDescent="0.35">
      <c r="B690" s="6">
        <v>688</v>
      </c>
      <c r="C690" s="7" t="s">
        <v>10</v>
      </c>
      <c r="D690" s="18">
        <v>45463</v>
      </c>
      <c r="E690" s="7" t="s">
        <v>22</v>
      </c>
      <c r="F690" s="7" t="s">
        <v>25</v>
      </c>
      <c r="G690" s="7" t="s">
        <v>28</v>
      </c>
      <c r="H690" s="7">
        <v>115</v>
      </c>
      <c r="I690" s="5">
        <v>180</v>
      </c>
      <c r="J690" s="5">
        <f t="shared" si="10"/>
        <v>20700</v>
      </c>
      <c r="K690" s="7">
        <v>22</v>
      </c>
      <c r="L690" s="7" t="s">
        <v>34</v>
      </c>
      <c r="M690" s="7"/>
    </row>
    <row r="691" spans="2:13" ht="15.6" thickTop="1" thickBot="1" x14ac:dyDescent="0.35">
      <c r="B691" s="8">
        <v>689</v>
      </c>
      <c r="C691" s="9" t="s">
        <v>11</v>
      </c>
      <c r="D691" s="19">
        <v>45464</v>
      </c>
      <c r="E691" s="9" t="s">
        <v>21</v>
      </c>
      <c r="F691" s="9" t="s">
        <v>26</v>
      </c>
      <c r="G691" s="9" t="s">
        <v>30</v>
      </c>
      <c r="H691" s="9">
        <v>212</v>
      </c>
      <c r="I691" s="5">
        <v>180</v>
      </c>
      <c r="J691" s="5">
        <f t="shared" si="10"/>
        <v>38160</v>
      </c>
      <c r="K691" s="9">
        <v>7</v>
      </c>
      <c r="L691" s="9" t="s">
        <v>33</v>
      </c>
      <c r="M691" s="9">
        <v>1</v>
      </c>
    </row>
    <row r="692" spans="2:13" ht="15.6" thickTop="1" thickBot="1" x14ac:dyDescent="0.35">
      <c r="B692" s="6">
        <v>690</v>
      </c>
      <c r="C692" s="7" t="s">
        <v>11</v>
      </c>
      <c r="D692" s="18">
        <v>45465</v>
      </c>
      <c r="E692" s="7" t="s">
        <v>22</v>
      </c>
      <c r="F692" s="7" t="s">
        <v>25</v>
      </c>
      <c r="G692" s="7" t="s">
        <v>32</v>
      </c>
      <c r="H692" s="7">
        <v>78</v>
      </c>
      <c r="I692" s="5">
        <v>135</v>
      </c>
      <c r="J692" s="5">
        <f t="shared" si="10"/>
        <v>10530</v>
      </c>
      <c r="K692" s="7">
        <v>17</v>
      </c>
      <c r="L692" s="7" t="s">
        <v>34</v>
      </c>
      <c r="M692" s="7"/>
    </row>
    <row r="693" spans="2:13" ht="15.6" thickTop="1" thickBot="1" x14ac:dyDescent="0.35">
      <c r="B693" s="8">
        <v>691</v>
      </c>
      <c r="C693" s="9" t="s">
        <v>10</v>
      </c>
      <c r="D693" s="19">
        <v>45466</v>
      </c>
      <c r="E693" s="9" t="s">
        <v>15</v>
      </c>
      <c r="F693" s="9" t="s">
        <v>25</v>
      </c>
      <c r="G693" s="9" t="s">
        <v>28</v>
      </c>
      <c r="H693" s="9">
        <v>77</v>
      </c>
      <c r="I693" s="5">
        <v>45</v>
      </c>
      <c r="J693" s="5">
        <f t="shared" si="10"/>
        <v>3465</v>
      </c>
      <c r="K693" s="9">
        <v>24</v>
      </c>
      <c r="L693" s="9" t="s">
        <v>33</v>
      </c>
      <c r="M693" s="9">
        <v>5</v>
      </c>
    </row>
    <row r="694" spans="2:13" ht="15.6" thickTop="1" thickBot="1" x14ac:dyDescent="0.35">
      <c r="B694" s="6">
        <v>692</v>
      </c>
      <c r="C694" s="7" t="s">
        <v>10</v>
      </c>
      <c r="D694" s="18">
        <v>45467</v>
      </c>
      <c r="E694" s="7" t="s">
        <v>14</v>
      </c>
      <c r="F694" s="7" t="s">
        <v>25</v>
      </c>
      <c r="G694" s="7" t="s">
        <v>32</v>
      </c>
      <c r="H694" s="7">
        <v>181</v>
      </c>
      <c r="I694" s="5">
        <v>90</v>
      </c>
      <c r="J694" s="5">
        <f t="shared" si="10"/>
        <v>16290</v>
      </c>
      <c r="K694" s="7">
        <v>19</v>
      </c>
      <c r="L694" s="7" t="s">
        <v>35</v>
      </c>
      <c r="M694" s="7">
        <v>3</v>
      </c>
    </row>
    <row r="695" spans="2:13" ht="15.6" thickTop="1" thickBot="1" x14ac:dyDescent="0.35">
      <c r="B695" s="8">
        <v>693</v>
      </c>
      <c r="C695" s="9" t="s">
        <v>10</v>
      </c>
      <c r="D695" s="19">
        <v>45468</v>
      </c>
      <c r="E695" s="9" t="s">
        <v>14</v>
      </c>
      <c r="F695" s="9" t="s">
        <v>25</v>
      </c>
      <c r="G695" s="9" t="s">
        <v>30</v>
      </c>
      <c r="H695" s="9">
        <v>166</v>
      </c>
      <c r="I695" s="5">
        <v>45</v>
      </c>
      <c r="J695" s="5">
        <f t="shared" si="10"/>
        <v>7470</v>
      </c>
      <c r="K695" s="9">
        <v>24</v>
      </c>
      <c r="L695" s="9" t="s">
        <v>33</v>
      </c>
      <c r="M695" s="9">
        <v>2</v>
      </c>
    </row>
    <row r="696" spans="2:13" ht="15.6" thickTop="1" thickBot="1" x14ac:dyDescent="0.35">
      <c r="B696" s="6">
        <v>694</v>
      </c>
      <c r="C696" s="7" t="s">
        <v>10</v>
      </c>
      <c r="D696" s="18">
        <v>45469</v>
      </c>
      <c r="E696" s="7" t="s">
        <v>14</v>
      </c>
      <c r="F696" s="7" t="s">
        <v>25</v>
      </c>
      <c r="G696" s="7" t="s">
        <v>32</v>
      </c>
      <c r="H696" s="7">
        <v>158</v>
      </c>
      <c r="I696" s="5">
        <v>180</v>
      </c>
      <c r="J696" s="5">
        <f t="shared" si="10"/>
        <v>28440</v>
      </c>
      <c r="K696" s="7">
        <v>11</v>
      </c>
      <c r="L696" s="7" t="s">
        <v>35</v>
      </c>
      <c r="M696" s="7"/>
    </row>
    <row r="697" spans="2:13" ht="15.6" thickTop="1" thickBot="1" x14ac:dyDescent="0.35">
      <c r="B697" s="8">
        <v>695</v>
      </c>
      <c r="C697" s="9" t="s">
        <v>10</v>
      </c>
      <c r="D697" s="19">
        <v>45470</v>
      </c>
      <c r="E697" s="9" t="s">
        <v>12</v>
      </c>
      <c r="F697" s="9" t="s">
        <v>23</v>
      </c>
      <c r="G697" s="9" t="s">
        <v>29</v>
      </c>
      <c r="H697" s="9">
        <v>71</v>
      </c>
      <c r="I697" s="5">
        <v>45</v>
      </c>
      <c r="J697" s="5">
        <f t="shared" si="10"/>
        <v>3195</v>
      </c>
      <c r="K697" s="9">
        <v>12</v>
      </c>
      <c r="L697" s="9" t="s">
        <v>33</v>
      </c>
      <c r="M697" s="9">
        <v>4</v>
      </c>
    </row>
    <row r="698" spans="2:13" ht="15.6" thickTop="1" thickBot="1" x14ac:dyDescent="0.35">
      <c r="B698" s="6">
        <v>696</v>
      </c>
      <c r="C698" s="7" t="s">
        <v>10</v>
      </c>
      <c r="D698" s="18">
        <v>45471</v>
      </c>
      <c r="E698" s="7" t="s">
        <v>15</v>
      </c>
      <c r="F698" s="7" t="s">
        <v>25</v>
      </c>
      <c r="G698" s="7" t="s">
        <v>30</v>
      </c>
      <c r="H698" s="7">
        <v>218</v>
      </c>
      <c r="I698" s="5">
        <v>90</v>
      </c>
      <c r="J698" s="5">
        <f t="shared" si="10"/>
        <v>19620</v>
      </c>
      <c r="K698" s="7">
        <v>25</v>
      </c>
      <c r="L698" s="7" t="s">
        <v>33</v>
      </c>
      <c r="M698" s="7">
        <v>2</v>
      </c>
    </row>
    <row r="699" spans="2:13" ht="15.6" thickTop="1" thickBot="1" x14ac:dyDescent="0.35">
      <c r="B699" s="8">
        <v>697</v>
      </c>
      <c r="C699" s="9" t="s">
        <v>11</v>
      </c>
      <c r="D699" s="19">
        <v>45472</v>
      </c>
      <c r="E699" s="9" t="s">
        <v>12</v>
      </c>
      <c r="F699" s="9" t="s">
        <v>23</v>
      </c>
      <c r="G699" s="9" t="s">
        <v>29</v>
      </c>
      <c r="H699" s="9">
        <v>77</v>
      </c>
      <c r="I699" s="5">
        <v>135</v>
      </c>
      <c r="J699" s="5">
        <f t="shared" si="10"/>
        <v>10395</v>
      </c>
      <c r="K699" s="9">
        <v>19</v>
      </c>
      <c r="L699" s="9" t="s">
        <v>34</v>
      </c>
      <c r="M699" s="9">
        <v>4</v>
      </c>
    </row>
    <row r="700" spans="2:13" ht="15.6" thickTop="1" thickBot="1" x14ac:dyDescent="0.35">
      <c r="B700" s="6">
        <v>698</v>
      </c>
      <c r="C700" s="7" t="s">
        <v>10</v>
      </c>
      <c r="D700" s="18">
        <v>45473</v>
      </c>
      <c r="E700" s="7" t="s">
        <v>21</v>
      </c>
      <c r="F700" s="7" t="s">
        <v>26</v>
      </c>
      <c r="G700" s="7" t="s">
        <v>30</v>
      </c>
      <c r="H700" s="7">
        <v>140</v>
      </c>
      <c r="I700" s="5">
        <v>90</v>
      </c>
      <c r="J700" s="5">
        <f t="shared" si="10"/>
        <v>12600</v>
      </c>
      <c r="K700" s="7">
        <v>23</v>
      </c>
      <c r="L700" s="7" t="s">
        <v>33</v>
      </c>
      <c r="M700" s="7">
        <v>4</v>
      </c>
    </row>
    <row r="701" spans="2:13" ht="15.6" thickTop="1" thickBot="1" x14ac:dyDescent="0.35">
      <c r="B701" s="8">
        <v>699</v>
      </c>
      <c r="C701" s="9" t="s">
        <v>11</v>
      </c>
      <c r="D701" s="19">
        <v>45474</v>
      </c>
      <c r="E701" s="9" t="s">
        <v>20</v>
      </c>
      <c r="F701" s="9" t="s">
        <v>20</v>
      </c>
      <c r="G701" s="9" t="s">
        <v>28</v>
      </c>
      <c r="H701" s="9">
        <v>30</v>
      </c>
      <c r="I701" s="5">
        <v>90</v>
      </c>
      <c r="J701" s="5">
        <f t="shared" si="10"/>
        <v>2700</v>
      </c>
      <c r="K701" s="9">
        <v>7</v>
      </c>
      <c r="L701" s="9" t="s">
        <v>33</v>
      </c>
      <c r="M701" s="9">
        <v>5</v>
      </c>
    </row>
    <row r="702" spans="2:13" ht="15.6" thickTop="1" thickBot="1" x14ac:dyDescent="0.35">
      <c r="B702" s="6">
        <v>700</v>
      </c>
      <c r="C702" s="7" t="s">
        <v>11</v>
      </c>
      <c r="D702" s="18">
        <v>45475</v>
      </c>
      <c r="E702" s="7" t="s">
        <v>19</v>
      </c>
      <c r="F702" s="7" t="s">
        <v>23</v>
      </c>
      <c r="G702" s="7" t="s">
        <v>29</v>
      </c>
      <c r="H702" s="7">
        <v>149</v>
      </c>
      <c r="I702" s="5">
        <v>90</v>
      </c>
      <c r="J702" s="5">
        <f t="shared" si="10"/>
        <v>13410</v>
      </c>
      <c r="K702" s="7">
        <v>17</v>
      </c>
      <c r="L702" s="7" t="s">
        <v>35</v>
      </c>
      <c r="M702" s="7">
        <v>4</v>
      </c>
    </row>
    <row r="703" spans="2:13" ht="15.6" thickTop="1" thickBot="1" x14ac:dyDescent="0.35">
      <c r="B703" s="8">
        <v>701</v>
      </c>
      <c r="C703" s="9" t="s">
        <v>10</v>
      </c>
      <c r="D703" s="19">
        <v>45476</v>
      </c>
      <c r="E703" s="9" t="s">
        <v>19</v>
      </c>
      <c r="F703" s="9" t="s">
        <v>23</v>
      </c>
      <c r="G703" s="9" t="s">
        <v>29</v>
      </c>
      <c r="H703" s="9">
        <v>175</v>
      </c>
      <c r="I703" s="5">
        <v>135</v>
      </c>
      <c r="J703" s="5">
        <f t="shared" si="10"/>
        <v>23625</v>
      </c>
      <c r="K703" s="9">
        <v>10</v>
      </c>
      <c r="L703" s="9" t="s">
        <v>34</v>
      </c>
      <c r="M703" s="9">
        <v>1</v>
      </c>
    </row>
    <row r="704" spans="2:13" ht="15.6" thickTop="1" thickBot="1" x14ac:dyDescent="0.35">
      <c r="B704" s="6">
        <v>702</v>
      </c>
      <c r="C704" s="7" t="s">
        <v>10</v>
      </c>
      <c r="D704" s="18">
        <v>45477</v>
      </c>
      <c r="E704" s="7" t="s">
        <v>15</v>
      </c>
      <c r="F704" s="7" t="s">
        <v>25</v>
      </c>
      <c r="G704" s="7" t="s">
        <v>28</v>
      </c>
      <c r="H704" s="7">
        <v>171</v>
      </c>
      <c r="I704" s="5">
        <v>180</v>
      </c>
      <c r="J704" s="5">
        <f t="shared" si="10"/>
        <v>30780</v>
      </c>
      <c r="K704" s="7">
        <v>18</v>
      </c>
      <c r="L704" s="7" t="s">
        <v>34</v>
      </c>
      <c r="M704" s="7">
        <v>5</v>
      </c>
    </row>
    <row r="705" spans="2:13" ht="15.6" thickTop="1" thickBot="1" x14ac:dyDescent="0.35">
      <c r="B705" s="8">
        <v>703</v>
      </c>
      <c r="C705" s="9" t="s">
        <v>11</v>
      </c>
      <c r="D705" s="19">
        <v>45478</v>
      </c>
      <c r="E705" s="9" t="s">
        <v>15</v>
      </c>
      <c r="F705" s="9" t="s">
        <v>25</v>
      </c>
      <c r="G705" s="9" t="s">
        <v>29</v>
      </c>
      <c r="H705" s="9">
        <v>151</v>
      </c>
      <c r="I705" s="5">
        <v>90</v>
      </c>
      <c r="J705" s="5">
        <f t="shared" si="10"/>
        <v>13590</v>
      </c>
      <c r="K705" s="9">
        <v>20</v>
      </c>
      <c r="L705" s="9" t="s">
        <v>35</v>
      </c>
      <c r="M705" s="9"/>
    </row>
    <row r="706" spans="2:13" ht="15.6" thickTop="1" thickBot="1" x14ac:dyDescent="0.35">
      <c r="B706" s="6">
        <v>704</v>
      </c>
      <c r="C706" s="7" t="s">
        <v>10</v>
      </c>
      <c r="D706" s="18">
        <v>45479</v>
      </c>
      <c r="E706" s="7" t="s">
        <v>12</v>
      </c>
      <c r="F706" s="7" t="s">
        <v>23</v>
      </c>
      <c r="G706" s="7" t="s">
        <v>31</v>
      </c>
      <c r="H706" s="7">
        <v>87</v>
      </c>
      <c r="I706" s="5">
        <v>45</v>
      </c>
      <c r="J706" s="5">
        <f t="shared" si="10"/>
        <v>3915</v>
      </c>
      <c r="K706" s="7">
        <v>20</v>
      </c>
      <c r="L706" s="7" t="s">
        <v>33</v>
      </c>
      <c r="M706" s="7">
        <v>3</v>
      </c>
    </row>
    <row r="707" spans="2:13" ht="15.6" thickTop="1" thickBot="1" x14ac:dyDescent="0.35">
      <c r="B707" s="8">
        <v>705</v>
      </c>
      <c r="C707" s="9" t="s">
        <v>11</v>
      </c>
      <c r="D707" s="19">
        <v>45480</v>
      </c>
      <c r="E707" s="9" t="s">
        <v>13</v>
      </c>
      <c r="F707" s="9" t="s">
        <v>24</v>
      </c>
      <c r="G707" s="9" t="s">
        <v>31</v>
      </c>
      <c r="H707" s="9">
        <v>240</v>
      </c>
      <c r="I707" s="5">
        <v>45</v>
      </c>
      <c r="J707" s="5">
        <f t="shared" si="10"/>
        <v>10800</v>
      </c>
      <c r="K707" s="9">
        <v>9</v>
      </c>
      <c r="L707" s="9" t="s">
        <v>34</v>
      </c>
      <c r="M707" s="9">
        <v>2</v>
      </c>
    </row>
    <row r="708" spans="2:13" ht="15.6" thickTop="1" thickBot="1" x14ac:dyDescent="0.35">
      <c r="B708" s="6">
        <v>706</v>
      </c>
      <c r="C708" s="7" t="s">
        <v>11</v>
      </c>
      <c r="D708" s="18">
        <v>45481</v>
      </c>
      <c r="E708" s="7" t="s">
        <v>19</v>
      </c>
      <c r="F708" s="7" t="s">
        <v>23</v>
      </c>
      <c r="G708" s="7" t="s">
        <v>31</v>
      </c>
      <c r="H708" s="7">
        <v>128</v>
      </c>
      <c r="I708" s="5">
        <v>90</v>
      </c>
      <c r="J708" s="5">
        <f t="shared" ref="J708:J771" si="11">H708*I708</f>
        <v>11520</v>
      </c>
      <c r="K708" s="7">
        <v>14</v>
      </c>
      <c r="L708" s="7" t="s">
        <v>35</v>
      </c>
      <c r="M708" s="7">
        <v>5</v>
      </c>
    </row>
    <row r="709" spans="2:13" ht="15.6" thickTop="1" thickBot="1" x14ac:dyDescent="0.35">
      <c r="B709" s="8">
        <v>707</v>
      </c>
      <c r="C709" s="9" t="s">
        <v>11</v>
      </c>
      <c r="D709" s="19">
        <v>45482</v>
      </c>
      <c r="E709" s="9" t="s">
        <v>15</v>
      </c>
      <c r="F709" s="9" t="s">
        <v>25</v>
      </c>
      <c r="G709" s="9" t="s">
        <v>31</v>
      </c>
      <c r="H709" s="9">
        <v>221</v>
      </c>
      <c r="I709" s="5">
        <v>225</v>
      </c>
      <c r="J709" s="5">
        <f t="shared" si="11"/>
        <v>49725</v>
      </c>
      <c r="K709" s="9">
        <v>17</v>
      </c>
      <c r="L709" s="9" t="s">
        <v>33</v>
      </c>
      <c r="M709" s="9"/>
    </row>
    <row r="710" spans="2:13" ht="15.6" thickTop="1" thickBot="1" x14ac:dyDescent="0.35">
      <c r="B710" s="6">
        <v>708</v>
      </c>
      <c r="C710" s="7" t="s">
        <v>10</v>
      </c>
      <c r="D710" s="18">
        <v>45483</v>
      </c>
      <c r="E710" s="7" t="s">
        <v>12</v>
      </c>
      <c r="F710" s="7" t="s">
        <v>23</v>
      </c>
      <c r="G710" s="7" t="s">
        <v>32</v>
      </c>
      <c r="H710" s="7">
        <v>30</v>
      </c>
      <c r="I710" s="5">
        <v>90</v>
      </c>
      <c r="J710" s="5">
        <f t="shared" si="11"/>
        <v>2700</v>
      </c>
      <c r="K710" s="7">
        <v>25</v>
      </c>
      <c r="L710" s="7" t="s">
        <v>33</v>
      </c>
      <c r="M710" s="7">
        <v>2</v>
      </c>
    </row>
    <row r="711" spans="2:13" ht="15.6" thickTop="1" thickBot="1" x14ac:dyDescent="0.35">
      <c r="B711" s="8">
        <v>709</v>
      </c>
      <c r="C711" s="9" t="s">
        <v>11</v>
      </c>
      <c r="D711" s="19">
        <v>45484</v>
      </c>
      <c r="E711" s="9" t="s">
        <v>22</v>
      </c>
      <c r="F711" s="9" t="s">
        <v>25</v>
      </c>
      <c r="G711" s="9" t="s">
        <v>30</v>
      </c>
      <c r="H711" s="9">
        <v>178</v>
      </c>
      <c r="I711" s="5">
        <v>225</v>
      </c>
      <c r="J711" s="5">
        <f t="shared" si="11"/>
        <v>40050</v>
      </c>
      <c r="K711" s="9">
        <v>12</v>
      </c>
      <c r="L711" s="9" t="s">
        <v>35</v>
      </c>
      <c r="M711" s="9">
        <v>5</v>
      </c>
    </row>
    <row r="712" spans="2:13" ht="15.6" thickTop="1" thickBot="1" x14ac:dyDescent="0.35">
      <c r="B712" s="6">
        <v>710</v>
      </c>
      <c r="C712" s="7" t="s">
        <v>10</v>
      </c>
      <c r="D712" s="18">
        <v>45485</v>
      </c>
      <c r="E712" s="7" t="s">
        <v>18</v>
      </c>
      <c r="F712" s="7" t="s">
        <v>27</v>
      </c>
      <c r="G712" s="7" t="s">
        <v>28</v>
      </c>
      <c r="H712" s="7">
        <v>147</v>
      </c>
      <c r="I712" s="5">
        <v>135</v>
      </c>
      <c r="J712" s="5">
        <f t="shared" si="11"/>
        <v>19845</v>
      </c>
      <c r="K712" s="7">
        <v>12</v>
      </c>
      <c r="L712" s="7" t="s">
        <v>35</v>
      </c>
      <c r="M712" s="7">
        <v>2</v>
      </c>
    </row>
    <row r="713" spans="2:13" ht="15.6" thickTop="1" thickBot="1" x14ac:dyDescent="0.35">
      <c r="B713" s="8">
        <v>711</v>
      </c>
      <c r="C713" s="9" t="s">
        <v>10</v>
      </c>
      <c r="D713" s="19">
        <v>45486</v>
      </c>
      <c r="E713" s="9" t="s">
        <v>20</v>
      </c>
      <c r="F713" s="9" t="s">
        <v>20</v>
      </c>
      <c r="G713" s="9" t="s">
        <v>31</v>
      </c>
      <c r="H713" s="9">
        <v>137</v>
      </c>
      <c r="I713" s="5">
        <v>180</v>
      </c>
      <c r="J713" s="5">
        <f t="shared" si="11"/>
        <v>24660</v>
      </c>
      <c r="K713" s="9">
        <v>25</v>
      </c>
      <c r="L713" s="9" t="s">
        <v>35</v>
      </c>
      <c r="M713" s="9">
        <v>3</v>
      </c>
    </row>
    <row r="714" spans="2:13" ht="15.6" thickTop="1" thickBot="1" x14ac:dyDescent="0.35">
      <c r="B714" s="6">
        <v>712</v>
      </c>
      <c r="C714" s="7" t="s">
        <v>11</v>
      </c>
      <c r="D714" s="18">
        <v>45487</v>
      </c>
      <c r="E714" s="7" t="s">
        <v>20</v>
      </c>
      <c r="F714" s="7" t="s">
        <v>20</v>
      </c>
      <c r="G714" s="7" t="s">
        <v>29</v>
      </c>
      <c r="H714" s="7">
        <v>227</v>
      </c>
      <c r="I714" s="5">
        <v>45</v>
      </c>
      <c r="J714" s="5">
        <f t="shared" si="11"/>
        <v>10215</v>
      </c>
      <c r="K714" s="7">
        <v>13</v>
      </c>
      <c r="L714" s="7" t="s">
        <v>35</v>
      </c>
      <c r="M714" s="7">
        <v>2</v>
      </c>
    </row>
    <row r="715" spans="2:13" ht="15.6" thickTop="1" thickBot="1" x14ac:dyDescent="0.35">
      <c r="B715" s="8">
        <v>713</v>
      </c>
      <c r="C715" s="9" t="s">
        <v>11</v>
      </c>
      <c r="D715" s="19">
        <v>45488</v>
      </c>
      <c r="E715" s="9" t="s">
        <v>12</v>
      </c>
      <c r="F715" s="9" t="s">
        <v>23</v>
      </c>
      <c r="G715" s="9" t="s">
        <v>31</v>
      </c>
      <c r="H715" s="9">
        <v>33</v>
      </c>
      <c r="I715" s="5">
        <v>180</v>
      </c>
      <c r="J715" s="5">
        <f t="shared" si="11"/>
        <v>5940</v>
      </c>
      <c r="K715" s="9">
        <v>7</v>
      </c>
      <c r="L715" s="9" t="s">
        <v>33</v>
      </c>
      <c r="M715" s="9"/>
    </row>
    <row r="716" spans="2:13" ht="15.6" thickTop="1" thickBot="1" x14ac:dyDescent="0.35">
      <c r="B716" s="6">
        <v>714</v>
      </c>
      <c r="C716" s="7" t="s">
        <v>11</v>
      </c>
      <c r="D716" s="18">
        <v>45489</v>
      </c>
      <c r="E716" s="7" t="s">
        <v>12</v>
      </c>
      <c r="F716" s="7" t="s">
        <v>23</v>
      </c>
      <c r="G716" s="7" t="s">
        <v>31</v>
      </c>
      <c r="H716" s="7">
        <v>184</v>
      </c>
      <c r="I716" s="5">
        <v>225</v>
      </c>
      <c r="J716" s="5">
        <f t="shared" si="11"/>
        <v>41400</v>
      </c>
      <c r="K716" s="7">
        <v>16</v>
      </c>
      <c r="L716" s="7" t="s">
        <v>33</v>
      </c>
      <c r="M716" s="7">
        <v>3</v>
      </c>
    </row>
    <row r="717" spans="2:13" ht="15.6" thickTop="1" thickBot="1" x14ac:dyDescent="0.35">
      <c r="B717" s="8">
        <v>715</v>
      </c>
      <c r="C717" s="9" t="s">
        <v>11</v>
      </c>
      <c r="D717" s="19">
        <v>45490</v>
      </c>
      <c r="E717" s="9" t="s">
        <v>22</v>
      </c>
      <c r="F717" s="9" t="s">
        <v>25</v>
      </c>
      <c r="G717" s="9" t="s">
        <v>30</v>
      </c>
      <c r="H717" s="9">
        <v>47</v>
      </c>
      <c r="I717" s="5">
        <v>135</v>
      </c>
      <c r="J717" s="5">
        <f t="shared" si="11"/>
        <v>6345</v>
      </c>
      <c r="K717" s="9">
        <v>18</v>
      </c>
      <c r="L717" s="9" t="s">
        <v>35</v>
      </c>
      <c r="M717" s="9"/>
    </row>
    <row r="718" spans="2:13" ht="15.6" thickTop="1" thickBot="1" x14ac:dyDescent="0.35">
      <c r="B718" s="6">
        <v>716</v>
      </c>
      <c r="C718" s="7" t="s">
        <v>11</v>
      </c>
      <c r="D718" s="18">
        <v>45491</v>
      </c>
      <c r="E718" s="7" t="s">
        <v>14</v>
      </c>
      <c r="F718" s="7" t="s">
        <v>25</v>
      </c>
      <c r="G718" s="7" t="s">
        <v>31</v>
      </c>
      <c r="H718" s="7">
        <v>150</v>
      </c>
      <c r="I718" s="5">
        <v>225</v>
      </c>
      <c r="J718" s="5">
        <f t="shared" si="11"/>
        <v>33750</v>
      </c>
      <c r="K718" s="7">
        <v>11</v>
      </c>
      <c r="L718" s="7" t="s">
        <v>35</v>
      </c>
      <c r="M718" s="7"/>
    </row>
    <row r="719" spans="2:13" ht="15.6" thickTop="1" thickBot="1" x14ac:dyDescent="0.35">
      <c r="B719" s="8">
        <v>717</v>
      </c>
      <c r="C719" s="9" t="s">
        <v>11</v>
      </c>
      <c r="D719" s="19">
        <v>45492</v>
      </c>
      <c r="E719" s="9" t="s">
        <v>13</v>
      </c>
      <c r="F719" s="9" t="s">
        <v>24</v>
      </c>
      <c r="G719" s="9" t="s">
        <v>31</v>
      </c>
      <c r="H719" s="9">
        <v>54</v>
      </c>
      <c r="I719" s="5">
        <v>180</v>
      </c>
      <c r="J719" s="5">
        <f t="shared" si="11"/>
        <v>9720</v>
      </c>
      <c r="K719" s="9">
        <v>20</v>
      </c>
      <c r="L719" s="9" t="s">
        <v>35</v>
      </c>
      <c r="M719" s="9">
        <v>2</v>
      </c>
    </row>
    <row r="720" spans="2:13" ht="15.6" thickTop="1" thickBot="1" x14ac:dyDescent="0.35">
      <c r="B720" s="6">
        <v>718</v>
      </c>
      <c r="C720" s="7" t="s">
        <v>10</v>
      </c>
      <c r="D720" s="18">
        <v>45493</v>
      </c>
      <c r="E720" s="7" t="s">
        <v>19</v>
      </c>
      <c r="F720" s="7" t="s">
        <v>23</v>
      </c>
      <c r="G720" s="7" t="s">
        <v>30</v>
      </c>
      <c r="H720" s="7">
        <v>212</v>
      </c>
      <c r="I720" s="5">
        <v>180</v>
      </c>
      <c r="J720" s="5">
        <f t="shared" si="11"/>
        <v>38160</v>
      </c>
      <c r="K720" s="7">
        <v>15</v>
      </c>
      <c r="L720" s="7" t="s">
        <v>33</v>
      </c>
      <c r="M720" s="7">
        <v>2</v>
      </c>
    </row>
    <row r="721" spans="2:13" ht="15.6" thickTop="1" thickBot="1" x14ac:dyDescent="0.35">
      <c r="B721" s="8">
        <v>719</v>
      </c>
      <c r="C721" s="9" t="s">
        <v>10</v>
      </c>
      <c r="D721" s="19">
        <v>45494</v>
      </c>
      <c r="E721" s="9" t="s">
        <v>19</v>
      </c>
      <c r="F721" s="9" t="s">
        <v>23</v>
      </c>
      <c r="G721" s="9" t="s">
        <v>29</v>
      </c>
      <c r="H721" s="9">
        <v>128</v>
      </c>
      <c r="I721" s="5">
        <v>180</v>
      </c>
      <c r="J721" s="5">
        <f t="shared" si="11"/>
        <v>23040</v>
      </c>
      <c r="K721" s="9">
        <v>24</v>
      </c>
      <c r="L721" s="9" t="s">
        <v>34</v>
      </c>
      <c r="M721" s="9">
        <v>5</v>
      </c>
    </row>
    <row r="722" spans="2:13" ht="15.6" thickTop="1" thickBot="1" x14ac:dyDescent="0.35">
      <c r="B722" s="6">
        <v>720</v>
      </c>
      <c r="C722" s="7" t="s">
        <v>11</v>
      </c>
      <c r="D722" s="18">
        <v>45495</v>
      </c>
      <c r="E722" s="7" t="s">
        <v>21</v>
      </c>
      <c r="F722" s="7" t="s">
        <v>26</v>
      </c>
      <c r="G722" s="7" t="s">
        <v>28</v>
      </c>
      <c r="H722" s="7">
        <v>66</v>
      </c>
      <c r="I722" s="5">
        <v>180</v>
      </c>
      <c r="J722" s="5">
        <f t="shared" si="11"/>
        <v>11880</v>
      </c>
      <c r="K722" s="7">
        <v>16</v>
      </c>
      <c r="L722" s="7" t="s">
        <v>34</v>
      </c>
      <c r="M722" s="7"/>
    </row>
    <row r="723" spans="2:13" ht="15.6" thickTop="1" thickBot="1" x14ac:dyDescent="0.35">
      <c r="B723" s="8">
        <v>721</v>
      </c>
      <c r="C723" s="9" t="s">
        <v>11</v>
      </c>
      <c r="D723" s="19">
        <v>45496</v>
      </c>
      <c r="E723" s="9" t="s">
        <v>18</v>
      </c>
      <c r="F723" s="9" t="s">
        <v>27</v>
      </c>
      <c r="G723" s="9" t="s">
        <v>29</v>
      </c>
      <c r="H723" s="9">
        <v>104</v>
      </c>
      <c r="I723" s="5">
        <v>135</v>
      </c>
      <c r="J723" s="5">
        <f t="shared" si="11"/>
        <v>14040</v>
      </c>
      <c r="K723" s="9">
        <v>9</v>
      </c>
      <c r="L723" s="9" t="s">
        <v>34</v>
      </c>
      <c r="M723" s="9">
        <v>4</v>
      </c>
    </row>
    <row r="724" spans="2:13" ht="15.6" thickTop="1" thickBot="1" x14ac:dyDescent="0.35">
      <c r="B724" s="6">
        <v>722</v>
      </c>
      <c r="C724" s="7" t="s">
        <v>11</v>
      </c>
      <c r="D724" s="18">
        <v>45497</v>
      </c>
      <c r="E724" s="7" t="s">
        <v>22</v>
      </c>
      <c r="F724" s="7" t="s">
        <v>25</v>
      </c>
      <c r="G724" s="7" t="s">
        <v>32</v>
      </c>
      <c r="H724" s="7">
        <v>181</v>
      </c>
      <c r="I724" s="5">
        <v>180</v>
      </c>
      <c r="J724" s="5">
        <f t="shared" si="11"/>
        <v>32580</v>
      </c>
      <c r="K724" s="7">
        <v>17</v>
      </c>
      <c r="L724" s="7" t="s">
        <v>34</v>
      </c>
      <c r="M724" s="7">
        <v>5</v>
      </c>
    </row>
    <row r="725" spans="2:13" ht="15.6" thickTop="1" thickBot="1" x14ac:dyDescent="0.35">
      <c r="B725" s="8">
        <v>723</v>
      </c>
      <c r="C725" s="9" t="s">
        <v>11</v>
      </c>
      <c r="D725" s="19">
        <v>45498</v>
      </c>
      <c r="E725" s="9" t="s">
        <v>21</v>
      </c>
      <c r="F725" s="9" t="s">
        <v>26</v>
      </c>
      <c r="G725" s="9" t="s">
        <v>31</v>
      </c>
      <c r="H725" s="9">
        <v>235</v>
      </c>
      <c r="I725" s="5">
        <v>90</v>
      </c>
      <c r="J725" s="5">
        <f t="shared" si="11"/>
        <v>21150</v>
      </c>
      <c r="K725" s="9">
        <v>20</v>
      </c>
      <c r="L725" s="9" t="s">
        <v>33</v>
      </c>
      <c r="M725" s="9"/>
    </row>
    <row r="726" spans="2:13" ht="15.6" thickTop="1" thickBot="1" x14ac:dyDescent="0.35">
      <c r="B726" s="6">
        <v>724</v>
      </c>
      <c r="C726" s="7" t="s">
        <v>11</v>
      </c>
      <c r="D726" s="18">
        <v>45499</v>
      </c>
      <c r="E726" s="7" t="s">
        <v>19</v>
      </c>
      <c r="F726" s="7" t="s">
        <v>23</v>
      </c>
      <c r="G726" s="7" t="s">
        <v>30</v>
      </c>
      <c r="H726" s="7">
        <v>78</v>
      </c>
      <c r="I726" s="5">
        <v>135</v>
      </c>
      <c r="J726" s="5">
        <f t="shared" si="11"/>
        <v>10530</v>
      </c>
      <c r="K726" s="7">
        <v>11</v>
      </c>
      <c r="L726" s="7" t="s">
        <v>33</v>
      </c>
      <c r="M726" s="7"/>
    </row>
    <row r="727" spans="2:13" ht="15.6" thickTop="1" thickBot="1" x14ac:dyDescent="0.35">
      <c r="B727" s="8">
        <v>725</v>
      </c>
      <c r="C727" s="9" t="s">
        <v>10</v>
      </c>
      <c r="D727" s="19">
        <v>45383</v>
      </c>
      <c r="E727" s="9" t="s">
        <v>18</v>
      </c>
      <c r="F727" s="9" t="s">
        <v>27</v>
      </c>
      <c r="G727" s="9" t="s">
        <v>29</v>
      </c>
      <c r="H727" s="9">
        <v>120</v>
      </c>
      <c r="I727" s="5">
        <v>90</v>
      </c>
      <c r="J727" s="5">
        <f t="shared" si="11"/>
        <v>10800</v>
      </c>
      <c r="K727" s="9">
        <v>19</v>
      </c>
      <c r="L727" s="9" t="s">
        <v>33</v>
      </c>
      <c r="M727" s="9">
        <v>2</v>
      </c>
    </row>
    <row r="728" spans="2:13" ht="15.6" thickTop="1" thickBot="1" x14ac:dyDescent="0.35">
      <c r="B728" s="6">
        <v>726</v>
      </c>
      <c r="C728" s="7" t="s">
        <v>11</v>
      </c>
      <c r="D728" s="18">
        <v>45384</v>
      </c>
      <c r="E728" s="7" t="s">
        <v>19</v>
      </c>
      <c r="F728" s="7" t="s">
        <v>23</v>
      </c>
      <c r="G728" s="7" t="s">
        <v>32</v>
      </c>
      <c r="H728" s="7">
        <v>108</v>
      </c>
      <c r="I728" s="5">
        <v>225</v>
      </c>
      <c r="J728" s="5">
        <f t="shared" si="11"/>
        <v>24300</v>
      </c>
      <c r="K728" s="7">
        <v>19</v>
      </c>
      <c r="L728" s="7" t="s">
        <v>34</v>
      </c>
      <c r="M728" s="7">
        <v>3</v>
      </c>
    </row>
    <row r="729" spans="2:13" ht="15.6" thickTop="1" thickBot="1" x14ac:dyDescent="0.35">
      <c r="B729" s="8">
        <v>727</v>
      </c>
      <c r="C729" s="9" t="s">
        <v>11</v>
      </c>
      <c r="D729" s="19">
        <v>45385</v>
      </c>
      <c r="E729" s="9" t="s">
        <v>21</v>
      </c>
      <c r="F729" s="9" t="s">
        <v>26</v>
      </c>
      <c r="G729" s="9" t="s">
        <v>31</v>
      </c>
      <c r="H729" s="9">
        <v>238</v>
      </c>
      <c r="I729" s="5">
        <v>180</v>
      </c>
      <c r="J729" s="5">
        <f t="shared" si="11"/>
        <v>42840</v>
      </c>
      <c r="K729" s="9">
        <v>20</v>
      </c>
      <c r="L729" s="9" t="s">
        <v>34</v>
      </c>
      <c r="M729" s="9">
        <v>5</v>
      </c>
    </row>
    <row r="730" spans="2:13" ht="15.6" thickTop="1" thickBot="1" x14ac:dyDescent="0.35">
      <c r="B730" s="6">
        <v>728</v>
      </c>
      <c r="C730" s="7" t="s">
        <v>10</v>
      </c>
      <c r="D730" s="18">
        <v>45386</v>
      </c>
      <c r="E730" s="7" t="s">
        <v>21</v>
      </c>
      <c r="F730" s="7" t="s">
        <v>26</v>
      </c>
      <c r="G730" s="7" t="s">
        <v>31</v>
      </c>
      <c r="H730" s="7">
        <v>69</v>
      </c>
      <c r="I730" s="5">
        <v>90</v>
      </c>
      <c r="J730" s="5">
        <f t="shared" si="11"/>
        <v>6210</v>
      </c>
      <c r="K730" s="7">
        <v>11</v>
      </c>
      <c r="L730" s="7" t="s">
        <v>33</v>
      </c>
      <c r="M730" s="7">
        <v>2</v>
      </c>
    </row>
    <row r="731" spans="2:13" ht="15.6" thickTop="1" thickBot="1" x14ac:dyDescent="0.35">
      <c r="B731" s="8">
        <v>729</v>
      </c>
      <c r="C731" s="9" t="s">
        <v>11</v>
      </c>
      <c r="D731" s="19">
        <v>45387</v>
      </c>
      <c r="E731" s="9" t="s">
        <v>12</v>
      </c>
      <c r="F731" s="9" t="s">
        <v>23</v>
      </c>
      <c r="G731" s="9" t="s">
        <v>30</v>
      </c>
      <c r="H731" s="9">
        <v>123</v>
      </c>
      <c r="I731" s="5">
        <v>45</v>
      </c>
      <c r="J731" s="5">
        <f t="shared" si="11"/>
        <v>5535</v>
      </c>
      <c r="K731" s="9">
        <v>15</v>
      </c>
      <c r="L731" s="9" t="s">
        <v>35</v>
      </c>
      <c r="M731" s="9">
        <v>5</v>
      </c>
    </row>
    <row r="732" spans="2:13" ht="15.6" thickTop="1" thickBot="1" x14ac:dyDescent="0.35">
      <c r="B732" s="6">
        <v>730</v>
      </c>
      <c r="C732" s="7" t="s">
        <v>10</v>
      </c>
      <c r="D732" s="18">
        <v>45388</v>
      </c>
      <c r="E732" s="7" t="s">
        <v>15</v>
      </c>
      <c r="F732" s="7" t="s">
        <v>25</v>
      </c>
      <c r="G732" s="7" t="s">
        <v>29</v>
      </c>
      <c r="H732" s="7">
        <v>209</v>
      </c>
      <c r="I732" s="5">
        <v>135</v>
      </c>
      <c r="J732" s="5">
        <f t="shared" si="11"/>
        <v>28215</v>
      </c>
      <c r="K732" s="7">
        <v>25</v>
      </c>
      <c r="L732" s="7" t="s">
        <v>33</v>
      </c>
      <c r="M732" s="7">
        <v>3</v>
      </c>
    </row>
    <row r="733" spans="2:13" ht="15.6" thickTop="1" thickBot="1" x14ac:dyDescent="0.35">
      <c r="B733" s="8">
        <v>731</v>
      </c>
      <c r="C733" s="9" t="s">
        <v>10</v>
      </c>
      <c r="D733" s="19">
        <v>45389</v>
      </c>
      <c r="E733" s="9" t="s">
        <v>15</v>
      </c>
      <c r="F733" s="9" t="s">
        <v>25</v>
      </c>
      <c r="G733" s="9" t="s">
        <v>30</v>
      </c>
      <c r="H733" s="9">
        <v>182</v>
      </c>
      <c r="I733" s="5">
        <v>135</v>
      </c>
      <c r="J733" s="5">
        <f t="shared" si="11"/>
        <v>24570</v>
      </c>
      <c r="K733" s="9">
        <v>17</v>
      </c>
      <c r="L733" s="9" t="s">
        <v>34</v>
      </c>
      <c r="M733" s="9"/>
    </row>
    <row r="734" spans="2:13" ht="15.6" thickTop="1" thickBot="1" x14ac:dyDescent="0.35">
      <c r="B734" s="6">
        <v>732</v>
      </c>
      <c r="C734" s="7" t="s">
        <v>10</v>
      </c>
      <c r="D734" s="18">
        <v>45390</v>
      </c>
      <c r="E734" s="7" t="s">
        <v>12</v>
      </c>
      <c r="F734" s="7" t="s">
        <v>23</v>
      </c>
      <c r="G734" s="7" t="s">
        <v>29</v>
      </c>
      <c r="H734" s="7">
        <v>131</v>
      </c>
      <c r="I734" s="5">
        <v>90</v>
      </c>
      <c r="J734" s="5">
        <f t="shared" si="11"/>
        <v>11790</v>
      </c>
      <c r="K734" s="7">
        <v>11</v>
      </c>
      <c r="L734" s="7" t="s">
        <v>34</v>
      </c>
      <c r="M734" s="7">
        <v>5</v>
      </c>
    </row>
    <row r="735" spans="2:13" ht="15.6" thickTop="1" thickBot="1" x14ac:dyDescent="0.35">
      <c r="B735" s="8">
        <v>733</v>
      </c>
      <c r="C735" s="9" t="s">
        <v>10</v>
      </c>
      <c r="D735" s="19">
        <v>45391</v>
      </c>
      <c r="E735" s="9" t="s">
        <v>14</v>
      </c>
      <c r="F735" s="9" t="s">
        <v>25</v>
      </c>
      <c r="G735" s="9" t="s">
        <v>32</v>
      </c>
      <c r="H735" s="9">
        <v>205</v>
      </c>
      <c r="I735" s="5">
        <v>135</v>
      </c>
      <c r="J735" s="5">
        <f t="shared" si="11"/>
        <v>27675</v>
      </c>
      <c r="K735" s="9">
        <v>10</v>
      </c>
      <c r="L735" s="9" t="s">
        <v>35</v>
      </c>
      <c r="M735" s="9">
        <v>3</v>
      </c>
    </row>
    <row r="736" spans="2:13" ht="15.6" thickTop="1" thickBot="1" x14ac:dyDescent="0.35">
      <c r="B736" s="6">
        <v>734</v>
      </c>
      <c r="C736" s="7" t="s">
        <v>10</v>
      </c>
      <c r="D736" s="18">
        <v>45392</v>
      </c>
      <c r="E736" s="7" t="s">
        <v>13</v>
      </c>
      <c r="F736" s="7" t="s">
        <v>24</v>
      </c>
      <c r="G736" s="7" t="s">
        <v>31</v>
      </c>
      <c r="H736" s="7">
        <v>158</v>
      </c>
      <c r="I736" s="5">
        <v>180</v>
      </c>
      <c r="J736" s="5">
        <f t="shared" si="11"/>
        <v>28440</v>
      </c>
      <c r="K736" s="7">
        <v>24</v>
      </c>
      <c r="L736" s="7" t="s">
        <v>35</v>
      </c>
      <c r="M736" s="7">
        <v>4</v>
      </c>
    </row>
    <row r="737" spans="2:13" ht="15.6" thickTop="1" thickBot="1" x14ac:dyDescent="0.35">
      <c r="B737" s="8">
        <v>735</v>
      </c>
      <c r="C737" s="9" t="s">
        <v>11</v>
      </c>
      <c r="D737" s="19">
        <v>45393</v>
      </c>
      <c r="E737" s="9" t="s">
        <v>22</v>
      </c>
      <c r="F737" s="9" t="s">
        <v>25</v>
      </c>
      <c r="G737" s="9" t="s">
        <v>29</v>
      </c>
      <c r="H737" s="9">
        <v>54</v>
      </c>
      <c r="I737" s="5">
        <v>90</v>
      </c>
      <c r="J737" s="5">
        <f t="shared" si="11"/>
        <v>4860</v>
      </c>
      <c r="K737" s="9">
        <v>19</v>
      </c>
      <c r="L737" s="9" t="s">
        <v>33</v>
      </c>
      <c r="M737" s="9">
        <v>5</v>
      </c>
    </row>
    <row r="738" spans="2:13" ht="15.6" thickTop="1" thickBot="1" x14ac:dyDescent="0.35">
      <c r="B738" s="6">
        <v>736</v>
      </c>
      <c r="C738" s="7" t="s">
        <v>11</v>
      </c>
      <c r="D738" s="18">
        <v>45394</v>
      </c>
      <c r="E738" s="7" t="s">
        <v>13</v>
      </c>
      <c r="F738" s="7" t="s">
        <v>24</v>
      </c>
      <c r="G738" s="7" t="s">
        <v>32</v>
      </c>
      <c r="H738" s="7">
        <v>40</v>
      </c>
      <c r="I738" s="5">
        <v>45</v>
      </c>
      <c r="J738" s="5">
        <f t="shared" si="11"/>
        <v>1800</v>
      </c>
      <c r="K738" s="7">
        <v>15</v>
      </c>
      <c r="L738" s="7" t="s">
        <v>33</v>
      </c>
      <c r="M738" s="7">
        <v>3</v>
      </c>
    </row>
    <row r="739" spans="2:13" ht="15.6" thickTop="1" thickBot="1" x14ac:dyDescent="0.35">
      <c r="B739" s="8">
        <v>737</v>
      </c>
      <c r="C739" s="9" t="s">
        <v>10</v>
      </c>
      <c r="D739" s="19">
        <v>45395</v>
      </c>
      <c r="E739" s="9" t="s">
        <v>22</v>
      </c>
      <c r="F739" s="9" t="s">
        <v>25</v>
      </c>
      <c r="G739" s="9" t="s">
        <v>31</v>
      </c>
      <c r="H739" s="9">
        <v>216</v>
      </c>
      <c r="I739" s="5">
        <v>180</v>
      </c>
      <c r="J739" s="5">
        <f t="shared" si="11"/>
        <v>38880</v>
      </c>
      <c r="K739" s="9">
        <v>12</v>
      </c>
      <c r="L739" s="9" t="s">
        <v>34</v>
      </c>
      <c r="M739" s="9">
        <v>1</v>
      </c>
    </row>
    <row r="740" spans="2:13" ht="15.6" thickTop="1" thickBot="1" x14ac:dyDescent="0.35">
      <c r="B740" s="6">
        <v>738</v>
      </c>
      <c r="C740" s="7" t="s">
        <v>11</v>
      </c>
      <c r="D740" s="18">
        <v>45396</v>
      </c>
      <c r="E740" s="7" t="s">
        <v>13</v>
      </c>
      <c r="F740" s="7" t="s">
        <v>24</v>
      </c>
      <c r="G740" s="7" t="s">
        <v>29</v>
      </c>
      <c r="H740" s="7">
        <v>236</v>
      </c>
      <c r="I740" s="5">
        <v>90</v>
      </c>
      <c r="J740" s="5">
        <f t="shared" si="11"/>
        <v>21240</v>
      </c>
      <c r="K740" s="7">
        <v>15</v>
      </c>
      <c r="L740" s="7" t="s">
        <v>33</v>
      </c>
      <c r="M740" s="7">
        <v>5</v>
      </c>
    </row>
    <row r="741" spans="2:13" ht="15.6" thickTop="1" thickBot="1" x14ac:dyDescent="0.35">
      <c r="B741" s="8">
        <v>739</v>
      </c>
      <c r="C741" s="9" t="s">
        <v>11</v>
      </c>
      <c r="D741" s="19">
        <v>45397</v>
      </c>
      <c r="E741" s="9" t="s">
        <v>12</v>
      </c>
      <c r="F741" s="9" t="s">
        <v>23</v>
      </c>
      <c r="G741" s="9" t="s">
        <v>32</v>
      </c>
      <c r="H741" s="9">
        <v>166</v>
      </c>
      <c r="I741" s="5">
        <v>45</v>
      </c>
      <c r="J741" s="5">
        <f t="shared" si="11"/>
        <v>7470</v>
      </c>
      <c r="K741" s="9">
        <v>7</v>
      </c>
      <c r="L741" s="9" t="s">
        <v>33</v>
      </c>
      <c r="M741" s="9">
        <v>3</v>
      </c>
    </row>
    <row r="742" spans="2:13" ht="15.6" thickTop="1" thickBot="1" x14ac:dyDescent="0.35">
      <c r="B742" s="6">
        <v>740</v>
      </c>
      <c r="C742" s="7" t="s">
        <v>10</v>
      </c>
      <c r="D742" s="18">
        <v>45398</v>
      </c>
      <c r="E742" s="7" t="s">
        <v>16</v>
      </c>
      <c r="F742" s="7" t="s">
        <v>26</v>
      </c>
      <c r="G742" s="7" t="s">
        <v>31</v>
      </c>
      <c r="H742" s="7">
        <v>77</v>
      </c>
      <c r="I742" s="5">
        <v>45</v>
      </c>
      <c r="J742" s="5">
        <f t="shared" si="11"/>
        <v>3465</v>
      </c>
      <c r="K742" s="7">
        <v>21</v>
      </c>
      <c r="L742" s="7" t="s">
        <v>34</v>
      </c>
      <c r="M742" s="7">
        <v>5</v>
      </c>
    </row>
    <row r="743" spans="2:13" ht="15.6" thickTop="1" thickBot="1" x14ac:dyDescent="0.35">
      <c r="B743" s="8">
        <v>741</v>
      </c>
      <c r="C743" s="9" t="s">
        <v>11</v>
      </c>
      <c r="D743" s="19">
        <v>45399</v>
      </c>
      <c r="E743" s="9" t="s">
        <v>17</v>
      </c>
      <c r="F743" s="9" t="s">
        <v>24</v>
      </c>
      <c r="G743" s="9" t="s">
        <v>31</v>
      </c>
      <c r="H743" s="9">
        <v>243</v>
      </c>
      <c r="I743" s="5">
        <v>225</v>
      </c>
      <c r="J743" s="5">
        <f t="shared" si="11"/>
        <v>54675</v>
      </c>
      <c r="K743" s="9">
        <v>12</v>
      </c>
      <c r="L743" s="9" t="s">
        <v>33</v>
      </c>
      <c r="M743" s="9"/>
    </row>
    <row r="744" spans="2:13" ht="15.6" thickTop="1" thickBot="1" x14ac:dyDescent="0.35">
      <c r="B744" s="6">
        <v>742</v>
      </c>
      <c r="C744" s="7" t="s">
        <v>10</v>
      </c>
      <c r="D744" s="18">
        <v>45400</v>
      </c>
      <c r="E744" s="7" t="s">
        <v>12</v>
      </c>
      <c r="F744" s="7" t="s">
        <v>23</v>
      </c>
      <c r="G744" s="7" t="s">
        <v>28</v>
      </c>
      <c r="H744" s="7">
        <v>42</v>
      </c>
      <c r="I744" s="5">
        <v>180</v>
      </c>
      <c r="J744" s="5">
        <f t="shared" si="11"/>
        <v>7560</v>
      </c>
      <c r="K744" s="7">
        <v>20</v>
      </c>
      <c r="L744" s="7" t="s">
        <v>33</v>
      </c>
      <c r="M744" s="7">
        <v>3</v>
      </c>
    </row>
    <row r="745" spans="2:13" ht="15.6" thickTop="1" thickBot="1" x14ac:dyDescent="0.35">
      <c r="B745" s="8">
        <v>743</v>
      </c>
      <c r="C745" s="9" t="s">
        <v>10</v>
      </c>
      <c r="D745" s="19">
        <v>45401</v>
      </c>
      <c r="E745" s="9" t="s">
        <v>17</v>
      </c>
      <c r="F745" s="9" t="s">
        <v>24</v>
      </c>
      <c r="G745" s="9" t="s">
        <v>31</v>
      </c>
      <c r="H745" s="9">
        <v>100</v>
      </c>
      <c r="I745" s="5">
        <v>90</v>
      </c>
      <c r="J745" s="5">
        <f t="shared" si="11"/>
        <v>9000</v>
      </c>
      <c r="K745" s="9">
        <v>15</v>
      </c>
      <c r="L745" s="9" t="s">
        <v>33</v>
      </c>
      <c r="M745" s="9"/>
    </row>
    <row r="746" spans="2:13" ht="15.6" thickTop="1" thickBot="1" x14ac:dyDescent="0.35">
      <c r="B746" s="6">
        <v>744</v>
      </c>
      <c r="C746" s="7" t="s">
        <v>10</v>
      </c>
      <c r="D746" s="18">
        <v>45402</v>
      </c>
      <c r="E746" s="7" t="s">
        <v>12</v>
      </c>
      <c r="F746" s="7" t="s">
        <v>23</v>
      </c>
      <c r="G746" s="7" t="s">
        <v>29</v>
      </c>
      <c r="H746" s="7">
        <v>190</v>
      </c>
      <c r="I746" s="5">
        <v>135</v>
      </c>
      <c r="J746" s="5">
        <f t="shared" si="11"/>
        <v>25650</v>
      </c>
      <c r="K746" s="7">
        <v>12</v>
      </c>
      <c r="L746" s="7" t="s">
        <v>35</v>
      </c>
      <c r="M746" s="7">
        <v>3</v>
      </c>
    </row>
    <row r="747" spans="2:13" ht="15.6" thickTop="1" thickBot="1" x14ac:dyDescent="0.35">
      <c r="B747" s="8">
        <v>745</v>
      </c>
      <c r="C747" s="9" t="s">
        <v>10</v>
      </c>
      <c r="D747" s="19">
        <v>45403</v>
      </c>
      <c r="E747" s="9" t="s">
        <v>12</v>
      </c>
      <c r="F747" s="9" t="s">
        <v>23</v>
      </c>
      <c r="G747" s="9" t="s">
        <v>30</v>
      </c>
      <c r="H747" s="9">
        <v>144</v>
      </c>
      <c r="I747" s="5">
        <v>180</v>
      </c>
      <c r="J747" s="5">
        <f t="shared" si="11"/>
        <v>25920</v>
      </c>
      <c r="K747" s="9">
        <v>19</v>
      </c>
      <c r="L747" s="9" t="s">
        <v>34</v>
      </c>
      <c r="M747" s="9">
        <v>2</v>
      </c>
    </row>
    <row r="748" spans="2:13" ht="15.6" thickTop="1" thickBot="1" x14ac:dyDescent="0.35">
      <c r="B748" s="6">
        <v>746</v>
      </c>
      <c r="C748" s="7" t="s">
        <v>11</v>
      </c>
      <c r="D748" s="18">
        <v>45404</v>
      </c>
      <c r="E748" s="7" t="s">
        <v>14</v>
      </c>
      <c r="F748" s="7" t="s">
        <v>25</v>
      </c>
      <c r="G748" s="7" t="s">
        <v>30</v>
      </c>
      <c r="H748" s="7">
        <v>122</v>
      </c>
      <c r="I748" s="5">
        <v>225</v>
      </c>
      <c r="J748" s="5">
        <f t="shared" si="11"/>
        <v>27450</v>
      </c>
      <c r="K748" s="7">
        <v>10</v>
      </c>
      <c r="L748" s="7" t="s">
        <v>33</v>
      </c>
      <c r="M748" s="7"/>
    </row>
    <row r="749" spans="2:13" ht="15.6" thickTop="1" thickBot="1" x14ac:dyDescent="0.35">
      <c r="B749" s="8">
        <v>747</v>
      </c>
      <c r="C749" s="9" t="s">
        <v>10</v>
      </c>
      <c r="D749" s="19">
        <v>45405</v>
      </c>
      <c r="E749" s="9" t="s">
        <v>16</v>
      </c>
      <c r="F749" s="9" t="s">
        <v>26</v>
      </c>
      <c r="G749" s="9" t="s">
        <v>29</v>
      </c>
      <c r="H749" s="9">
        <v>196</v>
      </c>
      <c r="I749" s="5">
        <v>90</v>
      </c>
      <c r="J749" s="5">
        <f t="shared" si="11"/>
        <v>17640</v>
      </c>
      <c r="K749" s="9">
        <v>23</v>
      </c>
      <c r="L749" s="9" t="s">
        <v>33</v>
      </c>
      <c r="M749" s="9">
        <v>1</v>
      </c>
    </row>
    <row r="750" spans="2:13" ht="15.6" thickTop="1" thickBot="1" x14ac:dyDescent="0.35">
      <c r="B750" s="6">
        <v>748</v>
      </c>
      <c r="C750" s="7" t="s">
        <v>10</v>
      </c>
      <c r="D750" s="18">
        <v>45406</v>
      </c>
      <c r="E750" s="7" t="s">
        <v>17</v>
      </c>
      <c r="F750" s="7" t="s">
        <v>24</v>
      </c>
      <c r="G750" s="7" t="s">
        <v>28</v>
      </c>
      <c r="H750" s="7">
        <v>180</v>
      </c>
      <c r="I750" s="5">
        <v>45</v>
      </c>
      <c r="J750" s="5">
        <f t="shared" si="11"/>
        <v>8100</v>
      </c>
      <c r="K750" s="7">
        <v>22</v>
      </c>
      <c r="L750" s="7" t="s">
        <v>33</v>
      </c>
      <c r="M750" s="7">
        <v>2</v>
      </c>
    </row>
    <row r="751" spans="2:13" ht="15.6" thickTop="1" thickBot="1" x14ac:dyDescent="0.35">
      <c r="B751" s="8">
        <v>749</v>
      </c>
      <c r="C751" s="9" t="s">
        <v>10</v>
      </c>
      <c r="D751" s="19">
        <v>45407</v>
      </c>
      <c r="E751" s="9" t="s">
        <v>18</v>
      </c>
      <c r="F751" s="9" t="s">
        <v>27</v>
      </c>
      <c r="G751" s="9" t="s">
        <v>28</v>
      </c>
      <c r="H751" s="9">
        <v>39</v>
      </c>
      <c r="I751" s="5">
        <v>225</v>
      </c>
      <c r="J751" s="5">
        <f t="shared" si="11"/>
        <v>8775</v>
      </c>
      <c r="K751" s="9">
        <v>14</v>
      </c>
      <c r="L751" s="9" t="s">
        <v>33</v>
      </c>
      <c r="M751" s="9">
        <v>5</v>
      </c>
    </row>
    <row r="752" spans="2:13" ht="15.6" thickTop="1" thickBot="1" x14ac:dyDescent="0.35">
      <c r="B752" s="6">
        <v>750</v>
      </c>
      <c r="C752" s="7" t="s">
        <v>10</v>
      </c>
      <c r="D752" s="18">
        <v>45408</v>
      </c>
      <c r="E752" s="7" t="s">
        <v>15</v>
      </c>
      <c r="F752" s="7" t="s">
        <v>25</v>
      </c>
      <c r="G752" s="7" t="s">
        <v>32</v>
      </c>
      <c r="H752" s="7">
        <v>115</v>
      </c>
      <c r="I752" s="5">
        <v>225</v>
      </c>
      <c r="J752" s="5">
        <f t="shared" si="11"/>
        <v>25875</v>
      </c>
      <c r="K752" s="7">
        <v>11</v>
      </c>
      <c r="L752" s="7" t="s">
        <v>34</v>
      </c>
      <c r="M752" s="7">
        <v>5</v>
      </c>
    </row>
    <row r="753" spans="2:13" ht="15.6" thickTop="1" thickBot="1" x14ac:dyDescent="0.35">
      <c r="B753" s="8">
        <v>751</v>
      </c>
      <c r="C753" s="9" t="s">
        <v>11</v>
      </c>
      <c r="D753" s="19">
        <v>45409</v>
      </c>
      <c r="E753" s="9" t="s">
        <v>21</v>
      </c>
      <c r="F753" s="9" t="s">
        <v>26</v>
      </c>
      <c r="G753" s="9" t="s">
        <v>31</v>
      </c>
      <c r="H753" s="9">
        <v>151</v>
      </c>
      <c r="I753" s="5">
        <v>225</v>
      </c>
      <c r="J753" s="5">
        <f t="shared" si="11"/>
        <v>33975</v>
      </c>
      <c r="K753" s="9">
        <v>14</v>
      </c>
      <c r="L753" s="9" t="s">
        <v>33</v>
      </c>
      <c r="M753" s="9"/>
    </row>
    <row r="754" spans="2:13" ht="15.6" thickTop="1" thickBot="1" x14ac:dyDescent="0.35">
      <c r="B754" s="6">
        <v>752</v>
      </c>
      <c r="C754" s="7" t="s">
        <v>11</v>
      </c>
      <c r="D754" s="18">
        <v>45410</v>
      </c>
      <c r="E754" s="7" t="s">
        <v>21</v>
      </c>
      <c r="F754" s="7" t="s">
        <v>26</v>
      </c>
      <c r="G754" s="7" t="s">
        <v>28</v>
      </c>
      <c r="H754" s="7">
        <v>193</v>
      </c>
      <c r="I754" s="5">
        <v>225</v>
      </c>
      <c r="J754" s="5">
        <f t="shared" si="11"/>
        <v>43425</v>
      </c>
      <c r="K754" s="7">
        <v>12</v>
      </c>
      <c r="L754" s="7" t="s">
        <v>34</v>
      </c>
      <c r="M754" s="7">
        <v>4</v>
      </c>
    </row>
    <row r="755" spans="2:13" ht="15.6" thickTop="1" thickBot="1" x14ac:dyDescent="0.35">
      <c r="B755" s="8">
        <v>753</v>
      </c>
      <c r="C755" s="9" t="s">
        <v>10</v>
      </c>
      <c r="D755" s="19">
        <v>45411</v>
      </c>
      <c r="E755" s="9" t="s">
        <v>22</v>
      </c>
      <c r="F755" s="9" t="s">
        <v>25</v>
      </c>
      <c r="G755" s="9" t="s">
        <v>30</v>
      </c>
      <c r="H755" s="9">
        <v>184</v>
      </c>
      <c r="I755" s="5">
        <v>90</v>
      </c>
      <c r="J755" s="5">
        <f t="shared" si="11"/>
        <v>16560</v>
      </c>
      <c r="K755" s="9">
        <v>15</v>
      </c>
      <c r="L755" s="9" t="s">
        <v>34</v>
      </c>
      <c r="M755" s="9">
        <v>2</v>
      </c>
    </row>
    <row r="756" spans="2:13" ht="15.6" thickTop="1" thickBot="1" x14ac:dyDescent="0.35">
      <c r="B756" s="6">
        <v>754</v>
      </c>
      <c r="C756" s="7" t="s">
        <v>10</v>
      </c>
      <c r="D756" s="18">
        <v>45412</v>
      </c>
      <c r="E756" s="7" t="s">
        <v>22</v>
      </c>
      <c r="F756" s="7" t="s">
        <v>25</v>
      </c>
      <c r="G756" s="7" t="s">
        <v>31</v>
      </c>
      <c r="H756" s="7">
        <v>151</v>
      </c>
      <c r="I756" s="5">
        <v>135</v>
      </c>
      <c r="J756" s="5">
        <f t="shared" si="11"/>
        <v>20385</v>
      </c>
      <c r="K756" s="7">
        <v>20</v>
      </c>
      <c r="L756" s="7" t="s">
        <v>34</v>
      </c>
      <c r="M756" s="7">
        <v>5</v>
      </c>
    </row>
    <row r="757" spans="2:13" ht="15.6" thickTop="1" thickBot="1" x14ac:dyDescent="0.35">
      <c r="B757" s="8">
        <v>755</v>
      </c>
      <c r="C757" s="9" t="s">
        <v>10</v>
      </c>
      <c r="D757" s="19">
        <v>45413</v>
      </c>
      <c r="E757" s="9" t="s">
        <v>14</v>
      </c>
      <c r="F757" s="9" t="s">
        <v>25</v>
      </c>
      <c r="G757" s="9" t="s">
        <v>30</v>
      </c>
      <c r="H757" s="9">
        <v>213</v>
      </c>
      <c r="I757" s="5">
        <v>135</v>
      </c>
      <c r="J757" s="5">
        <f t="shared" si="11"/>
        <v>28755</v>
      </c>
      <c r="K757" s="9">
        <v>25</v>
      </c>
      <c r="L757" s="9" t="s">
        <v>33</v>
      </c>
      <c r="M757" s="9">
        <v>2</v>
      </c>
    </row>
    <row r="758" spans="2:13" ht="15.6" thickTop="1" thickBot="1" x14ac:dyDescent="0.35">
      <c r="B758" s="6">
        <v>756</v>
      </c>
      <c r="C758" s="7" t="s">
        <v>11</v>
      </c>
      <c r="D758" s="18">
        <v>45414</v>
      </c>
      <c r="E758" s="7" t="s">
        <v>14</v>
      </c>
      <c r="F758" s="7" t="s">
        <v>25</v>
      </c>
      <c r="G758" s="7" t="s">
        <v>30</v>
      </c>
      <c r="H758" s="7">
        <v>194</v>
      </c>
      <c r="I758" s="5">
        <v>225</v>
      </c>
      <c r="J758" s="5">
        <f t="shared" si="11"/>
        <v>43650</v>
      </c>
      <c r="K758" s="7">
        <v>17</v>
      </c>
      <c r="L758" s="7" t="s">
        <v>33</v>
      </c>
      <c r="M758" s="7">
        <v>4</v>
      </c>
    </row>
    <row r="759" spans="2:13" ht="15.6" thickTop="1" thickBot="1" x14ac:dyDescent="0.35">
      <c r="B759" s="8">
        <v>757</v>
      </c>
      <c r="C759" s="9" t="s">
        <v>11</v>
      </c>
      <c r="D759" s="19">
        <v>45415</v>
      </c>
      <c r="E759" s="9" t="s">
        <v>16</v>
      </c>
      <c r="F759" s="9" t="s">
        <v>26</v>
      </c>
      <c r="G759" s="9" t="s">
        <v>30</v>
      </c>
      <c r="H759" s="9">
        <v>162</v>
      </c>
      <c r="I759" s="5">
        <v>135</v>
      </c>
      <c r="J759" s="5">
        <f t="shared" si="11"/>
        <v>21870</v>
      </c>
      <c r="K759" s="9">
        <v>20</v>
      </c>
      <c r="L759" s="9" t="s">
        <v>34</v>
      </c>
      <c r="M759" s="9">
        <v>4</v>
      </c>
    </row>
    <row r="760" spans="2:13" ht="15.6" thickTop="1" thickBot="1" x14ac:dyDescent="0.35">
      <c r="B760" s="6">
        <v>758</v>
      </c>
      <c r="C760" s="7" t="s">
        <v>11</v>
      </c>
      <c r="D760" s="18">
        <v>45416</v>
      </c>
      <c r="E760" s="7" t="s">
        <v>18</v>
      </c>
      <c r="F760" s="7" t="s">
        <v>27</v>
      </c>
      <c r="G760" s="7" t="s">
        <v>32</v>
      </c>
      <c r="H760" s="7">
        <v>213</v>
      </c>
      <c r="I760" s="5">
        <v>135</v>
      </c>
      <c r="J760" s="5">
        <f t="shared" si="11"/>
        <v>28755</v>
      </c>
      <c r="K760" s="7">
        <v>12</v>
      </c>
      <c r="L760" s="7" t="s">
        <v>34</v>
      </c>
      <c r="M760" s="7">
        <v>1</v>
      </c>
    </row>
    <row r="761" spans="2:13" ht="15.6" thickTop="1" thickBot="1" x14ac:dyDescent="0.35">
      <c r="B761" s="8">
        <v>759</v>
      </c>
      <c r="C761" s="9" t="s">
        <v>10</v>
      </c>
      <c r="D761" s="19">
        <v>45417</v>
      </c>
      <c r="E761" s="9" t="s">
        <v>21</v>
      </c>
      <c r="F761" s="9" t="s">
        <v>26</v>
      </c>
      <c r="G761" s="9" t="s">
        <v>28</v>
      </c>
      <c r="H761" s="9">
        <v>219</v>
      </c>
      <c r="I761" s="5">
        <v>45</v>
      </c>
      <c r="J761" s="5">
        <f t="shared" si="11"/>
        <v>9855</v>
      </c>
      <c r="K761" s="9">
        <v>25</v>
      </c>
      <c r="L761" s="9" t="s">
        <v>33</v>
      </c>
      <c r="M761" s="9">
        <v>1</v>
      </c>
    </row>
    <row r="762" spans="2:13" ht="15.6" thickTop="1" thickBot="1" x14ac:dyDescent="0.35">
      <c r="B762" s="6">
        <v>760</v>
      </c>
      <c r="C762" s="7" t="s">
        <v>11</v>
      </c>
      <c r="D762" s="18">
        <v>45418</v>
      </c>
      <c r="E762" s="7" t="s">
        <v>21</v>
      </c>
      <c r="F762" s="7" t="s">
        <v>26</v>
      </c>
      <c r="G762" s="7" t="s">
        <v>29</v>
      </c>
      <c r="H762" s="7">
        <v>248</v>
      </c>
      <c r="I762" s="5">
        <v>180</v>
      </c>
      <c r="J762" s="5">
        <f t="shared" si="11"/>
        <v>44640</v>
      </c>
      <c r="K762" s="7">
        <v>16</v>
      </c>
      <c r="L762" s="7" t="s">
        <v>35</v>
      </c>
      <c r="M762" s="7">
        <v>2</v>
      </c>
    </row>
    <row r="763" spans="2:13" ht="15.6" thickTop="1" thickBot="1" x14ac:dyDescent="0.35">
      <c r="B763" s="8">
        <v>761</v>
      </c>
      <c r="C763" s="9" t="s">
        <v>11</v>
      </c>
      <c r="D763" s="19">
        <v>45419</v>
      </c>
      <c r="E763" s="9" t="s">
        <v>22</v>
      </c>
      <c r="F763" s="9" t="s">
        <v>25</v>
      </c>
      <c r="G763" s="9" t="s">
        <v>28</v>
      </c>
      <c r="H763" s="9">
        <v>152</v>
      </c>
      <c r="I763" s="5">
        <v>45</v>
      </c>
      <c r="J763" s="5">
        <f t="shared" si="11"/>
        <v>6840</v>
      </c>
      <c r="K763" s="9">
        <v>12</v>
      </c>
      <c r="L763" s="9" t="s">
        <v>33</v>
      </c>
      <c r="M763" s="9">
        <v>5</v>
      </c>
    </row>
    <row r="764" spans="2:13" ht="15.6" thickTop="1" thickBot="1" x14ac:dyDescent="0.35">
      <c r="B764" s="6">
        <v>762</v>
      </c>
      <c r="C764" s="7" t="s">
        <v>11</v>
      </c>
      <c r="D764" s="18">
        <v>45420</v>
      </c>
      <c r="E764" s="7" t="s">
        <v>12</v>
      </c>
      <c r="F764" s="7" t="s">
        <v>23</v>
      </c>
      <c r="G764" s="7" t="s">
        <v>29</v>
      </c>
      <c r="H764" s="7">
        <v>47</v>
      </c>
      <c r="I764" s="5">
        <v>225</v>
      </c>
      <c r="J764" s="5">
        <f t="shared" si="11"/>
        <v>10575</v>
      </c>
      <c r="K764" s="7">
        <v>8</v>
      </c>
      <c r="L764" s="7" t="s">
        <v>33</v>
      </c>
      <c r="M764" s="7">
        <v>2</v>
      </c>
    </row>
    <row r="765" spans="2:13" ht="15.6" thickTop="1" thickBot="1" x14ac:dyDescent="0.35">
      <c r="B765" s="8">
        <v>763</v>
      </c>
      <c r="C765" s="9" t="s">
        <v>11</v>
      </c>
      <c r="D765" s="19">
        <v>45421</v>
      </c>
      <c r="E765" s="9" t="s">
        <v>22</v>
      </c>
      <c r="F765" s="9" t="s">
        <v>25</v>
      </c>
      <c r="G765" s="9" t="s">
        <v>31</v>
      </c>
      <c r="H765" s="9">
        <v>63</v>
      </c>
      <c r="I765" s="5">
        <v>45</v>
      </c>
      <c r="J765" s="5">
        <f t="shared" si="11"/>
        <v>2835</v>
      </c>
      <c r="K765" s="9">
        <v>15</v>
      </c>
      <c r="L765" s="9" t="s">
        <v>34</v>
      </c>
      <c r="M765" s="9"/>
    </row>
    <row r="766" spans="2:13" ht="15.6" thickTop="1" thickBot="1" x14ac:dyDescent="0.35">
      <c r="B766" s="6">
        <v>764</v>
      </c>
      <c r="C766" s="7" t="s">
        <v>11</v>
      </c>
      <c r="D766" s="18">
        <v>45422</v>
      </c>
      <c r="E766" s="7" t="s">
        <v>13</v>
      </c>
      <c r="F766" s="7" t="s">
        <v>24</v>
      </c>
      <c r="G766" s="7" t="s">
        <v>30</v>
      </c>
      <c r="H766" s="7">
        <v>224</v>
      </c>
      <c r="I766" s="5">
        <v>45</v>
      </c>
      <c r="J766" s="5">
        <f t="shared" si="11"/>
        <v>10080</v>
      </c>
      <c r="K766" s="7">
        <v>8</v>
      </c>
      <c r="L766" s="7" t="s">
        <v>34</v>
      </c>
      <c r="M766" s="7">
        <v>3</v>
      </c>
    </row>
    <row r="767" spans="2:13" ht="15.6" thickTop="1" thickBot="1" x14ac:dyDescent="0.35">
      <c r="B767" s="8">
        <v>765</v>
      </c>
      <c r="C767" s="9" t="s">
        <v>11</v>
      </c>
      <c r="D767" s="19">
        <v>45423</v>
      </c>
      <c r="E767" s="9" t="s">
        <v>13</v>
      </c>
      <c r="F767" s="9" t="s">
        <v>24</v>
      </c>
      <c r="G767" s="9" t="s">
        <v>28</v>
      </c>
      <c r="H767" s="9">
        <v>49</v>
      </c>
      <c r="I767" s="5">
        <v>180</v>
      </c>
      <c r="J767" s="5">
        <f t="shared" si="11"/>
        <v>8820</v>
      </c>
      <c r="K767" s="9">
        <v>9</v>
      </c>
      <c r="L767" s="9" t="s">
        <v>33</v>
      </c>
      <c r="M767" s="9">
        <v>4</v>
      </c>
    </row>
    <row r="768" spans="2:13" ht="15.6" thickTop="1" thickBot="1" x14ac:dyDescent="0.35">
      <c r="B768" s="6">
        <v>766</v>
      </c>
      <c r="C768" s="7" t="s">
        <v>11</v>
      </c>
      <c r="D768" s="18">
        <v>45424</v>
      </c>
      <c r="E768" s="7" t="s">
        <v>20</v>
      </c>
      <c r="F768" s="7" t="s">
        <v>20</v>
      </c>
      <c r="G768" s="7" t="s">
        <v>30</v>
      </c>
      <c r="H768" s="7">
        <v>53</v>
      </c>
      <c r="I768" s="5">
        <v>90</v>
      </c>
      <c r="J768" s="5">
        <f t="shared" si="11"/>
        <v>4770</v>
      </c>
      <c r="K768" s="7">
        <v>18</v>
      </c>
      <c r="L768" s="7" t="s">
        <v>34</v>
      </c>
      <c r="M768" s="7">
        <v>2</v>
      </c>
    </row>
    <row r="769" spans="2:13" ht="15.6" thickTop="1" thickBot="1" x14ac:dyDescent="0.35">
      <c r="B769" s="8">
        <v>767</v>
      </c>
      <c r="C769" s="9" t="s">
        <v>11</v>
      </c>
      <c r="D769" s="19">
        <v>45425</v>
      </c>
      <c r="E769" s="9" t="s">
        <v>15</v>
      </c>
      <c r="F769" s="9" t="s">
        <v>25</v>
      </c>
      <c r="G769" s="9" t="s">
        <v>31</v>
      </c>
      <c r="H769" s="9">
        <v>247</v>
      </c>
      <c r="I769" s="5">
        <v>90</v>
      </c>
      <c r="J769" s="5">
        <f t="shared" si="11"/>
        <v>22230</v>
      </c>
      <c r="K769" s="9">
        <v>13</v>
      </c>
      <c r="L769" s="9" t="s">
        <v>33</v>
      </c>
      <c r="M769" s="9">
        <v>1</v>
      </c>
    </row>
    <row r="770" spans="2:13" ht="15.6" thickTop="1" thickBot="1" x14ac:dyDescent="0.35">
      <c r="B770" s="6">
        <v>768</v>
      </c>
      <c r="C770" s="7" t="s">
        <v>10</v>
      </c>
      <c r="D770" s="18">
        <v>45426</v>
      </c>
      <c r="E770" s="7" t="s">
        <v>15</v>
      </c>
      <c r="F770" s="7" t="s">
        <v>25</v>
      </c>
      <c r="G770" s="7" t="s">
        <v>28</v>
      </c>
      <c r="H770" s="7">
        <v>143</v>
      </c>
      <c r="I770" s="5">
        <v>90</v>
      </c>
      <c r="J770" s="5">
        <f t="shared" si="11"/>
        <v>12870</v>
      </c>
      <c r="K770" s="7">
        <v>24</v>
      </c>
      <c r="L770" s="7" t="s">
        <v>34</v>
      </c>
      <c r="M770" s="7">
        <v>3</v>
      </c>
    </row>
    <row r="771" spans="2:13" ht="15.6" thickTop="1" thickBot="1" x14ac:dyDescent="0.35">
      <c r="B771" s="8">
        <v>769</v>
      </c>
      <c r="C771" s="9" t="s">
        <v>11</v>
      </c>
      <c r="D771" s="19">
        <v>45427</v>
      </c>
      <c r="E771" s="9" t="s">
        <v>18</v>
      </c>
      <c r="F771" s="9" t="s">
        <v>27</v>
      </c>
      <c r="G771" s="9" t="s">
        <v>29</v>
      </c>
      <c r="H771" s="9">
        <v>192</v>
      </c>
      <c r="I771" s="5">
        <v>180</v>
      </c>
      <c r="J771" s="5">
        <f t="shared" si="11"/>
        <v>34560</v>
      </c>
      <c r="K771" s="9">
        <v>10</v>
      </c>
      <c r="L771" s="9" t="s">
        <v>35</v>
      </c>
      <c r="M771" s="9">
        <v>1</v>
      </c>
    </row>
    <row r="772" spans="2:13" ht="15.6" thickTop="1" thickBot="1" x14ac:dyDescent="0.35">
      <c r="B772" s="6">
        <v>770</v>
      </c>
      <c r="C772" s="7" t="s">
        <v>11</v>
      </c>
      <c r="D772" s="18">
        <v>45428</v>
      </c>
      <c r="E772" s="7" t="s">
        <v>16</v>
      </c>
      <c r="F772" s="7" t="s">
        <v>26</v>
      </c>
      <c r="G772" s="7" t="s">
        <v>28</v>
      </c>
      <c r="H772" s="7">
        <v>248</v>
      </c>
      <c r="I772" s="5">
        <v>45</v>
      </c>
      <c r="J772" s="5">
        <f t="shared" ref="J772:J835" si="12">H772*I772</f>
        <v>11160</v>
      </c>
      <c r="K772" s="7">
        <v>18</v>
      </c>
      <c r="L772" s="7" t="s">
        <v>35</v>
      </c>
      <c r="M772" s="7">
        <v>1</v>
      </c>
    </row>
    <row r="773" spans="2:13" ht="15.6" thickTop="1" thickBot="1" x14ac:dyDescent="0.35">
      <c r="B773" s="8">
        <v>771</v>
      </c>
      <c r="C773" s="9" t="s">
        <v>11</v>
      </c>
      <c r="D773" s="19">
        <v>45429</v>
      </c>
      <c r="E773" s="9" t="s">
        <v>12</v>
      </c>
      <c r="F773" s="9" t="s">
        <v>23</v>
      </c>
      <c r="G773" s="9" t="s">
        <v>29</v>
      </c>
      <c r="H773" s="9">
        <v>88</v>
      </c>
      <c r="I773" s="5">
        <v>90</v>
      </c>
      <c r="J773" s="5">
        <f t="shared" si="12"/>
        <v>7920</v>
      </c>
      <c r="K773" s="9">
        <v>15</v>
      </c>
      <c r="L773" s="9" t="s">
        <v>35</v>
      </c>
      <c r="M773" s="9">
        <v>4</v>
      </c>
    </row>
    <row r="774" spans="2:13" ht="15.6" thickTop="1" thickBot="1" x14ac:dyDescent="0.35">
      <c r="B774" s="6">
        <v>772</v>
      </c>
      <c r="C774" s="7" t="s">
        <v>11</v>
      </c>
      <c r="D774" s="18">
        <v>45430</v>
      </c>
      <c r="E774" s="7" t="s">
        <v>15</v>
      </c>
      <c r="F774" s="7" t="s">
        <v>25</v>
      </c>
      <c r="G774" s="7" t="s">
        <v>29</v>
      </c>
      <c r="H774" s="7">
        <v>45</v>
      </c>
      <c r="I774" s="5">
        <v>90</v>
      </c>
      <c r="J774" s="5">
        <f t="shared" si="12"/>
        <v>4050</v>
      </c>
      <c r="K774" s="7">
        <v>11</v>
      </c>
      <c r="L774" s="7" t="s">
        <v>34</v>
      </c>
      <c r="M774" s="7">
        <v>5</v>
      </c>
    </row>
    <row r="775" spans="2:13" ht="15.6" thickTop="1" thickBot="1" x14ac:dyDescent="0.35">
      <c r="B775" s="8">
        <v>773</v>
      </c>
      <c r="C775" s="9" t="s">
        <v>10</v>
      </c>
      <c r="D775" s="19">
        <v>45431</v>
      </c>
      <c r="E775" s="9" t="s">
        <v>22</v>
      </c>
      <c r="F775" s="9" t="s">
        <v>25</v>
      </c>
      <c r="G775" s="9" t="s">
        <v>29</v>
      </c>
      <c r="H775" s="9">
        <v>226</v>
      </c>
      <c r="I775" s="5">
        <v>180</v>
      </c>
      <c r="J775" s="5">
        <f t="shared" si="12"/>
        <v>40680</v>
      </c>
      <c r="K775" s="9">
        <v>15</v>
      </c>
      <c r="L775" s="9" t="s">
        <v>34</v>
      </c>
      <c r="M775" s="9">
        <v>3</v>
      </c>
    </row>
    <row r="776" spans="2:13" ht="15.6" thickTop="1" thickBot="1" x14ac:dyDescent="0.35">
      <c r="B776" s="6">
        <v>774</v>
      </c>
      <c r="C776" s="7" t="s">
        <v>10</v>
      </c>
      <c r="D776" s="18">
        <v>45432</v>
      </c>
      <c r="E776" s="7" t="s">
        <v>20</v>
      </c>
      <c r="F776" s="7" t="s">
        <v>20</v>
      </c>
      <c r="G776" s="7" t="s">
        <v>32</v>
      </c>
      <c r="H776" s="7">
        <v>74</v>
      </c>
      <c r="I776" s="5">
        <v>90</v>
      </c>
      <c r="J776" s="5">
        <f t="shared" si="12"/>
        <v>6660</v>
      </c>
      <c r="K776" s="7">
        <v>23</v>
      </c>
      <c r="L776" s="7" t="s">
        <v>33</v>
      </c>
      <c r="M776" s="7"/>
    </row>
    <row r="777" spans="2:13" ht="15.6" thickTop="1" thickBot="1" x14ac:dyDescent="0.35">
      <c r="B777" s="8">
        <v>775</v>
      </c>
      <c r="C777" s="9" t="s">
        <v>11</v>
      </c>
      <c r="D777" s="19">
        <v>45433</v>
      </c>
      <c r="E777" s="9" t="s">
        <v>21</v>
      </c>
      <c r="F777" s="9" t="s">
        <v>26</v>
      </c>
      <c r="G777" s="9" t="s">
        <v>28</v>
      </c>
      <c r="H777" s="9">
        <v>118</v>
      </c>
      <c r="I777" s="5">
        <v>225</v>
      </c>
      <c r="J777" s="5">
        <f t="shared" si="12"/>
        <v>26550</v>
      </c>
      <c r="K777" s="9">
        <v>16</v>
      </c>
      <c r="L777" s="9" t="s">
        <v>34</v>
      </c>
      <c r="M777" s="9">
        <v>5</v>
      </c>
    </row>
    <row r="778" spans="2:13" ht="15.6" thickTop="1" thickBot="1" x14ac:dyDescent="0.35">
      <c r="B778" s="6">
        <v>776</v>
      </c>
      <c r="C778" s="7" t="s">
        <v>10</v>
      </c>
      <c r="D778" s="18">
        <v>45434</v>
      </c>
      <c r="E778" s="7" t="s">
        <v>21</v>
      </c>
      <c r="F778" s="7" t="s">
        <v>26</v>
      </c>
      <c r="G778" s="7" t="s">
        <v>29</v>
      </c>
      <c r="H778" s="7">
        <v>111</v>
      </c>
      <c r="I778" s="5">
        <v>180</v>
      </c>
      <c r="J778" s="5">
        <f t="shared" si="12"/>
        <v>19980</v>
      </c>
      <c r="K778" s="7">
        <v>17</v>
      </c>
      <c r="L778" s="7" t="s">
        <v>34</v>
      </c>
      <c r="M778" s="7">
        <v>4</v>
      </c>
    </row>
    <row r="779" spans="2:13" ht="15.6" thickTop="1" thickBot="1" x14ac:dyDescent="0.35">
      <c r="B779" s="8">
        <v>777</v>
      </c>
      <c r="C779" s="9" t="s">
        <v>10</v>
      </c>
      <c r="D779" s="19">
        <v>45435</v>
      </c>
      <c r="E779" s="9" t="s">
        <v>18</v>
      </c>
      <c r="F779" s="9" t="s">
        <v>27</v>
      </c>
      <c r="G779" s="9" t="s">
        <v>32</v>
      </c>
      <c r="H779" s="9">
        <v>241</v>
      </c>
      <c r="I779" s="5">
        <v>225</v>
      </c>
      <c r="J779" s="5">
        <f t="shared" si="12"/>
        <v>54225</v>
      </c>
      <c r="K779" s="9">
        <v>15</v>
      </c>
      <c r="L779" s="9" t="s">
        <v>35</v>
      </c>
      <c r="M779" s="9">
        <v>5</v>
      </c>
    </row>
    <row r="780" spans="2:13" ht="15.6" thickTop="1" thickBot="1" x14ac:dyDescent="0.35">
      <c r="B780" s="6">
        <v>778</v>
      </c>
      <c r="C780" s="7" t="s">
        <v>11</v>
      </c>
      <c r="D780" s="18">
        <v>45436</v>
      </c>
      <c r="E780" s="7" t="s">
        <v>19</v>
      </c>
      <c r="F780" s="7" t="s">
        <v>23</v>
      </c>
      <c r="G780" s="7" t="s">
        <v>31</v>
      </c>
      <c r="H780" s="7">
        <v>155</v>
      </c>
      <c r="I780" s="5">
        <v>180</v>
      </c>
      <c r="J780" s="5">
        <f t="shared" si="12"/>
        <v>27900</v>
      </c>
      <c r="K780" s="7">
        <v>7</v>
      </c>
      <c r="L780" s="7" t="s">
        <v>33</v>
      </c>
      <c r="M780" s="7"/>
    </row>
    <row r="781" spans="2:13" ht="15.6" thickTop="1" thickBot="1" x14ac:dyDescent="0.35">
      <c r="B781" s="8">
        <v>779</v>
      </c>
      <c r="C781" s="9" t="s">
        <v>10</v>
      </c>
      <c r="D781" s="19">
        <v>45437</v>
      </c>
      <c r="E781" s="9" t="s">
        <v>20</v>
      </c>
      <c r="F781" s="9" t="s">
        <v>20</v>
      </c>
      <c r="G781" s="9" t="s">
        <v>28</v>
      </c>
      <c r="H781" s="9">
        <v>161</v>
      </c>
      <c r="I781" s="5">
        <v>135</v>
      </c>
      <c r="J781" s="5">
        <f t="shared" si="12"/>
        <v>21735</v>
      </c>
      <c r="K781" s="9">
        <v>20</v>
      </c>
      <c r="L781" s="9" t="s">
        <v>33</v>
      </c>
      <c r="M781" s="9">
        <v>3</v>
      </c>
    </row>
    <row r="782" spans="2:13" ht="15.6" thickTop="1" thickBot="1" x14ac:dyDescent="0.35">
      <c r="B782" s="6">
        <v>780</v>
      </c>
      <c r="C782" s="7" t="s">
        <v>11</v>
      </c>
      <c r="D782" s="18">
        <v>45438</v>
      </c>
      <c r="E782" s="7" t="s">
        <v>18</v>
      </c>
      <c r="F782" s="7" t="s">
        <v>27</v>
      </c>
      <c r="G782" s="7" t="s">
        <v>28</v>
      </c>
      <c r="H782" s="7">
        <v>236</v>
      </c>
      <c r="I782" s="5">
        <v>180</v>
      </c>
      <c r="J782" s="5">
        <f t="shared" si="12"/>
        <v>42480</v>
      </c>
      <c r="K782" s="7">
        <v>16</v>
      </c>
      <c r="L782" s="7" t="s">
        <v>33</v>
      </c>
      <c r="M782" s="7">
        <v>4</v>
      </c>
    </row>
    <row r="783" spans="2:13" ht="15.6" thickTop="1" thickBot="1" x14ac:dyDescent="0.35">
      <c r="B783" s="8">
        <v>781</v>
      </c>
      <c r="C783" s="9" t="s">
        <v>11</v>
      </c>
      <c r="D783" s="19">
        <v>45439</v>
      </c>
      <c r="E783" s="9" t="s">
        <v>12</v>
      </c>
      <c r="F783" s="9" t="s">
        <v>23</v>
      </c>
      <c r="G783" s="9" t="s">
        <v>30</v>
      </c>
      <c r="H783" s="9">
        <v>117</v>
      </c>
      <c r="I783" s="5">
        <v>225</v>
      </c>
      <c r="J783" s="5">
        <f t="shared" si="12"/>
        <v>26325</v>
      </c>
      <c r="K783" s="9">
        <v>19</v>
      </c>
      <c r="L783" s="9" t="s">
        <v>34</v>
      </c>
      <c r="M783" s="9">
        <v>5</v>
      </c>
    </row>
    <row r="784" spans="2:13" ht="15.6" thickTop="1" thickBot="1" x14ac:dyDescent="0.35">
      <c r="B784" s="6">
        <v>782</v>
      </c>
      <c r="C784" s="7" t="s">
        <v>10</v>
      </c>
      <c r="D784" s="18">
        <v>45440</v>
      </c>
      <c r="E784" s="7" t="s">
        <v>12</v>
      </c>
      <c r="F784" s="7" t="s">
        <v>23</v>
      </c>
      <c r="G784" s="7" t="s">
        <v>32</v>
      </c>
      <c r="H784" s="7">
        <v>36</v>
      </c>
      <c r="I784" s="5">
        <v>225</v>
      </c>
      <c r="J784" s="5">
        <f t="shared" si="12"/>
        <v>8100</v>
      </c>
      <c r="K784" s="7">
        <v>19</v>
      </c>
      <c r="L784" s="7" t="s">
        <v>35</v>
      </c>
      <c r="M784" s="7">
        <v>3</v>
      </c>
    </row>
    <row r="785" spans="2:13" ht="15.6" thickTop="1" thickBot="1" x14ac:dyDescent="0.35">
      <c r="B785" s="8">
        <v>783</v>
      </c>
      <c r="C785" s="9" t="s">
        <v>11</v>
      </c>
      <c r="D785" s="19">
        <v>45441</v>
      </c>
      <c r="E785" s="9" t="s">
        <v>12</v>
      </c>
      <c r="F785" s="9" t="s">
        <v>23</v>
      </c>
      <c r="G785" s="9" t="s">
        <v>31</v>
      </c>
      <c r="H785" s="9">
        <v>115</v>
      </c>
      <c r="I785" s="5">
        <v>90</v>
      </c>
      <c r="J785" s="5">
        <f t="shared" si="12"/>
        <v>10350</v>
      </c>
      <c r="K785" s="9">
        <v>9</v>
      </c>
      <c r="L785" s="9" t="s">
        <v>35</v>
      </c>
      <c r="M785" s="9">
        <v>2</v>
      </c>
    </row>
    <row r="786" spans="2:13" ht="15.6" thickTop="1" thickBot="1" x14ac:dyDescent="0.35">
      <c r="B786" s="6">
        <v>784</v>
      </c>
      <c r="C786" s="7" t="s">
        <v>11</v>
      </c>
      <c r="D786" s="18">
        <v>45442</v>
      </c>
      <c r="E786" s="7" t="s">
        <v>14</v>
      </c>
      <c r="F786" s="7" t="s">
        <v>25</v>
      </c>
      <c r="G786" s="7" t="s">
        <v>29</v>
      </c>
      <c r="H786" s="7">
        <v>137</v>
      </c>
      <c r="I786" s="5">
        <v>135</v>
      </c>
      <c r="J786" s="5">
        <f t="shared" si="12"/>
        <v>18495</v>
      </c>
      <c r="K786" s="7">
        <v>12</v>
      </c>
      <c r="L786" s="7" t="s">
        <v>34</v>
      </c>
      <c r="M786" s="7">
        <v>2</v>
      </c>
    </row>
    <row r="787" spans="2:13" ht="15.6" thickTop="1" thickBot="1" x14ac:dyDescent="0.35">
      <c r="B787" s="8">
        <v>785</v>
      </c>
      <c r="C787" s="9" t="s">
        <v>11</v>
      </c>
      <c r="D787" s="19">
        <v>45443</v>
      </c>
      <c r="E787" s="9" t="s">
        <v>21</v>
      </c>
      <c r="F787" s="9" t="s">
        <v>26</v>
      </c>
      <c r="G787" s="9" t="s">
        <v>30</v>
      </c>
      <c r="H787" s="9">
        <v>203</v>
      </c>
      <c r="I787" s="5">
        <v>135</v>
      </c>
      <c r="J787" s="5">
        <f t="shared" si="12"/>
        <v>27405</v>
      </c>
      <c r="K787" s="9">
        <v>15</v>
      </c>
      <c r="L787" s="9" t="s">
        <v>33</v>
      </c>
      <c r="M787" s="9">
        <v>2</v>
      </c>
    </row>
    <row r="788" spans="2:13" ht="15.6" thickTop="1" thickBot="1" x14ac:dyDescent="0.35">
      <c r="B788" s="6">
        <v>786</v>
      </c>
      <c r="C788" s="7" t="s">
        <v>10</v>
      </c>
      <c r="D788" s="18">
        <v>45444</v>
      </c>
      <c r="E788" s="7" t="s">
        <v>15</v>
      </c>
      <c r="F788" s="7" t="s">
        <v>25</v>
      </c>
      <c r="G788" s="7" t="s">
        <v>32</v>
      </c>
      <c r="H788" s="7">
        <v>40</v>
      </c>
      <c r="I788" s="5">
        <v>225</v>
      </c>
      <c r="J788" s="5">
        <f t="shared" si="12"/>
        <v>9000</v>
      </c>
      <c r="K788" s="7">
        <v>18</v>
      </c>
      <c r="L788" s="7" t="s">
        <v>33</v>
      </c>
      <c r="M788" s="7">
        <v>1</v>
      </c>
    </row>
    <row r="789" spans="2:13" ht="15.6" thickTop="1" thickBot="1" x14ac:dyDescent="0.35">
      <c r="B789" s="8">
        <v>787</v>
      </c>
      <c r="C789" s="9" t="s">
        <v>10</v>
      </c>
      <c r="D789" s="19">
        <v>45445</v>
      </c>
      <c r="E789" s="9" t="s">
        <v>21</v>
      </c>
      <c r="F789" s="9" t="s">
        <v>26</v>
      </c>
      <c r="G789" s="9" t="s">
        <v>31</v>
      </c>
      <c r="H789" s="9">
        <v>132</v>
      </c>
      <c r="I789" s="5">
        <v>225</v>
      </c>
      <c r="J789" s="5">
        <f t="shared" si="12"/>
        <v>29700</v>
      </c>
      <c r="K789" s="9">
        <v>21</v>
      </c>
      <c r="L789" s="9" t="s">
        <v>33</v>
      </c>
      <c r="M789" s="9">
        <v>4</v>
      </c>
    </row>
    <row r="790" spans="2:13" ht="15.6" thickTop="1" thickBot="1" x14ac:dyDescent="0.35">
      <c r="B790" s="6">
        <v>788</v>
      </c>
      <c r="C790" s="7" t="s">
        <v>11</v>
      </c>
      <c r="D790" s="18">
        <v>45446</v>
      </c>
      <c r="E790" s="7" t="s">
        <v>21</v>
      </c>
      <c r="F790" s="7" t="s">
        <v>26</v>
      </c>
      <c r="G790" s="7" t="s">
        <v>28</v>
      </c>
      <c r="H790" s="7">
        <v>145</v>
      </c>
      <c r="I790" s="5">
        <v>180</v>
      </c>
      <c r="J790" s="5">
        <f t="shared" si="12"/>
        <v>26100</v>
      </c>
      <c r="K790" s="7">
        <v>8</v>
      </c>
      <c r="L790" s="7" t="s">
        <v>34</v>
      </c>
      <c r="M790" s="7">
        <v>4</v>
      </c>
    </row>
    <row r="791" spans="2:13" ht="15.6" thickTop="1" thickBot="1" x14ac:dyDescent="0.35">
      <c r="B791" s="8">
        <v>789</v>
      </c>
      <c r="C791" s="9" t="s">
        <v>11</v>
      </c>
      <c r="D791" s="19">
        <v>45447</v>
      </c>
      <c r="E791" s="9" t="s">
        <v>14</v>
      </c>
      <c r="F791" s="9" t="s">
        <v>25</v>
      </c>
      <c r="G791" s="9" t="s">
        <v>29</v>
      </c>
      <c r="H791" s="9">
        <v>73</v>
      </c>
      <c r="I791" s="5">
        <v>135</v>
      </c>
      <c r="J791" s="5">
        <f t="shared" si="12"/>
        <v>9855</v>
      </c>
      <c r="K791" s="9">
        <v>8</v>
      </c>
      <c r="L791" s="9" t="s">
        <v>34</v>
      </c>
      <c r="M791" s="9"/>
    </row>
    <row r="792" spans="2:13" ht="15.6" thickTop="1" thickBot="1" x14ac:dyDescent="0.35">
      <c r="B792" s="6">
        <v>790</v>
      </c>
      <c r="C792" s="7" t="s">
        <v>11</v>
      </c>
      <c r="D792" s="18">
        <v>45448</v>
      </c>
      <c r="E792" s="7" t="s">
        <v>22</v>
      </c>
      <c r="F792" s="7" t="s">
        <v>25</v>
      </c>
      <c r="G792" s="7" t="s">
        <v>28</v>
      </c>
      <c r="H792" s="7">
        <v>108</v>
      </c>
      <c r="I792" s="5">
        <v>180</v>
      </c>
      <c r="J792" s="5">
        <f t="shared" si="12"/>
        <v>19440</v>
      </c>
      <c r="K792" s="7">
        <v>8</v>
      </c>
      <c r="L792" s="7" t="s">
        <v>35</v>
      </c>
      <c r="M792" s="7">
        <v>3</v>
      </c>
    </row>
    <row r="793" spans="2:13" ht="15.6" thickTop="1" thickBot="1" x14ac:dyDescent="0.35">
      <c r="B793" s="8">
        <v>791</v>
      </c>
      <c r="C793" s="9" t="s">
        <v>11</v>
      </c>
      <c r="D793" s="19">
        <v>45449</v>
      </c>
      <c r="E793" s="9" t="s">
        <v>14</v>
      </c>
      <c r="F793" s="9" t="s">
        <v>25</v>
      </c>
      <c r="G793" s="9" t="s">
        <v>31</v>
      </c>
      <c r="H793" s="9">
        <v>127</v>
      </c>
      <c r="I793" s="5">
        <v>90</v>
      </c>
      <c r="J793" s="5">
        <f t="shared" si="12"/>
        <v>11430</v>
      </c>
      <c r="K793" s="9">
        <v>11</v>
      </c>
      <c r="L793" s="9" t="s">
        <v>34</v>
      </c>
      <c r="M793" s="9">
        <v>2</v>
      </c>
    </row>
    <row r="794" spans="2:13" ht="15.6" thickTop="1" thickBot="1" x14ac:dyDescent="0.35">
      <c r="B794" s="6">
        <v>792</v>
      </c>
      <c r="C794" s="7" t="s">
        <v>11</v>
      </c>
      <c r="D794" s="18">
        <v>45450</v>
      </c>
      <c r="E794" s="7" t="s">
        <v>13</v>
      </c>
      <c r="F794" s="7" t="s">
        <v>24</v>
      </c>
      <c r="G794" s="7" t="s">
        <v>30</v>
      </c>
      <c r="H794" s="7">
        <v>236</v>
      </c>
      <c r="I794" s="5">
        <v>90</v>
      </c>
      <c r="J794" s="5">
        <f t="shared" si="12"/>
        <v>21240</v>
      </c>
      <c r="K794" s="7">
        <v>8</v>
      </c>
      <c r="L794" s="7" t="s">
        <v>33</v>
      </c>
      <c r="M794" s="7"/>
    </row>
    <row r="795" spans="2:13" ht="15.6" thickTop="1" thickBot="1" x14ac:dyDescent="0.35">
      <c r="B795" s="8">
        <v>793</v>
      </c>
      <c r="C795" s="9" t="s">
        <v>11</v>
      </c>
      <c r="D795" s="19">
        <v>45451</v>
      </c>
      <c r="E795" s="9" t="s">
        <v>21</v>
      </c>
      <c r="F795" s="9" t="s">
        <v>26</v>
      </c>
      <c r="G795" s="9" t="s">
        <v>31</v>
      </c>
      <c r="H795" s="9">
        <v>50</v>
      </c>
      <c r="I795" s="5">
        <v>45</v>
      </c>
      <c r="J795" s="5">
        <f t="shared" si="12"/>
        <v>2250</v>
      </c>
      <c r="K795" s="9">
        <v>13</v>
      </c>
      <c r="L795" s="9" t="s">
        <v>33</v>
      </c>
      <c r="M795" s="9"/>
    </row>
    <row r="796" spans="2:13" ht="15.6" thickTop="1" thickBot="1" x14ac:dyDescent="0.35">
      <c r="B796" s="6">
        <v>794</v>
      </c>
      <c r="C796" s="7" t="s">
        <v>10</v>
      </c>
      <c r="D796" s="18">
        <v>45452</v>
      </c>
      <c r="E796" s="7" t="s">
        <v>12</v>
      </c>
      <c r="F796" s="7" t="s">
        <v>23</v>
      </c>
      <c r="G796" s="7" t="s">
        <v>31</v>
      </c>
      <c r="H796" s="7">
        <v>82</v>
      </c>
      <c r="I796" s="5">
        <v>180</v>
      </c>
      <c r="J796" s="5">
        <f t="shared" si="12"/>
        <v>14760</v>
      </c>
      <c r="K796" s="7">
        <v>25</v>
      </c>
      <c r="L796" s="7" t="s">
        <v>34</v>
      </c>
      <c r="M796" s="7"/>
    </row>
    <row r="797" spans="2:13" ht="15.6" thickTop="1" thickBot="1" x14ac:dyDescent="0.35">
      <c r="B797" s="8">
        <v>795</v>
      </c>
      <c r="C797" s="9" t="s">
        <v>10</v>
      </c>
      <c r="D797" s="19">
        <v>45453</v>
      </c>
      <c r="E797" s="9" t="s">
        <v>14</v>
      </c>
      <c r="F797" s="9" t="s">
        <v>25</v>
      </c>
      <c r="G797" s="9" t="s">
        <v>31</v>
      </c>
      <c r="H797" s="9">
        <v>148</v>
      </c>
      <c r="I797" s="5">
        <v>45</v>
      </c>
      <c r="J797" s="5">
        <f t="shared" si="12"/>
        <v>6660</v>
      </c>
      <c r="K797" s="9">
        <v>14</v>
      </c>
      <c r="L797" s="9" t="s">
        <v>35</v>
      </c>
      <c r="M797" s="9">
        <v>5</v>
      </c>
    </row>
    <row r="798" spans="2:13" ht="15.6" thickTop="1" thickBot="1" x14ac:dyDescent="0.35">
      <c r="B798" s="6">
        <v>796</v>
      </c>
      <c r="C798" s="7" t="s">
        <v>11</v>
      </c>
      <c r="D798" s="18">
        <v>45454</v>
      </c>
      <c r="E798" s="7" t="s">
        <v>18</v>
      </c>
      <c r="F798" s="7" t="s">
        <v>27</v>
      </c>
      <c r="G798" s="7" t="s">
        <v>31</v>
      </c>
      <c r="H798" s="7">
        <v>53</v>
      </c>
      <c r="I798" s="5">
        <v>180</v>
      </c>
      <c r="J798" s="5">
        <f t="shared" si="12"/>
        <v>9540</v>
      </c>
      <c r="K798" s="7">
        <v>17</v>
      </c>
      <c r="L798" s="7" t="s">
        <v>33</v>
      </c>
      <c r="M798" s="7"/>
    </row>
    <row r="799" spans="2:13" ht="15.6" thickTop="1" thickBot="1" x14ac:dyDescent="0.35">
      <c r="B799" s="8">
        <v>797</v>
      </c>
      <c r="C799" s="9" t="s">
        <v>11</v>
      </c>
      <c r="D799" s="19">
        <v>45455</v>
      </c>
      <c r="E799" s="9" t="s">
        <v>17</v>
      </c>
      <c r="F799" s="9" t="s">
        <v>24</v>
      </c>
      <c r="G799" s="9" t="s">
        <v>31</v>
      </c>
      <c r="H799" s="9">
        <v>127</v>
      </c>
      <c r="I799" s="5">
        <v>180</v>
      </c>
      <c r="J799" s="5">
        <f t="shared" si="12"/>
        <v>22860</v>
      </c>
      <c r="K799" s="9">
        <v>11</v>
      </c>
      <c r="L799" s="9" t="s">
        <v>33</v>
      </c>
      <c r="M799" s="9">
        <v>2</v>
      </c>
    </row>
    <row r="800" spans="2:13" ht="15.6" thickTop="1" thickBot="1" x14ac:dyDescent="0.35">
      <c r="B800" s="6">
        <v>798</v>
      </c>
      <c r="C800" s="7" t="s">
        <v>10</v>
      </c>
      <c r="D800" s="18">
        <v>45456</v>
      </c>
      <c r="E800" s="7" t="s">
        <v>22</v>
      </c>
      <c r="F800" s="7" t="s">
        <v>25</v>
      </c>
      <c r="G800" s="7" t="s">
        <v>29</v>
      </c>
      <c r="H800" s="7">
        <v>59</v>
      </c>
      <c r="I800" s="5">
        <v>90</v>
      </c>
      <c r="J800" s="5">
        <f t="shared" si="12"/>
        <v>5310</v>
      </c>
      <c r="K800" s="7">
        <v>12</v>
      </c>
      <c r="L800" s="7" t="s">
        <v>35</v>
      </c>
      <c r="M800" s="7">
        <v>4</v>
      </c>
    </row>
    <row r="801" spans="2:13" ht="15.6" thickTop="1" thickBot="1" x14ac:dyDescent="0.35">
      <c r="B801" s="8">
        <v>799</v>
      </c>
      <c r="C801" s="9" t="s">
        <v>11</v>
      </c>
      <c r="D801" s="19">
        <v>45457</v>
      </c>
      <c r="E801" s="9" t="s">
        <v>19</v>
      </c>
      <c r="F801" s="9" t="s">
        <v>23</v>
      </c>
      <c r="G801" s="9" t="s">
        <v>30</v>
      </c>
      <c r="H801" s="9">
        <v>228</v>
      </c>
      <c r="I801" s="5">
        <v>180</v>
      </c>
      <c r="J801" s="5">
        <f t="shared" si="12"/>
        <v>41040</v>
      </c>
      <c r="K801" s="9">
        <v>19</v>
      </c>
      <c r="L801" s="9" t="s">
        <v>34</v>
      </c>
      <c r="M801" s="9">
        <v>3</v>
      </c>
    </row>
    <row r="802" spans="2:13" ht="15.6" thickTop="1" thickBot="1" x14ac:dyDescent="0.35">
      <c r="B802" s="6">
        <v>800</v>
      </c>
      <c r="C802" s="7" t="s">
        <v>10</v>
      </c>
      <c r="D802" s="18">
        <v>45458</v>
      </c>
      <c r="E802" s="7" t="s">
        <v>17</v>
      </c>
      <c r="F802" s="7" t="s">
        <v>24</v>
      </c>
      <c r="G802" s="7" t="s">
        <v>28</v>
      </c>
      <c r="H802" s="7">
        <v>157</v>
      </c>
      <c r="I802" s="5">
        <v>135</v>
      </c>
      <c r="J802" s="5">
        <f t="shared" si="12"/>
        <v>21195</v>
      </c>
      <c r="K802" s="7">
        <v>21</v>
      </c>
      <c r="L802" s="7" t="s">
        <v>34</v>
      </c>
      <c r="M802" s="7">
        <v>5</v>
      </c>
    </row>
    <row r="803" spans="2:13" ht="15.6" thickTop="1" thickBot="1" x14ac:dyDescent="0.35">
      <c r="B803" s="8">
        <v>801</v>
      </c>
      <c r="C803" s="9" t="s">
        <v>10</v>
      </c>
      <c r="D803" s="19">
        <v>45459</v>
      </c>
      <c r="E803" s="9" t="s">
        <v>14</v>
      </c>
      <c r="F803" s="9" t="s">
        <v>25</v>
      </c>
      <c r="G803" s="9" t="s">
        <v>30</v>
      </c>
      <c r="H803" s="9">
        <v>146</v>
      </c>
      <c r="I803" s="5">
        <v>90</v>
      </c>
      <c r="J803" s="5">
        <f t="shared" si="12"/>
        <v>13140</v>
      </c>
      <c r="K803" s="9">
        <v>14</v>
      </c>
      <c r="L803" s="9" t="s">
        <v>34</v>
      </c>
      <c r="M803" s="9">
        <v>3</v>
      </c>
    </row>
    <row r="804" spans="2:13" ht="15.6" thickTop="1" thickBot="1" x14ac:dyDescent="0.35">
      <c r="B804" s="6">
        <v>802</v>
      </c>
      <c r="C804" s="7" t="s">
        <v>10</v>
      </c>
      <c r="D804" s="18">
        <v>45460</v>
      </c>
      <c r="E804" s="7" t="s">
        <v>12</v>
      </c>
      <c r="F804" s="7" t="s">
        <v>23</v>
      </c>
      <c r="G804" s="7" t="s">
        <v>28</v>
      </c>
      <c r="H804" s="7">
        <v>175</v>
      </c>
      <c r="I804" s="5">
        <v>90</v>
      </c>
      <c r="J804" s="5">
        <f t="shared" si="12"/>
        <v>15750</v>
      </c>
      <c r="K804" s="7">
        <v>23</v>
      </c>
      <c r="L804" s="7" t="s">
        <v>33</v>
      </c>
      <c r="M804" s="7">
        <v>2</v>
      </c>
    </row>
    <row r="805" spans="2:13" ht="15.6" thickTop="1" thickBot="1" x14ac:dyDescent="0.35">
      <c r="B805" s="8">
        <v>803</v>
      </c>
      <c r="C805" s="9" t="s">
        <v>10</v>
      </c>
      <c r="D805" s="19">
        <v>45461</v>
      </c>
      <c r="E805" s="9" t="s">
        <v>17</v>
      </c>
      <c r="F805" s="9" t="s">
        <v>24</v>
      </c>
      <c r="G805" s="9" t="s">
        <v>28</v>
      </c>
      <c r="H805" s="9">
        <v>236</v>
      </c>
      <c r="I805" s="5">
        <v>45</v>
      </c>
      <c r="J805" s="5">
        <f t="shared" si="12"/>
        <v>10620</v>
      </c>
      <c r="K805" s="9">
        <v>10</v>
      </c>
      <c r="L805" s="9" t="s">
        <v>34</v>
      </c>
      <c r="M805" s="9"/>
    </row>
    <row r="806" spans="2:13" ht="15.6" thickTop="1" thickBot="1" x14ac:dyDescent="0.35">
      <c r="B806" s="6">
        <v>804</v>
      </c>
      <c r="C806" s="7" t="s">
        <v>10</v>
      </c>
      <c r="D806" s="18">
        <v>45462</v>
      </c>
      <c r="E806" s="7" t="s">
        <v>16</v>
      </c>
      <c r="F806" s="7" t="s">
        <v>26</v>
      </c>
      <c r="G806" s="7" t="s">
        <v>28</v>
      </c>
      <c r="H806" s="7">
        <v>171</v>
      </c>
      <c r="I806" s="5">
        <v>180</v>
      </c>
      <c r="J806" s="5">
        <f t="shared" si="12"/>
        <v>30780</v>
      </c>
      <c r="K806" s="7">
        <v>21</v>
      </c>
      <c r="L806" s="7" t="s">
        <v>34</v>
      </c>
      <c r="M806" s="7">
        <v>4</v>
      </c>
    </row>
    <row r="807" spans="2:13" ht="15.6" thickTop="1" thickBot="1" x14ac:dyDescent="0.35">
      <c r="B807" s="8">
        <v>805</v>
      </c>
      <c r="C807" s="9" t="s">
        <v>11</v>
      </c>
      <c r="D807" s="19">
        <v>45463</v>
      </c>
      <c r="E807" s="9" t="s">
        <v>22</v>
      </c>
      <c r="F807" s="9" t="s">
        <v>25</v>
      </c>
      <c r="G807" s="9" t="s">
        <v>28</v>
      </c>
      <c r="H807" s="9">
        <v>30</v>
      </c>
      <c r="I807" s="5">
        <v>135</v>
      </c>
      <c r="J807" s="5">
        <f t="shared" si="12"/>
        <v>4050</v>
      </c>
      <c r="K807" s="9">
        <v>16</v>
      </c>
      <c r="L807" s="9" t="s">
        <v>34</v>
      </c>
      <c r="M807" s="9">
        <v>3</v>
      </c>
    </row>
    <row r="808" spans="2:13" ht="15.6" thickTop="1" thickBot="1" x14ac:dyDescent="0.35">
      <c r="B808" s="6">
        <v>806</v>
      </c>
      <c r="C808" s="7" t="s">
        <v>10</v>
      </c>
      <c r="D808" s="18">
        <v>45464</v>
      </c>
      <c r="E808" s="7" t="s">
        <v>15</v>
      </c>
      <c r="F808" s="7" t="s">
        <v>25</v>
      </c>
      <c r="G808" s="7" t="s">
        <v>32</v>
      </c>
      <c r="H808" s="7">
        <v>39</v>
      </c>
      <c r="I808" s="5">
        <v>225</v>
      </c>
      <c r="J808" s="5">
        <f t="shared" si="12"/>
        <v>8775</v>
      </c>
      <c r="K808" s="7">
        <v>25</v>
      </c>
      <c r="L808" s="7" t="s">
        <v>35</v>
      </c>
      <c r="M808" s="7">
        <v>2</v>
      </c>
    </row>
    <row r="809" spans="2:13" ht="15.6" thickTop="1" thickBot="1" x14ac:dyDescent="0.35">
      <c r="B809" s="8">
        <v>807</v>
      </c>
      <c r="C809" s="9" t="s">
        <v>10</v>
      </c>
      <c r="D809" s="19">
        <v>45465</v>
      </c>
      <c r="E809" s="9" t="s">
        <v>17</v>
      </c>
      <c r="F809" s="9" t="s">
        <v>24</v>
      </c>
      <c r="G809" s="9" t="s">
        <v>29</v>
      </c>
      <c r="H809" s="9">
        <v>165</v>
      </c>
      <c r="I809" s="5">
        <v>135</v>
      </c>
      <c r="J809" s="5">
        <f t="shared" si="12"/>
        <v>22275</v>
      </c>
      <c r="K809" s="9">
        <v>13</v>
      </c>
      <c r="L809" s="9" t="s">
        <v>35</v>
      </c>
      <c r="M809" s="9"/>
    </row>
    <row r="810" spans="2:13" ht="15.6" thickTop="1" thickBot="1" x14ac:dyDescent="0.35">
      <c r="B810" s="6">
        <v>808</v>
      </c>
      <c r="C810" s="7" t="s">
        <v>10</v>
      </c>
      <c r="D810" s="18">
        <v>45466</v>
      </c>
      <c r="E810" s="7" t="s">
        <v>15</v>
      </c>
      <c r="F810" s="7" t="s">
        <v>25</v>
      </c>
      <c r="G810" s="7" t="s">
        <v>31</v>
      </c>
      <c r="H810" s="7">
        <v>40</v>
      </c>
      <c r="I810" s="5">
        <v>90</v>
      </c>
      <c r="J810" s="5">
        <f t="shared" si="12"/>
        <v>3600</v>
      </c>
      <c r="K810" s="7">
        <v>14</v>
      </c>
      <c r="L810" s="7" t="s">
        <v>33</v>
      </c>
      <c r="M810" s="7">
        <v>5</v>
      </c>
    </row>
    <row r="811" spans="2:13" ht="15.6" thickTop="1" thickBot="1" x14ac:dyDescent="0.35">
      <c r="B811" s="8">
        <v>809</v>
      </c>
      <c r="C811" s="9" t="s">
        <v>10</v>
      </c>
      <c r="D811" s="19">
        <v>45467</v>
      </c>
      <c r="E811" s="9" t="s">
        <v>17</v>
      </c>
      <c r="F811" s="9" t="s">
        <v>24</v>
      </c>
      <c r="G811" s="9" t="s">
        <v>28</v>
      </c>
      <c r="H811" s="9">
        <v>164</v>
      </c>
      <c r="I811" s="5">
        <v>90</v>
      </c>
      <c r="J811" s="5">
        <f t="shared" si="12"/>
        <v>14760</v>
      </c>
      <c r="K811" s="9">
        <v>19</v>
      </c>
      <c r="L811" s="9" t="s">
        <v>33</v>
      </c>
      <c r="M811" s="9">
        <v>2</v>
      </c>
    </row>
    <row r="812" spans="2:13" ht="15.6" thickTop="1" thickBot="1" x14ac:dyDescent="0.35">
      <c r="B812" s="6">
        <v>810</v>
      </c>
      <c r="C812" s="7" t="s">
        <v>10</v>
      </c>
      <c r="D812" s="18">
        <v>45468</v>
      </c>
      <c r="E812" s="7" t="s">
        <v>13</v>
      </c>
      <c r="F812" s="7" t="s">
        <v>24</v>
      </c>
      <c r="G812" s="7" t="s">
        <v>30</v>
      </c>
      <c r="H812" s="7">
        <v>94</v>
      </c>
      <c r="I812" s="5">
        <v>225</v>
      </c>
      <c r="J812" s="5">
        <f t="shared" si="12"/>
        <v>21150</v>
      </c>
      <c r="K812" s="7">
        <v>18</v>
      </c>
      <c r="L812" s="7" t="s">
        <v>33</v>
      </c>
      <c r="M812" s="7">
        <v>1</v>
      </c>
    </row>
    <row r="813" spans="2:13" ht="15.6" thickTop="1" thickBot="1" x14ac:dyDescent="0.35">
      <c r="B813" s="8">
        <v>811</v>
      </c>
      <c r="C813" s="9" t="s">
        <v>10</v>
      </c>
      <c r="D813" s="19">
        <v>45469</v>
      </c>
      <c r="E813" s="9" t="s">
        <v>15</v>
      </c>
      <c r="F813" s="9" t="s">
        <v>25</v>
      </c>
      <c r="G813" s="9" t="s">
        <v>30</v>
      </c>
      <c r="H813" s="9">
        <v>52</v>
      </c>
      <c r="I813" s="5">
        <v>180</v>
      </c>
      <c r="J813" s="5">
        <f t="shared" si="12"/>
        <v>9360</v>
      </c>
      <c r="K813" s="9">
        <v>24</v>
      </c>
      <c r="L813" s="9" t="s">
        <v>34</v>
      </c>
      <c r="M813" s="9">
        <v>4</v>
      </c>
    </row>
    <row r="814" spans="2:13" ht="15.6" thickTop="1" thickBot="1" x14ac:dyDescent="0.35">
      <c r="B814" s="6">
        <v>812</v>
      </c>
      <c r="C814" s="7" t="s">
        <v>10</v>
      </c>
      <c r="D814" s="18">
        <v>45470</v>
      </c>
      <c r="E814" s="7" t="s">
        <v>21</v>
      </c>
      <c r="F814" s="7" t="s">
        <v>26</v>
      </c>
      <c r="G814" s="7" t="s">
        <v>31</v>
      </c>
      <c r="H814" s="7">
        <v>135</v>
      </c>
      <c r="I814" s="5">
        <v>225</v>
      </c>
      <c r="J814" s="5">
        <f t="shared" si="12"/>
        <v>30375</v>
      </c>
      <c r="K814" s="7">
        <v>23</v>
      </c>
      <c r="L814" s="7" t="s">
        <v>34</v>
      </c>
      <c r="M814" s="7">
        <v>4</v>
      </c>
    </row>
    <row r="815" spans="2:13" ht="15.6" thickTop="1" thickBot="1" x14ac:dyDescent="0.35">
      <c r="B815" s="8">
        <v>813</v>
      </c>
      <c r="C815" s="9" t="s">
        <v>10</v>
      </c>
      <c r="D815" s="19">
        <v>45471</v>
      </c>
      <c r="E815" s="9" t="s">
        <v>18</v>
      </c>
      <c r="F815" s="9" t="s">
        <v>27</v>
      </c>
      <c r="G815" s="9" t="s">
        <v>31</v>
      </c>
      <c r="H815" s="9">
        <v>210</v>
      </c>
      <c r="I815" s="5">
        <v>90</v>
      </c>
      <c r="J815" s="5">
        <f t="shared" si="12"/>
        <v>18900</v>
      </c>
      <c r="K815" s="9">
        <v>21</v>
      </c>
      <c r="L815" s="9" t="s">
        <v>34</v>
      </c>
      <c r="M815" s="9">
        <v>1</v>
      </c>
    </row>
    <row r="816" spans="2:13" ht="15.6" thickTop="1" thickBot="1" x14ac:dyDescent="0.35">
      <c r="B816" s="6">
        <v>814</v>
      </c>
      <c r="C816" s="7" t="s">
        <v>10</v>
      </c>
      <c r="D816" s="18">
        <v>45472</v>
      </c>
      <c r="E816" s="7" t="s">
        <v>12</v>
      </c>
      <c r="F816" s="7" t="s">
        <v>23</v>
      </c>
      <c r="G816" s="7" t="s">
        <v>31</v>
      </c>
      <c r="H816" s="7">
        <v>160</v>
      </c>
      <c r="I816" s="5">
        <v>90</v>
      </c>
      <c r="J816" s="5">
        <f t="shared" si="12"/>
        <v>14400</v>
      </c>
      <c r="K816" s="7">
        <v>10</v>
      </c>
      <c r="L816" s="7" t="s">
        <v>33</v>
      </c>
      <c r="M816" s="7">
        <v>5</v>
      </c>
    </row>
    <row r="817" spans="2:13" ht="15.6" thickTop="1" thickBot="1" x14ac:dyDescent="0.35">
      <c r="B817" s="8">
        <v>815</v>
      </c>
      <c r="C817" s="9" t="s">
        <v>10</v>
      </c>
      <c r="D817" s="19">
        <v>45473</v>
      </c>
      <c r="E817" s="9" t="s">
        <v>16</v>
      </c>
      <c r="F817" s="9" t="s">
        <v>26</v>
      </c>
      <c r="G817" s="9" t="s">
        <v>31</v>
      </c>
      <c r="H817" s="9">
        <v>199</v>
      </c>
      <c r="I817" s="5">
        <v>45</v>
      </c>
      <c r="J817" s="5">
        <f t="shared" si="12"/>
        <v>8955</v>
      </c>
      <c r="K817" s="9">
        <v>24</v>
      </c>
      <c r="L817" s="9" t="s">
        <v>34</v>
      </c>
      <c r="M817" s="9">
        <v>4</v>
      </c>
    </row>
    <row r="818" spans="2:13" ht="15.6" thickTop="1" thickBot="1" x14ac:dyDescent="0.35">
      <c r="B818" s="6">
        <v>816</v>
      </c>
      <c r="C818" s="7" t="s">
        <v>10</v>
      </c>
      <c r="D818" s="18">
        <v>45474</v>
      </c>
      <c r="E818" s="7" t="s">
        <v>21</v>
      </c>
      <c r="F818" s="7" t="s">
        <v>26</v>
      </c>
      <c r="G818" s="7" t="s">
        <v>32</v>
      </c>
      <c r="H818" s="7">
        <v>188</v>
      </c>
      <c r="I818" s="5">
        <v>180</v>
      </c>
      <c r="J818" s="5">
        <f t="shared" si="12"/>
        <v>33840</v>
      </c>
      <c r="K818" s="7">
        <v>21</v>
      </c>
      <c r="L818" s="7" t="s">
        <v>34</v>
      </c>
      <c r="M818" s="7">
        <v>2</v>
      </c>
    </row>
    <row r="819" spans="2:13" ht="15.6" thickTop="1" thickBot="1" x14ac:dyDescent="0.35">
      <c r="B819" s="8">
        <v>817</v>
      </c>
      <c r="C819" s="9" t="s">
        <v>10</v>
      </c>
      <c r="D819" s="19">
        <v>45475</v>
      </c>
      <c r="E819" s="9" t="s">
        <v>13</v>
      </c>
      <c r="F819" s="9" t="s">
        <v>24</v>
      </c>
      <c r="G819" s="9" t="s">
        <v>32</v>
      </c>
      <c r="H819" s="9">
        <v>152</v>
      </c>
      <c r="I819" s="5">
        <v>45</v>
      </c>
      <c r="J819" s="5">
        <f t="shared" si="12"/>
        <v>6840</v>
      </c>
      <c r="K819" s="9">
        <v>23</v>
      </c>
      <c r="L819" s="9" t="s">
        <v>34</v>
      </c>
      <c r="M819" s="9">
        <v>2</v>
      </c>
    </row>
    <row r="820" spans="2:13" ht="15.6" thickTop="1" thickBot="1" x14ac:dyDescent="0.35">
      <c r="B820" s="6">
        <v>818</v>
      </c>
      <c r="C820" s="7" t="s">
        <v>11</v>
      </c>
      <c r="D820" s="18">
        <v>45476</v>
      </c>
      <c r="E820" s="7" t="s">
        <v>18</v>
      </c>
      <c r="F820" s="7" t="s">
        <v>27</v>
      </c>
      <c r="G820" s="7" t="s">
        <v>31</v>
      </c>
      <c r="H820" s="7">
        <v>139</v>
      </c>
      <c r="I820" s="5">
        <v>180</v>
      </c>
      <c r="J820" s="5">
        <f t="shared" si="12"/>
        <v>25020</v>
      </c>
      <c r="K820" s="7">
        <v>15</v>
      </c>
      <c r="L820" s="7" t="s">
        <v>35</v>
      </c>
      <c r="M820" s="7"/>
    </row>
    <row r="821" spans="2:13" ht="15.6" thickTop="1" thickBot="1" x14ac:dyDescent="0.35">
      <c r="B821" s="8">
        <v>819</v>
      </c>
      <c r="C821" s="9" t="s">
        <v>10</v>
      </c>
      <c r="D821" s="19">
        <v>45477</v>
      </c>
      <c r="E821" s="9" t="s">
        <v>12</v>
      </c>
      <c r="F821" s="9" t="s">
        <v>23</v>
      </c>
      <c r="G821" s="9" t="s">
        <v>29</v>
      </c>
      <c r="H821" s="9">
        <v>74</v>
      </c>
      <c r="I821" s="5">
        <v>135</v>
      </c>
      <c r="J821" s="5">
        <f t="shared" si="12"/>
        <v>9990</v>
      </c>
      <c r="K821" s="9">
        <v>22</v>
      </c>
      <c r="L821" s="9" t="s">
        <v>35</v>
      </c>
      <c r="M821" s="9"/>
    </row>
    <row r="822" spans="2:13" ht="15.6" thickTop="1" thickBot="1" x14ac:dyDescent="0.35">
      <c r="B822" s="6">
        <v>820</v>
      </c>
      <c r="C822" s="7" t="s">
        <v>11</v>
      </c>
      <c r="D822" s="18">
        <v>45478</v>
      </c>
      <c r="E822" s="7" t="s">
        <v>15</v>
      </c>
      <c r="F822" s="7" t="s">
        <v>25</v>
      </c>
      <c r="G822" s="7" t="s">
        <v>28</v>
      </c>
      <c r="H822" s="7">
        <v>235</v>
      </c>
      <c r="I822" s="5">
        <v>180</v>
      </c>
      <c r="J822" s="5">
        <f t="shared" si="12"/>
        <v>42300</v>
      </c>
      <c r="K822" s="7">
        <v>7</v>
      </c>
      <c r="L822" s="7" t="s">
        <v>35</v>
      </c>
      <c r="M822" s="7">
        <v>2</v>
      </c>
    </row>
    <row r="823" spans="2:13" ht="15.6" thickTop="1" thickBot="1" x14ac:dyDescent="0.35">
      <c r="B823" s="8">
        <v>821</v>
      </c>
      <c r="C823" s="9" t="s">
        <v>10</v>
      </c>
      <c r="D823" s="19">
        <v>45479</v>
      </c>
      <c r="E823" s="9" t="s">
        <v>13</v>
      </c>
      <c r="F823" s="9" t="s">
        <v>24</v>
      </c>
      <c r="G823" s="9" t="s">
        <v>31</v>
      </c>
      <c r="H823" s="9">
        <v>204</v>
      </c>
      <c r="I823" s="5">
        <v>180</v>
      </c>
      <c r="J823" s="5">
        <f t="shared" si="12"/>
        <v>36720</v>
      </c>
      <c r="K823" s="9">
        <v>21</v>
      </c>
      <c r="L823" s="9" t="s">
        <v>34</v>
      </c>
      <c r="M823" s="9">
        <v>1</v>
      </c>
    </row>
    <row r="824" spans="2:13" ht="15.6" thickTop="1" thickBot="1" x14ac:dyDescent="0.35">
      <c r="B824" s="6">
        <v>822</v>
      </c>
      <c r="C824" s="7" t="s">
        <v>10</v>
      </c>
      <c r="D824" s="18">
        <v>45480</v>
      </c>
      <c r="E824" s="7" t="s">
        <v>13</v>
      </c>
      <c r="F824" s="7" t="s">
        <v>24</v>
      </c>
      <c r="G824" s="7" t="s">
        <v>28</v>
      </c>
      <c r="H824" s="7">
        <v>234</v>
      </c>
      <c r="I824" s="5">
        <v>135</v>
      </c>
      <c r="J824" s="5">
        <f t="shared" si="12"/>
        <v>31590</v>
      </c>
      <c r="K824" s="7">
        <v>17</v>
      </c>
      <c r="L824" s="7" t="s">
        <v>35</v>
      </c>
      <c r="M824" s="7">
        <v>5</v>
      </c>
    </row>
    <row r="825" spans="2:13" ht="15.6" thickTop="1" thickBot="1" x14ac:dyDescent="0.35">
      <c r="B825" s="8">
        <v>823</v>
      </c>
      <c r="C825" s="9" t="s">
        <v>11</v>
      </c>
      <c r="D825" s="19">
        <v>45481</v>
      </c>
      <c r="E825" s="9" t="s">
        <v>13</v>
      </c>
      <c r="F825" s="9" t="s">
        <v>24</v>
      </c>
      <c r="G825" s="9" t="s">
        <v>31</v>
      </c>
      <c r="H825" s="9">
        <v>208</v>
      </c>
      <c r="I825" s="5">
        <v>225</v>
      </c>
      <c r="J825" s="5">
        <f t="shared" si="12"/>
        <v>46800</v>
      </c>
      <c r="K825" s="9">
        <v>17</v>
      </c>
      <c r="L825" s="9" t="s">
        <v>35</v>
      </c>
      <c r="M825" s="9">
        <v>4</v>
      </c>
    </row>
    <row r="826" spans="2:13" ht="15.6" thickTop="1" thickBot="1" x14ac:dyDescent="0.35">
      <c r="B826" s="6">
        <v>824</v>
      </c>
      <c r="C826" s="7" t="s">
        <v>10</v>
      </c>
      <c r="D826" s="18">
        <v>45482</v>
      </c>
      <c r="E826" s="7" t="s">
        <v>16</v>
      </c>
      <c r="F826" s="7" t="s">
        <v>26</v>
      </c>
      <c r="G826" s="7" t="s">
        <v>28</v>
      </c>
      <c r="H826" s="7">
        <v>117</v>
      </c>
      <c r="I826" s="5">
        <v>45</v>
      </c>
      <c r="J826" s="5">
        <f t="shared" si="12"/>
        <v>5265</v>
      </c>
      <c r="K826" s="7">
        <v>21</v>
      </c>
      <c r="L826" s="7" t="s">
        <v>34</v>
      </c>
      <c r="M826" s="7">
        <v>4</v>
      </c>
    </row>
    <row r="827" spans="2:13" ht="15.6" thickTop="1" thickBot="1" x14ac:dyDescent="0.35">
      <c r="B827" s="8">
        <v>825</v>
      </c>
      <c r="C827" s="9" t="s">
        <v>10</v>
      </c>
      <c r="D827" s="19">
        <v>45483</v>
      </c>
      <c r="E827" s="9" t="s">
        <v>18</v>
      </c>
      <c r="F827" s="9" t="s">
        <v>27</v>
      </c>
      <c r="G827" s="9" t="s">
        <v>29</v>
      </c>
      <c r="H827" s="9">
        <v>137</v>
      </c>
      <c r="I827" s="5">
        <v>180</v>
      </c>
      <c r="J827" s="5">
        <f t="shared" si="12"/>
        <v>24660</v>
      </c>
      <c r="K827" s="9">
        <v>11</v>
      </c>
      <c r="L827" s="9" t="s">
        <v>35</v>
      </c>
      <c r="M827" s="9">
        <v>2</v>
      </c>
    </row>
    <row r="828" spans="2:13" ht="15.6" thickTop="1" thickBot="1" x14ac:dyDescent="0.35">
      <c r="B828" s="6">
        <v>826</v>
      </c>
      <c r="C828" s="7" t="s">
        <v>11</v>
      </c>
      <c r="D828" s="18">
        <v>45484</v>
      </c>
      <c r="E828" s="7" t="s">
        <v>16</v>
      </c>
      <c r="F828" s="7" t="s">
        <v>26</v>
      </c>
      <c r="G828" s="7" t="s">
        <v>28</v>
      </c>
      <c r="H828" s="7">
        <v>93</v>
      </c>
      <c r="I828" s="5">
        <v>45</v>
      </c>
      <c r="J828" s="5">
        <f t="shared" si="12"/>
        <v>4185</v>
      </c>
      <c r="K828" s="7">
        <v>12</v>
      </c>
      <c r="L828" s="7" t="s">
        <v>33</v>
      </c>
      <c r="M828" s="7">
        <v>1</v>
      </c>
    </row>
    <row r="829" spans="2:13" ht="15.6" thickTop="1" thickBot="1" x14ac:dyDescent="0.35">
      <c r="B829" s="8">
        <v>827</v>
      </c>
      <c r="C829" s="9" t="s">
        <v>10</v>
      </c>
      <c r="D829" s="19">
        <v>45485</v>
      </c>
      <c r="E829" s="9" t="s">
        <v>12</v>
      </c>
      <c r="F829" s="9" t="s">
        <v>23</v>
      </c>
      <c r="G829" s="9" t="s">
        <v>32</v>
      </c>
      <c r="H829" s="9">
        <v>160</v>
      </c>
      <c r="I829" s="5">
        <v>180</v>
      </c>
      <c r="J829" s="5">
        <f t="shared" si="12"/>
        <v>28800</v>
      </c>
      <c r="K829" s="9">
        <v>15</v>
      </c>
      <c r="L829" s="9" t="s">
        <v>35</v>
      </c>
      <c r="M829" s="9"/>
    </row>
    <row r="830" spans="2:13" ht="15.6" thickTop="1" thickBot="1" x14ac:dyDescent="0.35">
      <c r="B830" s="6">
        <v>828</v>
      </c>
      <c r="C830" s="7" t="s">
        <v>10</v>
      </c>
      <c r="D830" s="18">
        <v>45486</v>
      </c>
      <c r="E830" s="7" t="s">
        <v>20</v>
      </c>
      <c r="F830" s="7" t="s">
        <v>20</v>
      </c>
      <c r="G830" s="7" t="s">
        <v>30</v>
      </c>
      <c r="H830" s="7">
        <v>199</v>
      </c>
      <c r="I830" s="5">
        <v>180</v>
      </c>
      <c r="J830" s="5">
        <f t="shared" si="12"/>
        <v>35820</v>
      </c>
      <c r="K830" s="7">
        <v>13</v>
      </c>
      <c r="L830" s="7" t="s">
        <v>34</v>
      </c>
      <c r="M830" s="7">
        <v>1</v>
      </c>
    </row>
    <row r="831" spans="2:13" ht="15.6" thickTop="1" thickBot="1" x14ac:dyDescent="0.35">
      <c r="B831" s="8">
        <v>829</v>
      </c>
      <c r="C831" s="9" t="s">
        <v>10</v>
      </c>
      <c r="D831" s="19">
        <v>45487</v>
      </c>
      <c r="E831" s="9" t="s">
        <v>19</v>
      </c>
      <c r="F831" s="9" t="s">
        <v>23</v>
      </c>
      <c r="G831" s="9" t="s">
        <v>31</v>
      </c>
      <c r="H831" s="9">
        <v>168</v>
      </c>
      <c r="I831" s="5">
        <v>45</v>
      </c>
      <c r="J831" s="5">
        <f t="shared" si="12"/>
        <v>7560</v>
      </c>
      <c r="K831" s="9">
        <v>23</v>
      </c>
      <c r="L831" s="9" t="s">
        <v>34</v>
      </c>
      <c r="M831" s="9">
        <v>5</v>
      </c>
    </row>
    <row r="832" spans="2:13" ht="15.6" thickTop="1" thickBot="1" x14ac:dyDescent="0.35">
      <c r="B832" s="6">
        <v>830</v>
      </c>
      <c r="C832" s="7" t="s">
        <v>10</v>
      </c>
      <c r="D832" s="18">
        <v>45488</v>
      </c>
      <c r="E832" s="7" t="s">
        <v>22</v>
      </c>
      <c r="F832" s="7" t="s">
        <v>25</v>
      </c>
      <c r="G832" s="7" t="s">
        <v>31</v>
      </c>
      <c r="H832" s="7">
        <v>87</v>
      </c>
      <c r="I832" s="5">
        <v>45</v>
      </c>
      <c r="J832" s="5">
        <f t="shared" si="12"/>
        <v>3915</v>
      </c>
      <c r="K832" s="7">
        <v>11</v>
      </c>
      <c r="L832" s="7" t="s">
        <v>33</v>
      </c>
      <c r="M832" s="7">
        <v>1</v>
      </c>
    </row>
    <row r="833" spans="2:13" ht="15.6" thickTop="1" thickBot="1" x14ac:dyDescent="0.35">
      <c r="B833" s="8">
        <v>831</v>
      </c>
      <c r="C833" s="9" t="s">
        <v>10</v>
      </c>
      <c r="D833" s="19">
        <v>45489</v>
      </c>
      <c r="E833" s="9" t="s">
        <v>18</v>
      </c>
      <c r="F833" s="9" t="s">
        <v>27</v>
      </c>
      <c r="G833" s="9" t="s">
        <v>30</v>
      </c>
      <c r="H833" s="9">
        <v>156</v>
      </c>
      <c r="I833" s="5">
        <v>225</v>
      </c>
      <c r="J833" s="5">
        <f t="shared" si="12"/>
        <v>35100</v>
      </c>
      <c r="K833" s="9">
        <v>14</v>
      </c>
      <c r="L833" s="9" t="s">
        <v>34</v>
      </c>
      <c r="M833" s="9">
        <v>4</v>
      </c>
    </row>
    <row r="834" spans="2:13" ht="15.6" thickTop="1" thickBot="1" x14ac:dyDescent="0.35">
      <c r="B834" s="6">
        <v>832</v>
      </c>
      <c r="C834" s="7" t="s">
        <v>11</v>
      </c>
      <c r="D834" s="18">
        <v>45490</v>
      </c>
      <c r="E834" s="7" t="s">
        <v>20</v>
      </c>
      <c r="F834" s="7" t="s">
        <v>20</v>
      </c>
      <c r="G834" s="7" t="s">
        <v>29</v>
      </c>
      <c r="H834" s="7">
        <v>232</v>
      </c>
      <c r="I834" s="5">
        <v>90</v>
      </c>
      <c r="J834" s="5">
        <f t="shared" si="12"/>
        <v>20880</v>
      </c>
      <c r="K834" s="7">
        <v>15</v>
      </c>
      <c r="L834" s="7" t="s">
        <v>34</v>
      </c>
      <c r="M834" s="7">
        <v>5</v>
      </c>
    </row>
    <row r="835" spans="2:13" ht="15.6" thickTop="1" thickBot="1" x14ac:dyDescent="0.35">
      <c r="B835" s="8">
        <v>833</v>
      </c>
      <c r="C835" s="9" t="s">
        <v>10</v>
      </c>
      <c r="D835" s="19">
        <v>45491</v>
      </c>
      <c r="E835" s="9" t="s">
        <v>18</v>
      </c>
      <c r="F835" s="9" t="s">
        <v>27</v>
      </c>
      <c r="G835" s="9" t="s">
        <v>29</v>
      </c>
      <c r="H835" s="9">
        <v>151</v>
      </c>
      <c r="I835" s="5">
        <v>45</v>
      </c>
      <c r="J835" s="5">
        <f t="shared" si="12"/>
        <v>6795</v>
      </c>
      <c r="K835" s="9">
        <v>19</v>
      </c>
      <c r="L835" s="9" t="s">
        <v>35</v>
      </c>
      <c r="M835" s="9">
        <v>3</v>
      </c>
    </row>
    <row r="836" spans="2:13" ht="15.6" thickTop="1" thickBot="1" x14ac:dyDescent="0.35">
      <c r="B836" s="6">
        <v>834</v>
      </c>
      <c r="C836" s="7" t="s">
        <v>11</v>
      </c>
      <c r="D836" s="18">
        <v>45492</v>
      </c>
      <c r="E836" s="7" t="s">
        <v>14</v>
      </c>
      <c r="F836" s="7" t="s">
        <v>25</v>
      </c>
      <c r="G836" s="7" t="s">
        <v>32</v>
      </c>
      <c r="H836" s="7">
        <v>110</v>
      </c>
      <c r="I836" s="5">
        <v>135</v>
      </c>
      <c r="J836" s="5">
        <f t="shared" ref="J836:J899" si="13">H836*I836</f>
        <v>14850</v>
      </c>
      <c r="K836" s="7">
        <v>17</v>
      </c>
      <c r="L836" s="7" t="s">
        <v>33</v>
      </c>
      <c r="M836" s="7">
        <v>2</v>
      </c>
    </row>
    <row r="837" spans="2:13" ht="15.6" thickTop="1" thickBot="1" x14ac:dyDescent="0.35">
      <c r="B837" s="8">
        <v>835</v>
      </c>
      <c r="C837" s="9" t="s">
        <v>10</v>
      </c>
      <c r="D837" s="19">
        <v>45493</v>
      </c>
      <c r="E837" s="9" t="s">
        <v>17</v>
      </c>
      <c r="F837" s="9" t="s">
        <v>24</v>
      </c>
      <c r="G837" s="9" t="s">
        <v>29</v>
      </c>
      <c r="H837" s="9">
        <v>100</v>
      </c>
      <c r="I837" s="5">
        <v>225</v>
      </c>
      <c r="J837" s="5">
        <f t="shared" si="13"/>
        <v>22500</v>
      </c>
      <c r="K837" s="9">
        <v>23</v>
      </c>
      <c r="L837" s="9" t="s">
        <v>33</v>
      </c>
      <c r="M837" s="9"/>
    </row>
    <row r="838" spans="2:13" ht="15.6" thickTop="1" thickBot="1" x14ac:dyDescent="0.35">
      <c r="B838" s="6">
        <v>836</v>
      </c>
      <c r="C838" s="7" t="s">
        <v>11</v>
      </c>
      <c r="D838" s="18">
        <v>45494</v>
      </c>
      <c r="E838" s="7" t="s">
        <v>14</v>
      </c>
      <c r="F838" s="7" t="s">
        <v>25</v>
      </c>
      <c r="G838" s="7" t="s">
        <v>31</v>
      </c>
      <c r="H838" s="7">
        <v>227</v>
      </c>
      <c r="I838" s="5">
        <v>225</v>
      </c>
      <c r="J838" s="5">
        <f t="shared" si="13"/>
        <v>51075</v>
      </c>
      <c r="K838" s="7">
        <v>13</v>
      </c>
      <c r="L838" s="7" t="s">
        <v>33</v>
      </c>
      <c r="M838" s="7"/>
    </row>
    <row r="839" spans="2:13" ht="15.6" thickTop="1" thickBot="1" x14ac:dyDescent="0.35">
      <c r="B839" s="8">
        <v>837</v>
      </c>
      <c r="C839" s="9" t="s">
        <v>10</v>
      </c>
      <c r="D839" s="19">
        <v>45495</v>
      </c>
      <c r="E839" s="9" t="s">
        <v>15</v>
      </c>
      <c r="F839" s="9" t="s">
        <v>25</v>
      </c>
      <c r="G839" s="9" t="s">
        <v>31</v>
      </c>
      <c r="H839" s="9">
        <v>154</v>
      </c>
      <c r="I839" s="5">
        <v>90</v>
      </c>
      <c r="J839" s="5">
        <f t="shared" si="13"/>
        <v>13860</v>
      </c>
      <c r="K839" s="9">
        <v>15</v>
      </c>
      <c r="L839" s="9" t="s">
        <v>34</v>
      </c>
      <c r="M839" s="9">
        <v>1</v>
      </c>
    </row>
    <row r="840" spans="2:13" ht="15.6" thickTop="1" thickBot="1" x14ac:dyDescent="0.35">
      <c r="B840" s="6">
        <v>838</v>
      </c>
      <c r="C840" s="7" t="s">
        <v>11</v>
      </c>
      <c r="D840" s="18">
        <v>45496</v>
      </c>
      <c r="E840" s="7" t="s">
        <v>19</v>
      </c>
      <c r="F840" s="7" t="s">
        <v>23</v>
      </c>
      <c r="G840" s="7" t="s">
        <v>30</v>
      </c>
      <c r="H840" s="7">
        <v>83</v>
      </c>
      <c r="I840" s="5">
        <v>90</v>
      </c>
      <c r="J840" s="5">
        <f t="shared" si="13"/>
        <v>7470</v>
      </c>
      <c r="K840" s="7">
        <v>18</v>
      </c>
      <c r="L840" s="7" t="s">
        <v>34</v>
      </c>
      <c r="M840" s="7">
        <v>1</v>
      </c>
    </row>
    <row r="841" spans="2:13" ht="15.6" thickTop="1" thickBot="1" x14ac:dyDescent="0.35">
      <c r="B841" s="8">
        <v>839</v>
      </c>
      <c r="C841" s="9" t="s">
        <v>11</v>
      </c>
      <c r="D841" s="19">
        <v>45497</v>
      </c>
      <c r="E841" s="9" t="s">
        <v>13</v>
      </c>
      <c r="F841" s="9" t="s">
        <v>24</v>
      </c>
      <c r="G841" s="9" t="s">
        <v>31</v>
      </c>
      <c r="H841" s="9">
        <v>45</v>
      </c>
      <c r="I841" s="5">
        <v>90</v>
      </c>
      <c r="J841" s="5">
        <f t="shared" si="13"/>
        <v>4050</v>
      </c>
      <c r="K841" s="9">
        <v>11</v>
      </c>
      <c r="L841" s="9" t="s">
        <v>35</v>
      </c>
      <c r="M841" s="9">
        <v>5</v>
      </c>
    </row>
    <row r="842" spans="2:13" ht="15.6" thickTop="1" thickBot="1" x14ac:dyDescent="0.35">
      <c r="B842" s="6">
        <v>840</v>
      </c>
      <c r="C842" s="7" t="s">
        <v>10</v>
      </c>
      <c r="D842" s="18">
        <v>45498</v>
      </c>
      <c r="E842" s="7" t="s">
        <v>13</v>
      </c>
      <c r="F842" s="7" t="s">
        <v>24</v>
      </c>
      <c r="G842" s="7" t="s">
        <v>32</v>
      </c>
      <c r="H842" s="7">
        <v>216</v>
      </c>
      <c r="I842" s="5">
        <v>45</v>
      </c>
      <c r="J842" s="5">
        <f t="shared" si="13"/>
        <v>9720</v>
      </c>
      <c r="K842" s="7">
        <v>13</v>
      </c>
      <c r="L842" s="7" t="s">
        <v>34</v>
      </c>
      <c r="M842" s="7">
        <v>4</v>
      </c>
    </row>
    <row r="843" spans="2:13" ht="15.6" thickTop="1" thickBot="1" x14ac:dyDescent="0.35">
      <c r="B843" s="8">
        <v>841</v>
      </c>
      <c r="C843" s="9" t="s">
        <v>10</v>
      </c>
      <c r="D843" s="19">
        <v>45499</v>
      </c>
      <c r="E843" s="9" t="s">
        <v>19</v>
      </c>
      <c r="F843" s="9" t="s">
        <v>23</v>
      </c>
      <c r="G843" s="9" t="s">
        <v>32</v>
      </c>
      <c r="H843" s="9">
        <v>199</v>
      </c>
      <c r="I843" s="5">
        <v>180</v>
      </c>
      <c r="J843" s="5">
        <f t="shared" si="13"/>
        <v>35820</v>
      </c>
      <c r="K843" s="9">
        <v>12</v>
      </c>
      <c r="L843" s="9" t="s">
        <v>34</v>
      </c>
      <c r="M843" s="9">
        <v>2</v>
      </c>
    </row>
    <row r="844" spans="2:13" ht="15.6" thickTop="1" thickBot="1" x14ac:dyDescent="0.35">
      <c r="B844" s="6">
        <v>842</v>
      </c>
      <c r="C844" s="7" t="s">
        <v>10</v>
      </c>
      <c r="D844" s="18">
        <v>45500</v>
      </c>
      <c r="E844" s="7" t="s">
        <v>14</v>
      </c>
      <c r="F844" s="7" t="s">
        <v>25</v>
      </c>
      <c r="G844" s="7" t="s">
        <v>28</v>
      </c>
      <c r="H844" s="7">
        <v>192</v>
      </c>
      <c r="I844" s="5">
        <v>225</v>
      </c>
      <c r="J844" s="5">
        <f t="shared" si="13"/>
        <v>43200</v>
      </c>
      <c r="K844" s="7">
        <v>17</v>
      </c>
      <c r="L844" s="7" t="s">
        <v>33</v>
      </c>
      <c r="M844" s="7">
        <v>5</v>
      </c>
    </row>
    <row r="845" spans="2:13" ht="15.6" thickTop="1" thickBot="1" x14ac:dyDescent="0.35">
      <c r="B845" s="8">
        <v>843</v>
      </c>
      <c r="C845" s="9" t="s">
        <v>10</v>
      </c>
      <c r="D845" s="19">
        <v>45501</v>
      </c>
      <c r="E845" s="9" t="s">
        <v>21</v>
      </c>
      <c r="F845" s="9" t="s">
        <v>26</v>
      </c>
      <c r="G845" s="9" t="s">
        <v>32</v>
      </c>
      <c r="H845" s="9">
        <v>198</v>
      </c>
      <c r="I845" s="5">
        <v>45</v>
      </c>
      <c r="J845" s="5">
        <f t="shared" si="13"/>
        <v>8910</v>
      </c>
      <c r="K845" s="9">
        <v>17</v>
      </c>
      <c r="L845" s="9" t="s">
        <v>34</v>
      </c>
      <c r="M845" s="9">
        <v>4</v>
      </c>
    </row>
    <row r="846" spans="2:13" ht="15.6" thickTop="1" thickBot="1" x14ac:dyDescent="0.35">
      <c r="B846" s="6">
        <v>844</v>
      </c>
      <c r="C846" s="7" t="s">
        <v>10</v>
      </c>
      <c r="D846" s="18">
        <v>45502</v>
      </c>
      <c r="E846" s="7" t="s">
        <v>12</v>
      </c>
      <c r="F846" s="7" t="s">
        <v>23</v>
      </c>
      <c r="G846" s="7" t="s">
        <v>30</v>
      </c>
      <c r="H846" s="7">
        <v>198</v>
      </c>
      <c r="I846" s="5">
        <v>45</v>
      </c>
      <c r="J846" s="5">
        <f t="shared" si="13"/>
        <v>8910</v>
      </c>
      <c r="K846" s="7">
        <v>22</v>
      </c>
      <c r="L846" s="7" t="s">
        <v>34</v>
      </c>
      <c r="M846" s="7"/>
    </row>
    <row r="847" spans="2:13" ht="15.6" thickTop="1" thickBot="1" x14ac:dyDescent="0.35">
      <c r="B847" s="8">
        <v>845</v>
      </c>
      <c r="C847" s="9" t="s">
        <v>10</v>
      </c>
      <c r="D847" s="19">
        <v>45503</v>
      </c>
      <c r="E847" s="9" t="s">
        <v>15</v>
      </c>
      <c r="F847" s="9" t="s">
        <v>25</v>
      </c>
      <c r="G847" s="9" t="s">
        <v>30</v>
      </c>
      <c r="H847" s="9">
        <v>248</v>
      </c>
      <c r="I847" s="5">
        <v>225</v>
      </c>
      <c r="J847" s="5">
        <f t="shared" si="13"/>
        <v>55800</v>
      </c>
      <c r="K847" s="9">
        <v>12</v>
      </c>
      <c r="L847" s="9" t="s">
        <v>34</v>
      </c>
      <c r="M847" s="9">
        <v>1</v>
      </c>
    </row>
    <row r="848" spans="2:13" ht="15.6" thickTop="1" thickBot="1" x14ac:dyDescent="0.35">
      <c r="B848" s="6">
        <v>846</v>
      </c>
      <c r="C848" s="7" t="s">
        <v>11</v>
      </c>
      <c r="D848" s="18">
        <v>45504</v>
      </c>
      <c r="E848" s="7" t="s">
        <v>15</v>
      </c>
      <c r="F848" s="7" t="s">
        <v>25</v>
      </c>
      <c r="G848" s="7" t="s">
        <v>31</v>
      </c>
      <c r="H848" s="7">
        <v>83</v>
      </c>
      <c r="I848" s="5">
        <v>225</v>
      </c>
      <c r="J848" s="5">
        <f t="shared" si="13"/>
        <v>18675</v>
      </c>
      <c r="K848" s="7">
        <v>20</v>
      </c>
      <c r="L848" s="7" t="s">
        <v>35</v>
      </c>
      <c r="M848" s="7"/>
    </row>
    <row r="849" spans="2:13" ht="15.6" thickTop="1" thickBot="1" x14ac:dyDescent="0.35">
      <c r="B849" s="8">
        <v>847</v>
      </c>
      <c r="C849" s="9" t="s">
        <v>11</v>
      </c>
      <c r="D849" s="19">
        <v>45505</v>
      </c>
      <c r="E849" s="9" t="s">
        <v>18</v>
      </c>
      <c r="F849" s="9" t="s">
        <v>27</v>
      </c>
      <c r="G849" s="9" t="s">
        <v>29</v>
      </c>
      <c r="H849" s="9">
        <v>146</v>
      </c>
      <c r="I849" s="5">
        <v>180</v>
      </c>
      <c r="J849" s="5">
        <f t="shared" si="13"/>
        <v>26280</v>
      </c>
      <c r="K849" s="9">
        <v>17</v>
      </c>
      <c r="L849" s="9" t="s">
        <v>34</v>
      </c>
      <c r="M849" s="9">
        <v>5</v>
      </c>
    </row>
    <row r="850" spans="2:13" ht="15.6" thickTop="1" thickBot="1" x14ac:dyDescent="0.35">
      <c r="B850" s="6">
        <v>848</v>
      </c>
      <c r="C850" s="7" t="s">
        <v>10</v>
      </c>
      <c r="D850" s="18">
        <v>45506</v>
      </c>
      <c r="E850" s="7" t="s">
        <v>15</v>
      </c>
      <c r="F850" s="7" t="s">
        <v>25</v>
      </c>
      <c r="G850" s="7" t="s">
        <v>31</v>
      </c>
      <c r="H850" s="7">
        <v>180</v>
      </c>
      <c r="I850" s="5">
        <v>90</v>
      </c>
      <c r="J850" s="5">
        <f t="shared" si="13"/>
        <v>16200</v>
      </c>
      <c r="K850" s="7">
        <v>16</v>
      </c>
      <c r="L850" s="7" t="s">
        <v>35</v>
      </c>
      <c r="M850" s="7">
        <v>1</v>
      </c>
    </row>
    <row r="851" spans="2:13" ht="15.6" thickTop="1" thickBot="1" x14ac:dyDescent="0.35">
      <c r="B851" s="8">
        <v>849</v>
      </c>
      <c r="C851" s="9" t="s">
        <v>10</v>
      </c>
      <c r="D851" s="19">
        <v>45507</v>
      </c>
      <c r="E851" s="9" t="s">
        <v>16</v>
      </c>
      <c r="F851" s="9" t="s">
        <v>26</v>
      </c>
      <c r="G851" s="9" t="s">
        <v>29</v>
      </c>
      <c r="H851" s="9">
        <v>106</v>
      </c>
      <c r="I851" s="5">
        <v>135</v>
      </c>
      <c r="J851" s="5">
        <f t="shared" si="13"/>
        <v>14310</v>
      </c>
      <c r="K851" s="9">
        <v>23</v>
      </c>
      <c r="L851" s="9" t="s">
        <v>33</v>
      </c>
      <c r="M851" s="9">
        <v>2</v>
      </c>
    </row>
    <row r="852" spans="2:13" ht="15.6" thickTop="1" thickBot="1" x14ac:dyDescent="0.35">
      <c r="B852" s="6">
        <v>850</v>
      </c>
      <c r="C852" s="7" t="s">
        <v>11</v>
      </c>
      <c r="D852" s="18">
        <v>45508</v>
      </c>
      <c r="E852" s="7" t="s">
        <v>20</v>
      </c>
      <c r="F852" s="7" t="s">
        <v>20</v>
      </c>
      <c r="G852" s="7" t="s">
        <v>30</v>
      </c>
      <c r="H852" s="7">
        <v>68</v>
      </c>
      <c r="I852" s="5">
        <v>225</v>
      </c>
      <c r="J852" s="5">
        <f t="shared" si="13"/>
        <v>15300</v>
      </c>
      <c r="K852" s="7">
        <v>19</v>
      </c>
      <c r="L852" s="7" t="s">
        <v>35</v>
      </c>
      <c r="M852" s="7">
        <v>2</v>
      </c>
    </row>
    <row r="853" spans="2:13" ht="15.6" thickTop="1" thickBot="1" x14ac:dyDescent="0.35">
      <c r="B853" s="8">
        <v>851</v>
      </c>
      <c r="C853" s="9" t="s">
        <v>10</v>
      </c>
      <c r="D853" s="19">
        <v>45509</v>
      </c>
      <c r="E853" s="9" t="s">
        <v>12</v>
      </c>
      <c r="F853" s="9" t="s">
        <v>23</v>
      </c>
      <c r="G853" s="9" t="s">
        <v>28</v>
      </c>
      <c r="H853" s="9">
        <v>65</v>
      </c>
      <c r="I853" s="5">
        <v>180</v>
      </c>
      <c r="J853" s="5">
        <f t="shared" si="13"/>
        <v>11700</v>
      </c>
      <c r="K853" s="9">
        <v>12</v>
      </c>
      <c r="L853" s="9" t="s">
        <v>35</v>
      </c>
      <c r="M853" s="9">
        <v>3</v>
      </c>
    </row>
    <row r="854" spans="2:13" ht="15.6" thickTop="1" thickBot="1" x14ac:dyDescent="0.35">
      <c r="B854" s="6">
        <v>852</v>
      </c>
      <c r="C854" s="7" t="s">
        <v>10</v>
      </c>
      <c r="D854" s="18">
        <v>45510</v>
      </c>
      <c r="E854" s="7" t="s">
        <v>19</v>
      </c>
      <c r="F854" s="7" t="s">
        <v>23</v>
      </c>
      <c r="G854" s="7" t="s">
        <v>30</v>
      </c>
      <c r="H854" s="7">
        <v>167</v>
      </c>
      <c r="I854" s="5">
        <v>90</v>
      </c>
      <c r="J854" s="5">
        <f t="shared" si="13"/>
        <v>15030</v>
      </c>
      <c r="K854" s="7">
        <v>12</v>
      </c>
      <c r="L854" s="7" t="s">
        <v>33</v>
      </c>
      <c r="M854" s="7">
        <v>5</v>
      </c>
    </row>
    <row r="855" spans="2:13" ht="15.6" thickTop="1" thickBot="1" x14ac:dyDescent="0.35">
      <c r="B855" s="8">
        <v>853</v>
      </c>
      <c r="C855" s="9" t="s">
        <v>11</v>
      </c>
      <c r="D855" s="19">
        <v>45511</v>
      </c>
      <c r="E855" s="9" t="s">
        <v>22</v>
      </c>
      <c r="F855" s="9" t="s">
        <v>25</v>
      </c>
      <c r="G855" s="9" t="s">
        <v>31</v>
      </c>
      <c r="H855" s="9">
        <v>221</v>
      </c>
      <c r="I855" s="5">
        <v>90</v>
      </c>
      <c r="J855" s="5">
        <f t="shared" si="13"/>
        <v>19890</v>
      </c>
      <c r="K855" s="9">
        <v>16</v>
      </c>
      <c r="L855" s="9" t="s">
        <v>33</v>
      </c>
      <c r="M855" s="9">
        <v>4</v>
      </c>
    </row>
    <row r="856" spans="2:13" ht="15.6" thickTop="1" thickBot="1" x14ac:dyDescent="0.35">
      <c r="B856" s="6">
        <v>854</v>
      </c>
      <c r="C856" s="7" t="s">
        <v>11</v>
      </c>
      <c r="D856" s="18">
        <v>45512</v>
      </c>
      <c r="E856" s="7" t="s">
        <v>19</v>
      </c>
      <c r="F856" s="7" t="s">
        <v>23</v>
      </c>
      <c r="G856" s="7" t="s">
        <v>29</v>
      </c>
      <c r="H856" s="7">
        <v>245</v>
      </c>
      <c r="I856" s="5">
        <v>225</v>
      </c>
      <c r="J856" s="5">
        <f t="shared" si="13"/>
        <v>55125</v>
      </c>
      <c r="K856" s="7">
        <v>12</v>
      </c>
      <c r="L856" s="7" t="s">
        <v>34</v>
      </c>
      <c r="M856" s="7"/>
    </row>
    <row r="857" spans="2:13" ht="15.6" thickTop="1" thickBot="1" x14ac:dyDescent="0.35">
      <c r="B857" s="8">
        <v>855</v>
      </c>
      <c r="C857" s="9" t="s">
        <v>10</v>
      </c>
      <c r="D857" s="19">
        <v>45513</v>
      </c>
      <c r="E857" s="9" t="s">
        <v>17</v>
      </c>
      <c r="F857" s="9" t="s">
        <v>24</v>
      </c>
      <c r="G857" s="9" t="s">
        <v>29</v>
      </c>
      <c r="H857" s="9">
        <v>189</v>
      </c>
      <c r="I857" s="5">
        <v>45</v>
      </c>
      <c r="J857" s="5">
        <f t="shared" si="13"/>
        <v>8505</v>
      </c>
      <c r="K857" s="9">
        <v>20</v>
      </c>
      <c r="L857" s="9" t="s">
        <v>35</v>
      </c>
      <c r="M857" s="9">
        <v>4</v>
      </c>
    </row>
    <row r="858" spans="2:13" ht="15.6" thickTop="1" thickBot="1" x14ac:dyDescent="0.35">
      <c r="B858" s="6">
        <v>856</v>
      </c>
      <c r="C858" s="7" t="s">
        <v>10</v>
      </c>
      <c r="D858" s="18">
        <v>45514</v>
      </c>
      <c r="E858" s="7" t="s">
        <v>22</v>
      </c>
      <c r="F858" s="7" t="s">
        <v>25</v>
      </c>
      <c r="G858" s="7" t="s">
        <v>31</v>
      </c>
      <c r="H858" s="7">
        <v>181</v>
      </c>
      <c r="I858" s="5">
        <v>225</v>
      </c>
      <c r="J858" s="5">
        <f t="shared" si="13"/>
        <v>40725</v>
      </c>
      <c r="K858" s="7">
        <v>17</v>
      </c>
      <c r="L858" s="7" t="s">
        <v>33</v>
      </c>
      <c r="M858" s="7">
        <v>1</v>
      </c>
    </row>
    <row r="859" spans="2:13" ht="15.6" thickTop="1" thickBot="1" x14ac:dyDescent="0.35">
      <c r="B859" s="8">
        <v>857</v>
      </c>
      <c r="C859" s="9" t="s">
        <v>10</v>
      </c>
      <c r="D859" s="19">
        <v>45515</v>
      </c>
      <c r="E859" s="9" t="s">
        <v>21</v>
      </c>
      <c r="F859" s="9" t="s">
        <v>26</v>
      </c>
      <c r="G859" s="9" t="s">
        <v>29</v>
      </c>
      <c r="H859" s="9">
        <v>202</v>
      </c>
      <c r="I859" s="5">
        <v>180</v>
      </c>
      <c r="J859" s="5">
        <f t="shared" si="13"/>
        <v>36360</v>
      </c>
      <c r="K859" s="9">
        <v>15</v>
      </c>
      <c r="L859" s="9" t="s">
        <v>35</v>
      </c>
      <c r="M859" s="9"/>
    </row>
    <row r="860" spans="2:13" ht="15.6" thickTop="1" thickBot="1" x14ac:dyDescent="0.35">
      <c r="B860" s="6">
        <v>858</v>
      </c>
      <c r="C860" s="7" t="s">
        <v>11</v>
      </c>
      <c r="D860" s="18">
        <v>45516</v>
      </c>
      <c r="E860" s="7" t="s">
        <v>22</v>
      </c>
      <c r="F860" s="7" t="s">
        <v>25</v>
      </c>
      <c r="G860" s="7" t="s">
        <v>31</v>
      </c>
      <c r="H860" s="7">
        <v>150</v>
      </c>
      <c r="I860" s="5">
        <v>225</v>
      </c>
      <c r="J860" s="5">
        <f t="shared" si="13"/>
        <v>33750</v>
      </c>
      <c r="K860" s="7">
        <v>8</v>
      </c>
      <c r="L860" s="7" t="s">
        <v>33</v>
      </c>
      <c r="M860" s="7">
        <v>3</v>
      </c>
    </row>
    <row r="861" spans="2:13" ht="15.6" thickTop="1" thickBot="1" x14ac:dyDescent="0.35">
      <c r="B861" s="8">
        <v>859</v>
      </c>
      <c r="C861" s="9" t="s">
        <v>11</v>
      </c>
      <c r="D861" s="19">
        <v>45517</v>
      </c>
      <c r="E861" s="9" t="s">
        <v>22</v>
      </c>
      <c r="F861" s="9" t="s">
        <v>25</v>
      </c>
      <c r="G861" s="9" t="s">
        <v>32</v>
      </c>
      <c r="H861" s="9">
        <v>177</v>
      </c>
      <c r="I861" s="5">
        <v>45</v>
      </c>
      <c r="J861" s="5">
        <f t="shared" si="13"/>
        <v>7965</v>
      </c>
      <c r="K861" s="9">
        <v>20</v>
      </c>
      <c r="L861" s="9" t="s">
        <v>34</v>
      </c>
      <c r="M861" s="9">
        <v>1</v>
      </c>
    </row>
    <row r="862" spans="2:13" ht="15.6" thickTop="1" thickBot="1" x14ac:dyDescent="0.35">
      <c r="B862" s="6">
        <v>860</v>
      </c>
      <c r="C862" s="7" t="s">
        <v>11</v>
      </c>
      <c r="D862" s="18">
        <v>45518</v>
      </c>
      <c r="E862" s="7" t="s">
        <v>20</v>
      </c>
      <c r="F862" s="7" t="s">
        <v>20</v>
      </c>
      <c r="G862" s="7" t="s">
        <v>29</v>
      </c>
      <c r="H862" s="7">
        <v>188</v>
      </c>
      <c r="I862" s="5">
        <v>180</v>
      </c>
      <c r="J862" s="5">
        <f t="shared" si="13"/>
        <v>33840</v>
      </c>
      <c r="K862" s="7">
        <v>8</v>
      </c>
      <c r="L862" s="7" t="s">
        <v>35</v>
      </c>
      <c r="M862" s="7"/>
    </row>
    <row r="863" spans="2:13" ht="15.6" thickTop="1" thickBot="1" x14ac:dyDescent="0.35">
      <c r="B863" s="8">
        <v>861</v>
      </c>
      <c r="C863" s="9" t="s">
        <v>10</v>
      </c>
      <c r="D863" s="19">
        <v>45519</v>
      </c>
      <c r="E863" s="9" t="s">
        <v>13</v>
      </c>
      <c r="F863" s="9" t="s">
        <v>24</v>
      </c>
      <c r="G863" s="9" t="s">
        <v>32</v>
      </c>
      <c r="H863" s="9">
        <v>141</v>
      </c>
      <c r="I863" s="5">
        <v>90</v>
      </c>
      <c r="J863" s="5">
        <f t="shared" si="13"/>
        <v>12690</v>
      </c>
      <c r="K863" s="9">
        <v>21</v>
      </c>
      <c r="L863" s="9" t="s">
        <v>35</v>
      </c>
      <c r="M863" s="9">
        <v>5</v>
      </c>
    </row>
    <row r="864" spans="2:13" ht="15.6" thickTop="1" thickBot="1" x14ac:dyDescent="0.35">
      <c r="B864" s="6">
        <v>862</v>
      </c>
      <c r="C864" s="7" t="s">
        <v>11</v>
      </c>
      <c r="D864" s="18">
        <v>45520</v>
      </c>
      <c r="E864" s="7" t="s">
        <v>17</v>
      </c>
      <c r="F864" s="7" t="s">
        <v>24</v>
      </c>
      <c r="G864" s="7" t="s">
        <v>28</v>
      </c>
      <c r="H864" s="7">
        <v>114</v>
      </c>
      <c r="I864" s="5">
        <v>90</v>
      </c>
      <c r="J864" s="5">
        <f t="shared" si="13"/>
        <v>10260</v>
      </c>
      <c r="K864" s="7">
        <v>7</v>
      </c>
      <c r="L864" s="7" t="s">
        <v>35</v>
      </c>
      <c r="M864" s="7"/>
    </row>
    <row r="865" spans="2:13" ht="15.6" thickTop="1" thickBot="1" x14ac:dyDescent="0.35">
      <c r="B865" s="8">
        <v>863</v>
      </c>
      <c r="C865" s="9" t="s">
        <v>11</v>
      </c>
      <c r="D865" s="19">
        <v>45521</v>
      </c>
      <c r="E865" s="9" t="s">
        <v>20</v>
      </c>
      <c r="F865" s="9" t="s">
        <v>20</v>
      </c>
      <c r="G865" s="9" t="s">
        <v>30</v>
      </c>
      <c r="H865" s="9">
        <v>116</v>
      </c>
      <c r="I865" s="5">
        <v>90</v>
      </c>
      <c r="J865" s="5">
        <f t="shared" si="13"/>
        <v>10440</v>
      </c>
      <c r="K865" s="9">
        <v>14</v>
      </c>
      <c r="L865" s="9" t="s">
        <v>33</v>
      </c>
      <c r="M865" s="9">
        <v>5</v>
      </c>
    </row>
    <row r="866" spans="2:13" ht="15.6" thickTop="1" thickBot="1" x14ac:dyDescent="0.35">
      <c r="B866" s="6">
        <v>864</v>
      </c>
      <c r="C866" s="7" t="s">
        <v>10</v>
      </c>
      <c r="D866" s="18">
        <v>45522</v>
      </c>
      <c r="E866" s="7" t="s">
        <v>19</v>
      </c>
      <c r="F866" s="7" t="s">
        <v>23</v>
      </c>
      <c r="G866" s="7" t="s">
        <v>29</v>
      </c>
      <c r="H866" s="7">
        <v>178</v>
      </c>
      <c r="I866" s="5">
        <v>225</v>
      </c>
      <c r="J866" s="5">
        <f t="shared" si="13"/>
        <v>40050</v>
      </c>
      <c r="K866" s="7">
        <v>10</v>
      </c>
      <c r="L866" s="7" t="s">
        <v>34</v>
      </c>
      <c r="M866" s="7">
        <v>3</v>
      </c>
    </row>
    <row r="867" spans="2:13" ht="15.6" thickTop="1" thickBot="1" x14ac:dyDescent="0.35">
      <c r="B867" s="8">
        <v>865</v>
      </c>
      <c r="C867" s="9" t="s">
        <v>11</v>
      </c>
      <c r="D867" s="19">
        <v>45523</v>
      </c>
      <c r="E867" s="9" t="s">
        <v>14</v>
      </c>
      <c r="F867" s="9" t="s">
        <v>25</v>
      </c>
      <c r="G867" s="9" t="s">
        <v>31</v>
      </c>
      <c r="H867" s="9">
        <v>249</v>
      </c>
      <c r="I867" s="5">
        <v>225</v>
      </c>
      <c r="J867" s="5">
        <f t="shared" si="13"/>
        <v>56025</v>
      </c>
      <c r="K867" s="9">
        <v>9</v>
      </c>
      <c r="L867" s="9" t="s">
        <v>33</v>
      </c>
      <c r="M867" s="9">
        <v>5</v>
      </c>
    </row>
    <row r="868" spans="2:13" ht="15.6" thickTop="1" thickBot="1" x14ac:dyDescent="0.35">
      <c r="B868" s="6">
        <v>866</v>
      </c>
      <c r="C868" s="7" t="s">
        <v>10</v>
      </c>
      <c r="D868" s="18">
        <v>45524</v>
      </c>
      <c r="E868" s="7" t="s">
        <v>18</v>
      </c>
      <c r="F868" s="7" t="s">
        <v>27</v>
      </c>
      <c r="G868" s="7" t="s">
        <v>32</v>
      </c>
      <c r="H868" s="7">
        <v>193</v>
      </c>
      <c r="I868" s="5">
        <v>90</v>
      </c>
      <c r="J868" s="5">
        <f t="shared" si="13"/>
        <v>17370</v>
      </c>
      <c r="K868" s="7">
        <v>12</v>
      </c>
      <c r="L868" s="7" t="s">
        <v>34</v>
      </c>
      <c r="M868" s="7"/>
    </row>
    <row r="869" spans="2:13" ht="15.6" thickTop="1" thickBot="1" x14ac:dyDescent="0.35">
      <c r="B869" s="8">
        <v>867</v>
      </c>
      <c r="C869" s="9" t="s">
        <v>11</v>
      </c>
      <c r="D869" s="19">
        <v>45525</v>
      </c>
      <c r="E869" s="9" t="s">
        <v>14</v>
      </c>
      <c r="F869" s="9" t="s">
        <v>25</v>
      </c>
      <c r="G869" s="9" t="s">
        <v>30</v>
      </c>
      <c r="H869" s="9">
        <v>68</v>
      </c>
      <c r="I869" s="5">
        <v>90</v>
      </c>
      <c r="J869" s="5">
        <f t="shared" si="13"/>
        <v>6120</v>
      </c>
      <c r="K869" s="9">
        <v>18</v>
      </c>
      <c r="L869" s="9" t="s">
        <v>33</v>
      </c>
      <c r="M869" s="9"/>
    </row>
    <row r="870" spans="2:13" ht="15.6" thickTop="1" thickBot="1" x14ac:dyDescent="0.35">
      <c r="B870" s="6">
        <v>868</v>
      </c>
      <c r="C870" s="7" t="s">
        <v>11</v>
      </c>
      <c r="D870" s="18">
        <v>45526</v>
      </c>
      <c r="E870" s="7" t="s">
        <v>20</v>
      </c>
      <c r="F870" s="7" t="s">
        <v>20</v>
      </c>
      <c r="G870" s="7" t="s">
        <v>30</v>
      </c>
      <c r="H870" s="7">
        <v>152</v>
      </c>
      <c r="I870" s="5">
        <v>45</v>
      </c>
      <c r="J870" s="5">
        <f t="shared" si="13"/>
        <v>6840</v>
      </c>
      <c r="K870" s="7">
        <v>12</v>
      </c>
      <c r="L870" s="7" t="s">
        <v>35</v>
      </c>
      <c r="M870" s="7">
        <v>3</v>
      </c>
    </row>
    <row r="871" spans="2:13" ht="15.6" thickTop="1" thickBot="1" x14ac:dyDescent="0.35">
      <c r="B871" s="8">
        <v>869</v>
      </c>
      <c r="C871" s="9" t="s">
        <v>10</v>
      </c>
      <c r="D871" s="19">
        <v>45527</v>
      </c>
      <c r="E871" s="9" t="s">
        <v>14</v>
      </c>
      <c r="F871" s="9" t="s">
        <v>25</v>
      </c>
      <c r="G871" s="9" t="s">
        <v>29</v>
      </c>
      <c r="H871" s="9">
        <v>236</v>
      </c>
      <c r="I871" s="5">
        <v>180</v>
      </c>
      <c r="J871" s="5">
        <f t="shared" si="13"/>
        <v>42480</v>
      </c>
      <c r="K871" s="9">
        <v>23</v>
      </c>
      <c r="L871" s="9" t="s">
        <v>33</v>
      </c>
      <c r="M871" s="9"/>
    </row>
    <row r="872" spans="2:13" ht="15.6" thickTop="1" thickBot="1" x14ac:dyDescent="0.35">
      <c r="B872" s="6">
        <v>870</v>
      </c>
      <c r="C872" s="7" t="s">
        <v>11</v>
      </c>
      <c r="D872" s="18">
        <v>45528</v>
      </c>
      <c r="E872" s="7" t="s">
        <v>17</v>
      </c>
      <c r="F872" s="7" t="s">
        <v>24</v>
      </c>
      <c r="G872" s="7" t="s">
        <v>28</v>
      </c>
      <c r="H872" s="7">
        <v>234</v>
      </c>
      <c r="I872" s="5">
        <v>180</v>
      </c>
      <c r="J872" s="5">
        <f t="shared" si="13"/>
        <v>42120</v>
      </c>
      <c r="K872" s="7">
        <v>17</v>
      </c>
      <c r="L872" s="7" t="s">
        <v>34</v>
      </c>
      <c r="M872" s="7">
        <v>3</v>
      </c>
    </row>
    <row r="873" spans="2:13" ht="15.6" thickTop="1" thickBot="1" x14ac:dyDescent="0.35">
      <c r="B873" s="8">
        <v>871</v>
      </c>
      <c r="C873" s="9" t="s">
        <v>11</v>
      </c>
      <c r="D873" s="19">
        <v>45529</v>
      </c>
      <c r="E873" s="9" t="s">
        <v>16</v>
      </c>
      <c r="F873" s="9" t="s">
        <v>26</v>
      </c>
      <c r="G873" s="9" t="s">
        <v>31</v>
      </c>
      <c r="H873" s="9">
        <v>154</v>
      </c>
      <c r="I873" s="5">
        <v>135</v>
      </c>
      <c r="J873" s="5">
        <f t="shared" si="13"/>
        <v>20790</v>
      </c>
      <c r="K873" s="9">
        <v>20</v>
      </c>
      <c r="L873" s="9" t="s">
        <v>33</v>
      </c>
      <c r="M873" s="9">
        <v>5</v>
      </c>
    </row>
    <row r="874" spans="2:13" ht="15.6" thickTop="1" thickBot="1" x14ac:dyDescent="0.35">
      <c r="B874" s="6">
        <v>872</v>
      </c>
      <c r="C874" s="7" t="s">
        <v>10</v>
      </c>
      <c r="D874" s="18">
        <v>45530</v>
      </c>
      <c r="E874" s="7" t="s">
        <v>22</v>
      </c>
      <c r="F874" s="7" t="s">
        <v>25</v>
      </c>
      <c r="G874" s="7" t="s">
        <v>29</v>
      </c>
      <c r="H874" s="7">
        <v>211</v>
      </c>
      <c r="I874" s="5">
        <v>135</v>
      </c>
      <c r="J874" s="5">
        <f t="shared" si="13"/>
        <v>28485</v>
      </c>
      <c r="K874" s="7">
        <v>20</v>
      </c>
      <c r="L874" s="7" t="s">
        <v>33</v>
      </c>
      <c r="M874" s="7">
        <v>4</v>
      </c>
    </row>
    <row r="875" spans="2:13" ht="15.6" thickTop="1" thickBot="1" x14ac:dyDescent="0.35">
      <c r="B875" s="8">
        <v>873</v>
      </c>
      <c r="C875" s="9" t="s">
        <v>10</v>
      </c>
      <c r="D875" s="19">
        <v>45531</v>
      </c>
      <c r="E875" s="9" t="s">
        <v>15</v>
      </c>
      <c r="F875" s="9" t="s">
        <v>25</v>
      </c>
      <c r="G875" s="9" t="s">
        <v>28</v>
      </c>
      <c r="H875" s="9">
        <v>146</v>
      </c>
      <c r="I875" s="5">
        <v>225</v>
      </c>
      <c r="J875" s="5">
        <f t="shared" si="13"/>
        <v>32850</v>
      </c>
      <c r="K875" s="9">
        <v>23</v>
      </c>
      <c r="L875" s="9" t="s">
        <v>35</v>
      </c>
      <c r="M875" s="9">
        <v>5</v>
      </c>
    </row>
    <row r="876" spans="2:13" ht="15.6" thickTop="1" thickBot="1" x14ac:dyDescent="0.35">
      <c r="B876" s="6">
        <v>874</v>
      </c>
      <c r="C876" s="7" t="s">
        <v>11</v>
      </c>
      <c r="D876" s="18">
        <v>45532</v>
      </c>
      <c r="E876" s="7" t="s">
        <v>12</v>
      </c>
      <c r="F876" s="7" t="s">
        <v>23</v>
      </c>
      <c r="G876" s="7" t="s">
        <v>32</v>
      </c>
      <c r="H876" s="7">
        <v>32</v>
      </c>
      <c r="I876" s="5">
        <v>45</v>
      </c>
      <c r="J876" s="5">
        <f t="shared" si="13"/>
        <v>1440</v>
      </c>
      <c r="K876" s="7">
        <v>18</v>
      </c>
      <c r="L876" s="7" t="s">
        <v>33</v>
      </c>
      <c r="M876" s="7">
        <v>4</v>
      </c>
    </row>
    <row r="877" spans="2:13" ht="15.6" thickTop="1" thickBot="1" x14ac:dyDescent="0.35">
      <c r="B877" s="8">
        <v>875</v>
      </c>
      <c r="C877" s="9" t="s">
        <v>11</v>
      </c>
      <c r="D877" s="19">
        <v>45533</v>
      </c>
      <c r="E877" s="9" t="s">
        <v>20</v>
      </c>
      <c r="F877" s="9" t="s">
        <v>20</v>
      </c>
      <c r="G877" s="9" t="s">
        <v>31</v>
      </c>
      <c r="H877" s="9">
        <v>228</v>
      </c>
      <c r="I877" s="5">
        <v>180</v>
      </c>
      <c r="J877" s="5">
        <f t="shared" si="13"/>
        <v>41040</v>
      </c>
      <c r="K877" s="9">
        <v>16</v>
      </c>
      <c r="L877" s="9" t="s">
        <v>35</v>
      </c>
      <c r="M877" s="9">
        <v>2</v>
      </c>
    </row>
    <row r="878" spans="2:13" ht="15.6" thickTop="1" thickBot="1" x14ac:dyDescent="0.35">
      <c r="B878" s="6">
        <v>876</v>
      </c>
      <c r="C878" s="7" t="s">
        <v>11</v>
      </c>
      <c r="D878" s="18">
        <v>45534</v>
      </c>
      <c r="E878" s="7" t="s">
        <v>15</v>
      </c>
      <c r="F878" s="7" t="s">
        <v>25</v>
      </c>
      <c r="G878" s="7" t="s">
        <v>30</v>
      </c>
      <c r="H878" s="7">
        <v>173</v>
      </c>
      <c r="I878" s="5">
        <v>180</v>
      </c>
      <c r="J878" s="5">
        <f t="shared" si="13"/>
        <v>31140</v>
      </c>
      <c r="K878" s="7">
        <v>18</v>
      </c>
      <c r="L878" s="7" t="s">
        <v>33</v>
      </c>
      <c r="M878" s="7">
        <v>2</v>
      </c>
    </row>
    <row r="879" spans="2:13" ht="15.6" thickTop="1" thickBot="1" x14ac:dyDescent="0.35">
      <c r="B879" s="8">
        <v>877</v>
      </c>
      <c r="C879" s="9" t="s">
        <v>11</v>
      </c>
      <c r="D879" s="19">
        <v>45535</v>
      </c>
      <c r="E879" s="9" t="s">
        <v>22</v>
      </c>
      <c r="F879" s="9" t="s">
        <v>25</v>
      </c>
      <c r="G879" s="9" t="s">
        <v>29</v>
      </c>
      <c r="H879" s="9">
        <v>136</v>
      </c>
      <c r="I879" s="5">
        <v>180</v>
      </c>
      <c r="J879" s="5">
        <f t="shared" si="13"/>
        <v>24480</v>
      </c>
      <c r="K879" s="9">
        <v>11</v>
      </c>
      <c r="L879" s="9" t="s">
        <v>34</v>
      </c>
      <c r="M879" s="9"/>
    </row>
    <row r="880" spans="2:13" ht="15.6" thickTop="1" thickBot="1" x14ac:dyDescent="0.35">
      <c r="B880" s="6">
        <v>878</v>
      </c>
      <c r="C880" s="7" t="s">
        <v>11</v>
      </c>
      <c r="D880" s="18">
        <v>45536</v>
      </c>
      <c r="E880" s="7" t="s">
        <v>19</v>
      </c>
      <c r="F880" s="7" t="s">
        <v>23</v>
      </c>
      <c r="G880" s="7" t="s">
        <v>32</v>
      </c>
      <c r="H880" s="7">
        <v>81</v>
      </c>
      <c r="I880" s="5">
        <v>45</v>
      </c>
      <c r="J880" s="5">
        <f t="shared" si="13"/>
        <v>3645</v>
      </c>
      <c r="K880" s="7">
        <v>8</v>
      </c>
      <c r="L880" s="7" t="s">
        <v>34</v>
      </c>
      <c r="M880" s="7">
        <v>2</v>
      </c>
    </row>
    <row r="881" spans="2:13" ht="15.6" thickTop="1" thickBot="1" x14ac:dyDescent="0.35">
      <c r="B881" s="8">
        <v>879</v>
      </c>
      <c r="C881" s="9" t="s">
        <v>10</v>
      </c>
      <c r="D881" s="19">
        <v>45537</v>
      </c>
      <c r="E881" s="9" t="s">
        <v>12</v>
      </c>
      <c r="F881" s="9" t="s">
        <v>23</v>
      </c>
      <c r="G881" s="9" t="s">
        <v>32</v>
      </c>
      <c r="H881" s="9">
        <v>122</v>
      </c>
      <c r="I881" s="5">
        <v>45</v>
      </c>
      <c r="J881" s="5">
        <f t="shared" si="13"/>
        <v>5490</v>
      </c>
      <c r="K881" s="9">
        <v>24</v>
      </c>
      <c r="L881" s="9" t="s">
        <v>34</v>
      </c>
      <c r="M881" s="9">
        <v>1</v>
      </c>
    </row>
    <row r="882" spans="2:13" ht="15.6" thickTop="1" thickBot="1" x14ac:dyDescent="0.35">
      <c r="B882" s="6">
        <v>880</v>
      </c>
      <c r="C882" s="7" t="s">
        <v>11</v>
      </c>
      <c r="D882" s="18">
        <v>45538</v>
      </c>
      <c r="E882" s="7" t="s">
        <v>22</v>
      </c>
      <c r="F882" s="7" t="s">
        <v>25</v>
      </c>
      <c r="G882" s="7" t="s">
        <v>31</v>
      </c>
      <c r="H882" s="7">
        <v>54</v>
      </c>
      <c r="I882" s="5">
        <v>225</v>
      </c>
      <c r="J882" s="5">
        <f t="shared" si="13"/>
        <v>12150</v>
      </c>
      <c r="K882" s="7">
        <v>9</v>
      </c>
      <c r="L882" s="7" t="s">
        <v>35</v>
      </c>
      <c r="M882" s="7">
        <v>1</v>
      </c>
    </row>
    <row r="883" spans="2:13" ht="15.6" thickTop="1" thickBot="1" x14ac:dyDescent="0.35">
      <c r="B883" s="8">
        <v>881</v>
      </c>
      <c r="C883" s="9" t="s">
        <v>11</v>
      </c>
      <c r="D883" s="19">
        <v>45539</v>
      </c>
      <c r="E883" s="9" t="s">
        <v>15</v>
      </c>
      <c r="F883" s="9" t="s">
        <v>25</v>
      </c>
      <c r="G883" s="9" t="s">
        <v>32</v>
      </c>
      <c r="H883" s="9">
        <v>213</v>
      </c>
      <c r="I883" s="5">
        <v>180</v>
      </c>
      <c r="J883" s="5">
        <f t="shared" si="13"/>
        <v>38340</v>
      </c>
      <c r="K883" s="9">
        <v>9</v>
      </c>
      <c r="L883" s="9" t="s">
        <v>35</v>
      </c>
      <c r="M883" s="9">
        <v>3</v>
      </c>
    </row>
    <row r="884" spans="2:13" ht="15.6" thickTop="1" thickBot="1" x14ac:dyDescent="0.35">
      <c r="B884" s="6">
        <v>882</v>
      </c>
      <c r="C884" s="7" t="s">
        <v>11</v>
      </c>
      <c r="D884" s="18">
        <v>45540</v>
      </c>
      <c r="E884" s="7" t="s">
        <v>19</v>
      </c>
      <c r="F884" s="7" t="s">
        <v>23</v>
      </c>
      <c r="G884" s="7" t="s">
        <v>29</v>
      </c>
      <c r="H884" s="7">
        <v>183</v>
      </c>
      <c r="I884" s="5">
        <v>225</v>
      </c>
      <c r="J884" s="5">
        <f t="shared" si="13"/>
        <v>41175</v>
      </c>
      <c r="K884" s="7">
        <v>20</v>
      </c>
      <c r="L884" s="7" t="s">
        <v>34</v>
      </c>
      <c r="M884" s="7">
        <v>3</v>
      </c>
    </row>
    <row r="885" spans="2:13" ht="15.6" thickTop="1" thickBot="1" x14ac:dyDescent="0.35">
      <c r="B885" s="8">
        <v>883</v>
      </c>
      <c r="C885" s="9" t="s">
        <v>10</v>
      </c>
      <c r="D885" s="19">
        <v>45541</v>
      </c>
      <c r="E885" s="9" t="s">
        <v>17</v>
      </c>
      <c r="F885" s="9" t="s">
        <v>24</v>
      </c>
      <c r="G885" s="9" t="s">
        <v>32</v>
      </c>
      <c r="H885" s="9">
        <v>131</v>
      </c>
      <c r="I885" s="5">
        <v>135</v>
      </c>
      <c r="J885" s="5">
        <f t="shared" si="13"/>
        <v>17685</v>
      </c>
      <c r="K885" s="9">
        <v>18</v>
      </c>
      <c r="L885" s="9" t="s">
        <v>34</v>
      </c>
      <c r="M885" s="9">
        <v>3</v>
      </c>
    </row>
    <row r="886" spans="2:13" ht="15.6" thickTop="1" thickBot="1" x14ac:dyDescent="0.35">
      <c r="B886" s="6">
        <v>884</v>
      </c>
      <c r="C886" s="7" t="s">
        <v>11</v>
      </c>
      <c r="D886" s="18">
        <v>45542</v>
      </c>
      <c r="E886" s="7" t="s">
        <v>16</v>
      </c>
      <c r="F886" s="7" t="s">
        <v>26</v>
      </c>
      <c r="G886" s="7" t="s">
        <v>28</v>
      </c>
      <c r="H886" s="7">
        <v>45</v>
      </c>
      <c r="I886" s="5">
        <v>225</v>
      </c>
      <c r="J886" s="5">
        <f t="shared" si="13"/>
        <v>10125</v>
      </c>
      <c r="K886" s="7">
        <v>16</v>
      </c>
      <c r="L886" s="7" t="s">
        <v>35</v>
      </c>
      <c r="M886" s="7">
        <v>2</v>
      </c>
    </row>
    <row r="887" spans="2:13" ht="15.6" thickTop="1" thickBot="1" x14ac:dyDescent="0.35">
      <c r="B887" s="8">
        <v>885</v>
      </c>
      <c r="C887" s="9" t="s">
        <v>11</v>
      </c>
      <c r="D887" s="19">
        <v>45543</v>
      </c>
      <c r="E887" s="9" t="s">
        <v>18</v>
      </c>
      <c r="F887" s="9" t="s">
        <v>27</v>
      </c>
      <c r="G887" s="9" t="s">
        <v>28</v>
      </c>
      <c r="H887" s="9">
        <v>138</v>
      </c>
      <c r="I887" s="5">
        <v>180</v>
      </c>
      <c r="J887" s="5">
        <f t="shared" si="13"/>
        <v>24840</v>
      </c>
      <c r="K887" s="9">
        <v>18</v>
      </c>
      <c r="L887" s="9" t="s">
        <v>35</v>
      </c>
      <c r="M887" s="9">
        <v>4</v>
      </c>
    </row>
    <row r="888" spans="2:13" ht="15.6" thickTop="1" thickBot="1" x14ac:dyDescent="0.35">
      <c r="B888" s="6">
        <v>886</v>
      </c>
      <c r="C888" s="7" t="s">
        <v>11</v>
      </c>
      <c r="D888" s="18">
        <v>45544</v>
      </c>
      <c r="E888" s="7" t="s">
        <v>22</v>
      </c>
      <c r="F888" s="7" t="s">
        <v>25</v>
      </c>
      <c r="G888" s="7" t="s">
        <v>29</v>
      </c>
      <c r="H888" s="7">
        <v>162</v>
      </c>
      <c r="I888" s="5">
        <v>225</v>
      </c>
      <c r="J888" s="5">
        <f t="shared" si="13"/>
        <v>36450</v>
      </c>
      <c r="K888" s="7">
        <v>14</v>
      </c>
      <c r="L888" s="7" t="s">
        <v>35</v>
      </c>
      <c r="M888" s="7">
        <v>2</v>
      </c>
    </row>
    <row r="889" spans="2:13" ht="15.6" thickTop="1" thickBot="1" x14ac:dyDescent="0.35">
      <c r="B889" s="8">
        <v>887</v>
      </c>
      <c r="C889" s="9" t="s">
        <v>11</v>
      </c>
      <c r="D889" s="19">
        <v>45545</v>
      </c>
      <c r="E889" s="9" t="s">
        <v>17</v>
      </c>
      <c r="F889" s="9" t="s">
        <v>24</v>
      </c>
      <c r="G889" s="9" t="s">
        <v>31</v>
      </c>
      <c r="H889" s="9">
        <v>243</v>
      </c>
      <c r="I889" s="5">
        <v>225</v>
      </c>
      <c r="J889" s="5">
        <f t="shared" si="13"/>
        <v>54675</v>
      </c>
      <c r="K889" s="9">
        <v>16</v>
      </c>
      <c r="L889" s="9" t="s">
        <v>33</v>
      </c>
      <c r="M889" s="9">
        <v>1</v>
      </c>
    </row>
    <row r="890" spans="2:13" ht="15.6" thickTop="1" thickBot="1" x14ac:dyDescent="0.35">
      <c r="B890" s="6">
        <v>888</v>
      </c>
      <c r="C890" s="7" t="s">
        <v>10</v>
      </c>
      <c r="D890" s="18">
        <v>45546</v>
      </c>
      <c r="E890" s="7" t="s">
        <v>15</v>
      </c>
      <c r="F890" s="7" t="s">
        <v>25</v>
      </c>
      <c r="G890" s="7" t="s">
        <v>32</v>
      </c>
      <c r="H890" s="7">
        <v>162</v>
      </c>
      <c r="I890" s="5">
        <v>90</v>
      </c>
      <c r="J890" s="5">
        <f t="shared" si="13"/>
        <v>14580</v>
      </c>
      <c r="K890" s="7">
        <v>12</v>
      </c>
      <c r="L890" s="7" t="s">
        <v>33</v>
      </c>
      <c r="M890" s="7">
        <v>3</v>
      </c>
    </row>
    <row r="891" spans="2:13" ht="15.6" thickTop="1" thickBot="1" x14ac:dyDescent="0.35">
      <c r="B891" s="8">
        <v>889</v>
      </c>
      <c r="C891" s="9" t="s">
        <v>10</v>
      </c>
      <c r="D891" s="19">
        <v>45547</v>
      </c>
      <c r="E891" s="9" t="s">
        <v>18</v>
      </c>
      <c r="F891" s="9" t="s">
        <v>27</v>
      </c>
      <c r="G891" s="9" t="s">
        <v>30</v>
      </c>
      <c r="H891" s="9">
        <v>232</v>
      </c>
      <c r="I891" s="5">
        <v>135</v>
      </c>
      <c r="J891" s="5">
        <f t="shared" si="13"/>
        <v>31320</v>
      </c>
      <c r="K891" s="9">
        <v>13</v>
      </c>
      <c r="L891" s="9" t="s">
        <v>34</v>
      </c>
      <c r="M891" s="9">
        <v>1</v>
      </c>
    </row>
    <row r="892" spans="2:13" ht="15.6" thickTop="1" thickBot="1" x14ac:dyDescent="0.35">
      <c r="B892" s="6">
        <v>890</v>
      </c>
      <c r="C892" s="7" t="s">
        <v>11</v>
      </c>
      <c r="D892" s="18">
        <v>45548</v>
      </c>
      <c r="E892" s="7" t="s">
        <v>21</v>
      </c>
      <c r="F892" s="7" t="s">
        <v>26</v>
      </c>
      <c r="G892" s="7" t="s">
        <v>28</v>
      </c>
      <c r="H892" s="7">
        <v>187</v>
      </c>
      <c r="I892" s="5">
        <v>135</v>
      </c>
      <c r="J892" s="5">
        <f t="shared" si="13"/>
        <v>25245</v>
      </c>
      <c r="K892" s="7">
        <v>13</v>
      </c>
      <c r="L892" s="7" t="s">
        <v>34</v>
      </c>
      <c r="M892" s="7">
        <v>5</v>
      </c>
    </row>
    <row r="893" spans="2:13" ht="15.6" thickTop="1" thickBot="1" x14ac:dyDescent="0.35">
      <c r="B893" s="8">
        <v>891</v>
      </c>
      <c r="C893" s="9" t="s">
        <v>10</v>
      </c>
      <c r="D893" s="19">
        <v>45549</v>
      </c>
      <c r="E893" s="9" t="s">
        <v>13</v>
      </c>
      <c r="F893" s="9" t="s">
        <v>24</v>
      </c>
      <c r="G893" s="9" t="s">
        <v>32</v>
      </c>
      <c r="H893" s="9">
        <v>124</v>
      </c>
      <c r="I893" s="5">
        <v>45</v>
      </c>
      <c r="J893" s="5">
        <f t="shared" si="13"/>
        <v>5580</v>
      </c>
      <c r="K893" s="9">
        <v>19</v>
      </c>
      <c r="L893" s="9" t="s">
        <v>34</v>
      </c>
      <c r="M893" s="9">
        <v>2</v>
      </c>
    </row>
    <row r="894" spans="2:13" ht="15.6" thickTop="1" thickBot="1" x14ac:dyDescent="0.35">
      <c r="B894" s="6">
        <v>892</v>
      </c>
      <c r="C894" s="7" t="s">
        <v>10</v>
      </c>
      <c r="D894" s="18">
        <v>45550</v>
      </c>
      <c r="E894" s="7" t="s">
        <v>17</v>
      </c>
      <c r="F894" s="7" t="s">
        <v>24</v>
      </c>
      <c r="G894" s="7" t="s">
        <v>31</v>
      </c>
      <c r="H894" s="7">
        <v>177</v>
      </c>
      <c r="I894" s="5">
        <v>225</v>
      </c>
      <c r="J894" s="5">
        <f t="shared" si="13"/>
        <v>39825</v>
      </c>
      <c r="K894" s="7">
        <v>25</v>
      </c>
      <c r="L894" s="7" t="s">
        <v>34</v>
      </c>
      <c r="M894" s="7">
        <v>2</v>
      </c>
    </row>
    <row r="895" spans="2:13" ht="15.6" thickTop="1" thickBot="1" x14ac:dyDescent="0.35">
      <c r="B895" s="8">
        <v>893</v>
      </c>
      <c r="C895" s="9" t="s">
        <v>10</v>
      </c>
      <c r="D895" s="19">
        <v>45551</v>
      </c>
      <c r="E895" s="9" t="s">
        <v>22</v>
      </c>
      <c r="F895" s="9" t="s">
        <v>25</v>
      </c>
      <c r="G895" s="9" t="s">
        <v>29</v>
      </c>
      <c r="H895" s="9">
        <v>104</v>
      </c>
      <c r="I895" s="5">
        <v>135</v>
      </c>
      <c r="J895" s="5">
        <f t="shared" si="13"/>
        <v>14040</v>
      </c>
      <c r="K895" s="9">
        <v>23</v>
      </c>
      <c r="L895" s="9" t="s">
        <v>34</v>
      </c>
      <c r="M895" s="9">
        <v>2</v>
      </c>
    </row>
    <row r="896" spans="2:13" ht="15.6" thickTop="1" thickBot="1" x14ac:dyDescent="0.35">
      <c r="B896" s="6">
        <v>894</v>
      </c>
      <c r="C896" s="7" t="s">
        <v>10</v>
      </c>
      <c r="D896" s="18">
        <v>45552</v>
      </c>
      <c r="E896" s="7" t="s">
        <v>12</v>
      </c>
      <c r="F896" s="7" t="s">
        <v>23</v>
      </c>
      <c r="G896" s="7" t="s">
        <v>28</v>
      </c>
      <c r="H896" s="7">
        <v>223</v>
      </c>
      <c r="I896" s="5">
        <v>90</v>
      </c>
      <c r="J896" s="5">
        <f t="shared" si="13"/>
        <v>20070</v>
      </c>
      <c r="K896" s="7">
        <v>13</v>
      </c>
      <c r="L896" s="7" t="s">
        <v>34</v>
      </c>
      <c r="M896" s="7"/>
    </row>
    <row r="897" spans="2:13" ht="15.6" thickTop="1" thickBot="1" x14ac:dyDescent="0.35">
      <c r="B897" s="8">
        <v>895</v>
      </c>
      <c r="C897" s="9" t="s">
        <v>10</v>
      </c>
      <c r="D897" s="19">
        <v>45553</v>
      </c>
      <c r="E897" s="9" t="s">
        <v>18</v>
      </c>
      <c r="F897" s="9" t="s">
        <v>27</v>
      </c>
      <c r="G897" s="9" t="s">
        <v>30</v>
      </c>
      <c r="H897" s="9">
        <v>139</v>
      </c>
      <c r="I897" s="5">
        <v>135</v>
      </c>
      <c r="J897" s="5">
        <f t="shared" si="13"/>
        <v>18765</v>
      </c>
      <c r="K897" s="9">
        <v>16</v>
      </c>
      <c r="L897" s="9" t="s">
        <v>35</v>
      </c>
      <c r="M897" s="9">
        <v>2</v>
      </c>
    </row>
    <row r="898" spans="2:13" ht="15.6" thickTop="1" thickBot="1" x14ac:dyDescent="0.35">
      <c r="B898" s="6">
        <v>896</v>
      </c>
      <c r="C898" s="7" t="s">
        <v>11</v>
      </c>
      <c r="D898" s="18">
        <v>45554</v>
      </c>
      <c r="E898" s="7" t="s">
        <v>12</v>
      </c>
      <c r="F898" s="7" t="s">
        <v>23</v>
      </c>
      <c r="G898" s="7" t="s">
        <v>29</v>
      </c>
      <c r="H898" s="7">
        <v>44</v>
      </c>
      <c r="I898" s="5">
        <v>180</v>
      </c>
      <c r="J898" s="5">
        <f t="shared" si="13"/>
        <v>7920</v>
      </c>
      <c r="K898" s="7">
        <v>8</v>
      </c>
      <c r="L898" s="7" t="s">
        <v>35</v>
      </c>
      <c r="M898" s="7">
        <v>1</v>
      </c>
    </row>
    <row r="899" spans="2:13" ht="15.6" thickTop="1" thickBot="1" x14ac:dyDescent="0.35">
      <c r="B899" s="8">
        <v>897</v>
      </c>
      <c r="C899" s="9" t="s">
        <v>10</v>
      </c>
      <c r="D899" s="19">
        <v>45555</v>
      </c>
      <c r="E899" s="9" t="s">
        <v>18</v>
      </c>
      <c r="F899" s="9" t="s">
        <v>27</v>
      </c>
      <c r="G899" s="9" t="s">
        <v>31</v>
      </c>
      <c r="H899" s="9">
        <v>244</v>
      </c>
      <c r="I899" s="5">
        <v>45</v>
      </c>
      <c r="J899" s="5">
        <f t="shared" si="13"/>
        <v>10980</v>
      </c>
      <c r="K899" s="9">
        <v>22</v>
      </c>
      <c r="L899" s="9" t="s">
        <v>33</v>
      </c>
      <c r="M899" s="9">
        <v>1</v>
      </c>
    </row>
    <row r="900" spans="2:13" ht="15.6" thickTop="1" thickBot="1" x14ac:dyDescent="0.35">
      <c r="B900" s="6">
        <v>898</v>
      </c>
      <c r="C900" s="7" t="s">
        <v>11</v>
      </c>
      <c r="D900" s="18">
        <v>45556</v>
      </c>
      <c r="E900" s="7" t="s">
        <v>16</v>
      </c>
      <c r="F900" s="7" t="s">
        <v>26</v>
      </c>
      <c r="G900" s="7" t="s">
        <v>29</v>
      </c>
      <c r="H900" s="7">
        <v>191</v>
      </c>
      <c r="I900" s="5">
        <v>225</v>
      </c>
      <c r="J900" s="5">
        <f t="shared" ref="J900:J963" si="14">H900*I900</f>
        <v>42975</v>
      </c>
      <c r="K900" s="7">
        <v>18</v>
      </c>
      <c r="L900" s="7" t="s">
        <v>35</v>
      </c>
      <c r="M900" s="7">
        <v>4</v>
      </c>
    </row>
    <row r="901" spans="2:13" ht="15.6" thickTop="1" thickBot="1" x14ac:dyDescent="0.35">
      <c r="B901" s="8">
        <v>899</v>
      </c>
      <c r="C901" s="9" t="s">
        <v>10</v>
      </c>
      <c r="D901" s="19">
        <v>45557</v>
      </c>
      <c r="E901" s="9" t="s">
        <v>12</v>
      </c>
      <c r="F901" s="9" t="s">
        <v>23</v>
      </c>
      <c r="G901" s="9" t="s">
        <v>32</v>
      </c>
      <c r="H901" s="9">
        <v>75</v>
      </c>
      <c r="I901" s="5">
        <v>45</v>
      </c>
      <c r="J901" s="5">
        <f t="shared" si="14"/>
        <v>3375</v>
      </c>
      <c r="K901" s="9">
        <v>23</v>
      </c>
      <c r="L901" s="9" t="s">
        <v>34</v>
      </c>
      <c r="M901" s="9">
        <v>1</v>
      </c>
    </row>
    <row r="902" spans="2:13" ht="15.6" thickTop="1" thickBot="1" x14ac:dyDescent="0.35">
      <c r="B902" s="6">
        <v>900</v>
      </c>
      <c r="C902" s="7" t="s">
        <v>11</v>
      </c>
      <c r="D902" s="18">
        <v>45558</v>
      </c>
      <c r="E902" s="7" t="s">
        <v>21</v>
      </c>
      <c r="F902" s="7" t="s">
        <v>26</v>
      </c>
      <c r="G902" s="7" t="s">
        <v>28</v>
      </c>
      <c r="H902" s="7">
        <v>152</v>
      </c>
      <c r="I902" s="5">
        <v>90</v>
      </c>
      <c r="J902" s="5">
        <f t="shared" si="14"/>
        <v>13680</v>
      </c>
      <c r="K902" s="7">
        <v>15</v>
      </c>
      <c r="L902" s="7" t="s">
        <v>34</v>
      </c>
      <c r="M902" s="7">
        <v>1</v>
      </c>
    </row>
    <row r="903" spans="2:13" ht="15.6" thickTop="1" thickBot="1" x14ac:dyDescent="0.35">
      <c r="B903" s="8">
        <v>901</v>
      </c>
      <c r="C903" s="9" t="s">
        <v>10</v>
      </c>
      <c r="D903" s="19">
        <v>45559</v>
      </c>
      <c r="E903" s="9" t="s">
        <v>12</v>
      </c>
      <c r="F903" s="9" t="s">
        <v>23</v>
      </c>
      <c r="G903" s="9" t="s">
        <v>32</v>
      </c>
      <c r="H903" s="9">
        <v>173</v>
      </c>
      <c r="I903" s="5">
        <v>135</v>
      </c>
      <c r="J903" s="5">
        <f t="shared" si="14"/>
        <v>23355</v>
      </c>
      <c r="K903" s="9">
        <v>16</v>
      </c>
      <c r="L903" s="9" t="s">
        <v>33</v>
      </c>
      <c r="M903" s="9">
        <v>2</v>
      </c>
    </row>
    <row r="904" spans="2:13" ht="15.6" thickTop="1" thickBot="1" x14ac:dyDescent="0.35">
      <c r="B904" s="6">
        <v>902</v>
      </c>
      <c r="C904" s="7" t="s">
        <v>11</v>
      </c>
      <c r="D904" s="18">
        <v>45560</v>
      </c>
      <c r="E904" s="7" t="s">
        <v>21</v>
      </c>
      <c r="F904" s="7" t="s">
        <v>26</v>
      </c>
      <c r="G904" s="7" t="s">
        <v>28</v>
      </c>
      <c r="H904" s="7">
        <v>246</v>
      </c>
      <c r="I904" s="5">
        <v>180</v>
      </c>
      <c r="J904" s="5">
        <f t="shared" si="14"/>
        <v>44280</v>
      </c>
      <c r="K904" s="7">
        <v>20</v>
      </c>
      <c r="L904" s="7" t="s">
        <v>35</v>
      </c>
      <c r="M904" s="7">
        <v>1</v>
      </c>
    </row>
    <row r="905" spans="2:13" ht="15.6" thickTop="1" thickBot="1" x14ac:dyDescent="0.35">
      <c r="B905" s="8">
        <v>903</v>
      </c>
      <c r="C905" s="9" t="s">
        <v>11</v>
      </c>
      <c r="D905" s="19">
        <v>45561</v>
      </c>
      <c r="E905" s="9" t="s">
        <v>16</v>
      </c>
      <c r="F905" s="9" t="s">
        <v>26</v>
      </c>
      <c r="G905" s="9" t="s">
        <v>30</v>
      </c>
      <c r="H905" s="9">
        <v>99</v>
      </c>
      <c r="I905" s="5">
        <v>180</v>
      </c>
      <c r="J905" s="5">
        <f t="shared" si="14"/>
        <v>17820</v>
      </c>
      <c r="K905" s="9">
        <v>7</v>
      </c>
      <c r="L905" s="9" t="s">
        <v>34</v>
      </c>
      <c r="M905" s="9">
        <v>4</v>
      </c>
    </row>
    <row r="906" spans="2:13" ht="15.6" thickTop="1" thickBot="1" x14ac:dyDescent="0.35">
      <c r="B906" s="6">
        <v>904</v>
      </c>
      <c r="C906" s="7" t="s">
        <v>10</v>
      </c>
      <c r="D906" s="18">
        <v>45562</v>
      </c>
      <c r="E906" s="7" t="s">
        <v>13</v>
      </c>
      <c r="F906" s="7" t="s">
        <v>24</v>
      </c>
      <c r="G906" s="7" t="s">
        <v>31</v>
      </c>
      <c r="H906" s="7">
        <v>221</v>
      </c>
      <c r="I906" s="5">
        <v>135</v>
      </c>
      <c r="J906" s="5">
        <f t="shared" si="14"/>
        <v>29835</v>
      </c>
      <c r="K906" s="7">
        <v>18</v>
      </c>
      <c r="L906" s="7" t="s">
        <v>34</v>
      </c>
      <c r="M906" s="7">
        <v>1</v>
      </c>
    </row>
    <row r="907" spans="2:13" ht="15.6" thickTop="1" thickBot="1" x14ac:dyDescent="0.35">
      <c r="B907" s="8">
        <v>905</v>
      </c>
      <c r="C907" s="9" t="s">
        <v>11</v>
      </c>
      <c r="D907" s="19">
        <v>45563</v>
      </c>
      <c r="E907" s="9" t="s">
        <v>14</v>
      </c>
      <c r="F907" s="9" t="s">
        <v>25</v>
      </c>
      <c r="G907" s="9" t="s">
        <v>30</v>
      </c>
      <c r="H907" s="9">
        <v>197</v>
      </c>
      <c r="I907" s="5">
        <v>45</v>
      </c>
      <c r="J907" s="5">
        <f t="shared" si="14"/>
        <v>8865</v>
      </c>
      <c r="K907" s="9">
        <v>17</v>
      </c>
      <c r="L907" s="9" t="s">
        <v>34</v>
      </c>
      <c r="M907" s="9"/>
    </row>
    <row r="908" spans="2:13" ht="15.6" thickTop="1" thickBot="1" x14ac:dyDescent="0.35">
      <c r="B908" s="6">
        <v>906</v>
      </c>
      <c r="C908" s="7" t="s">
        <v>11</v>
      </c>
      <c r="D908" s="18">
        <v>45564</v>
      </c>
      <c r="E908" s="7" t="s">
        <v>18</v>
      </c>
      <c r="F908" s="7" t="s">
        <v>27</v>
      </c>
      <c r="G908" s="7" t="s">
        <v>29</v>
      </c>
      <c r="H908" s="7">
        <v>227</v>
      </c>
      <c r="I908" s="5">
        <v>90</v>
      </c>
      <c r="J908" s="5">
        <f t="shared" si="14"/>
        <v>20430</v>
      </c>
      <c r="K908" s="7">
        <v>19</v>
      </c>
      <c r="L908" s="7" t="s">
        <v>34</v>
      </c>
      <c r="M908" s="7">
        <v>2</v>
      </c>
    </row>
    <row r="909" spans="2:13" ht="15.6" thickTop="1" thickBot="1" x14ac:dyDescent="0.35">
      <c r="B909" s="8">
        <v>907</v>
      </c>
      <c r="C909" s="9" t="s">
        <v>10</v>
      </c>
      <c r="D909" s="19">
        <v>45565</v>
      </c>
      <c r="E909" s="9" t="s">
        <v>12</v>
      </c>
      <c r="F909" s="9" t="s">
        <v>23</v>
      </c>
      <c r="G909" s="9" t="s">
        <v>28</v>
      </c>
      <c r="H909" s="9">
        <v>166</v>
      </c>
      <c r="I909" s="5">
        <v>45</v>
      </c>
      <c r="J909" s="5">
        <f t="shared" si="14"/>
        <v>7470</v>
      </c>
      <c r="K909" s="9">
        <v>20</v>
      </c>
      <c r="L909" s="9" t="s">
        <v>33</v>
      </c>
      <c r="M909" s="9">
        <v>2</v>
      </c>
    </row>
    <row r="910" spans="2:13" ht="15.6" thickTop="1" thickBot="1" x14ac:dyDescent="0.35">
      <c r="B910" s="6">
        <v>908</v>
      </c>
      <c r="C910" s="7" t="s">
        <v>11</v>
      </c>
      <c r="D910" s="18">
        <v>45566</v>
      </c>
      <c r="E910" s="7" t="s">
        <v>20</v>
      </c>
      <c r="F910" s="7" t="s">
        <v>20</v>
      </c>
      <c r="G910" s="7" t="s">
        <v>32</v>
      </c>
      <c r="H910" s="7">
        <v>173</v>
      </c>
      <c r="I910" s="5">
        <v>225</v>
      </c>
      <c r="J910" s="5">
        <f t="shared" si="14"/>
        <v>38925</v>
      </c>
      <c r="K910" s="7">
        <v>10</v>
      </c>
      <c r="L910" s="7" t="s">
        <v>33</v>
      </c>
      <c r="M910" s="7">
        <v>2</v>
      </c>
    </row>
    <row r="911" spans="2:13" ht="15.6" thickTop="1" thickBot="1" x14ac:dyDescent="0.35">
      <c r="B911" s="8">
        <v>909</v>
      </c>
      <c r="C911" s="9" t="s">
        <v>10</v>
      </c>
      <c r="D911" s="19">
        <v>45567</v>
      </c>
      <c r="E911" s="9" t="s">
        <v>22</v>
      </c>
      <c r="F911" s="9" t="s">
        <v>25</v>
      </c>
      <c r="G911" s="9" t="s">
        <v>31</v>
      </c>
      <c r="H911" s="9">
        <v>157</v>
      </c>
      <c r="I911" s="5">
        <v>225</v>
      </c>
      <c r="J911" s="5">
        <f t="shared" si="14"/>
        <v>35325</v>
      </c>
      <c r="K911" s="9">
        <v>18</v>
      </c>
      <c r="L911" s="9" t="s">
        <v>34</v>
      </c>
      <c r="M911" s="9">
        <v>4</v>
      </c>
    </row>
    <row r="912" spans="2:13" ht="15.6" thickTop="1" thickBot="1" x14ac:dyDescent="0.35">
      <c r="B912" s="6">
        <v>910</v>
      </c>
      <c r="C912" s="7" t="s">
        <v>11</v>
      </c>
      <c r="D912" s="18">
        <v>45568</v>
      </c>
      <c r="E912" s="7" t="s">
        <v>14</v>
      </c>
      <c r="F912" s="7" t="s">
        <v>25</v>
      </c>
      <c r="G912" s="7" t="s">
        <v>29</v>
      </c>
      <c r="H912" s="7">
        <v>192</v>
      </c>
      <c r="I912" s="5">
        <v>225</v>
      </c>
      <c r="J912" s="5">
        <f t="shared" si="14"/>
        <v>43200</v>
      </c>
      <c r="K912" s="7">
        <v>18</v>
      </c>
      <c r="L912" s="7" t="s">
        <v>33</v>
      </c>
      <c r="M912" s="7">
        <v>4</v>
      </c>
    </row>
    <row r="913" spans="2:13" ht="15.6" thickTop="1" thickBot="1" x14ac:dyDescent="0.35">
      <c r="B913" s="8">
        <v>911</v>
      </c>
      <c r="C913" s="9" t="s">
        <v>11</v>
      </c>
      <c r="D913" s="19">
        <v>45569</v>
      </c>
      <c r="E913" s="9" t="s">
        <v>13</v>
      </c>
      <c r="F913" s="9" t="s">
        <v>24</v>
      </c>
      <c r="G913" s="9" t="s">
        <v>30</v>
      </c>
      <c r="H913" s="9">
        <v>246</v>
      </c>
      <c r="I913" s="5">
        <v>180</v>
      </c>
      <c r="J913" s="5">
        <f t="shared" si="14"/>
        <v>44280</v>
      </c>
      <c r="K913" s="9">
        <v>8</v>
      </c>
      <c r="L913" s="9" t="s">
        <v>33</v>
      </c>
      <c r="M913" s="9">
        <v>5</v>
      </c>
    </row>
    <row r="914" spans="2:13" ht="15.6" thickTop="1" thickBot="1" x14ac:dyDescent="0.35">
      <c r="B914" s="6">
        <v>912</v>
      </c>
      <c r="C914" s="7" t="s">
        <v>11</v>
      </c>
      <c r="D914" s="18">
        <v>45570</v>
      </c>
      <c r="E914" s="7" t="s">
        <v>19</v>
      </c>
      <c r="F914" s="7" t="s">
        <v>23</v>
      </c>
      <c r="G914" s="7" t="s">
        <v>32</v>
      </c>
      <c r="H914" s="7">
        <v>126</v>
      </c>
      <c r="I914" s="5">
        <v>180</v>
      </c>
      <c r="J914" s="5">
        <f t="shared" si="14"/>
        <v>22680</v>
      </c>
      <c r="K914" s="7">
        <v>20</v>
      </c>
      <c r="L914" s="7" t="s">
        <v>35</v>
      </c>
      <c r="M914" s="7"/>
    </row>
    <row r="915" spans="2:13" ht="15.6" thickTop="1" thickBot="1" x14ac:dyDescent="0.35">
      <c r="B915" s="8">
        <v>913</v>
      </c>
      <c r="C915" s="9" t="s">
        <v>11</v>
      </c>
      <c r="D915" s="19">
        <v>45571</v>
      </c>
      <c r="E915" s="9" t="s">
        <v>13</v>
      </c>
      <c r="F915" s="9" t="s">
        <v>24</v>
      </c>
      <c r="G915" s="9" t="s">
        <v>32</v>
      </c>
      <c r="H915" s="9">
        <v>62</v>
      </c>
      <c r="I915" s="5">
        <v>45</v>
      </c>
      <c r="J915" s="5">
        <f t="shared" si="14"/>
        <v>2790</v>
      </c>
      <c r="K915" s="9">
        <v>15</v>
      </c>
      <c r="L915" s="9" t="s">
        <v>34</v>
      </c>
      <c r="M915" s="9">
        <v>2</v>
      </c>
    </row>
    <row r="916" spans="2:13" ht="15.6" thickTop="1" thickBot="1" x14ac:dyDescent="0.35">
      <c r="B916" s="6">
        <v>914</v>
      </c>
      <c r="C916" s="7" t="s">
        <v>11</v>
      </c>
      <c r="D916" s="18">
        <v>45572</v>
      </c>
      <c r="E916" s="7" t="s">
        <v>21</v>
      </c>
      <c r="F916" s="7" t="s">
        <v>26</v>
      </c>
      <c r="G916" s="7" t="s">
        <v>30</v>
      </c>
      <c r="H916" s="7">
        <v>148</v>
      </c>
      <c r="I916" s="5">
        <v>225</v>
      </c>
      <c r="J916" s="5">
        <f t="shared" si="14"/>
        <v>33300</v>
      </c>
      <c r="K916" s="7">
        <v>17</v>
      </c>
      <c r="L916" s="7" t="s">
        <v>35</v>
      </c>
      <c r="M916" s="7">
        <v>2</v>
      </c>
    </row>
    <row r="917" spans="2:13" ht="15.6" thickTop="1" thickBot="1" x14ac:dyDescent="0.35">
      <c r="B917" s="8">
        <v>915</v>
      </c>
      <c r="C917" s="9" t="s">
        <v>11</v>
      </c>
      <c r="D917" s="19">
        <v>45573</v>
      </c>
      <c r="E917" s="9" t="s">
        <v>15</v>
      </c>
      <c r="F917" s="9" t="s">
        <v>25</v>
      </c>
      <c r="G917" s="9" t="s">
        <v>32</v>
      </c>
      <c r="H917" s="9">
        <v>205</v>
      </c>
      <c r="I917" s="5">
        <v>45</v>
      </c>
      <c r="J917" s="5">
        <f t="shared" si="14"/>
        <v>9225</v>
      </c>
      <c r="K917" s="9">
        <v>10</v>
      </c>
      <c r="L917" s="9" t="s">
        <v>34</v>
      </c>
      <c r="M917" s="9">
        <v>5</v>
      </c>
    </row>
    <row r="918" spans="2:13" ht="15.6" thickTop="1" thickBot="1" x14ac:dyDescent="0.35">
      <c r="B918" s="6">
        <v>916</v>
      </c>
      <c r="C918" s="7" t="s">
        <v>10</v>
      </c>
      <c r="D918" s="18">
        <v>45574</v>
      </c>
      <c r="E918" s="7" t="s">
        <v>22</v>
      </c>
      <c r="F918" s="7" t="s">
        <v>25</v>
      </c>
      <c r="G918" s="7" t="s">
        <v>30</v>
      </c>
      <c r="H918" s="7">
        <v>163</v>
      </c>
      <c r="I918" s="5">
        <v>135</v>
      </c>
      <c r="J918" s="5">
        <f t="shared" si="14"/>
        <v>22005</v>
      </c>
      <c r="K918" s="7">
        <v>20</v>
      </c>
      <c r="L918" s="7" t="s">
        <v>35</v>
      </c>
      <c r="M918" s="7">
        <v>5</v>
      </c>
    </row>
    <row r="919" spans="2:13" ht="15.6" thickTop="1" thickBot="1" x14ac:dyDescent="0.35">
      <c r="B919" s="8">
        <v>917</v>
      </c>
      <c r="C919" s="9" t="s">
        <v>11</v>
      </c>
      <c r="D919" s="19">
        <v>45575</v>
      </c>
      <c r="E919" s="9" t="s">
        <v>17</v>
      </c>
      <c r="F919" s="9" t="s">
        <v>24</v>
      </c>
      <c r="G919" s="9" t="s">
        <v>31</v>
      </c>
      <c r="H919" s="9">
        <v>54</v>
      </c>
      <c r="I919" s="5">
        <v>135</v>
      </c>
      <c r="J919" s="5">
        <f t="shared" si="14"/>
        <v>7290</v>
      </c>
      <c r="K919" s="9">
        <v>18</v>
      </c>
      <c r="L919" s="9" t="s">
        <v>33</v>
      </c>
      <c r="M919" s="9"/>
    </row>
    <row r="920" spans="2:13" ht="15.6" thickTop="1" thickBot="1" x14ac:dyDescent="0.35">
      <c r="B920" s="6">
        <v>918</v>
      </c>
      <c r="C920" s="7" t="s">
        <v>10</v>
      </c>
      <c r="D920" s="18">
        <v>45576</v>
      </c>
      <c r="E920" s="7" t="s">
        <v>17</v>
      </c>
      <c r="F920" s="7" t="s">
        <v>24</v>
      </c>
      <c r="G920" s="7" t="s">
        <v>29</v>
      </c>
      <c r="H920" s="7">
        <v>78</v>
      </c>
      <c r="I920" s="5">
        <v>90</v>
      </c>
      <c r="J920" s="5">
        <f t="shared" si="14"/>
        <v>7020</v>
      </c>
      <c r="K920" s="7">
        <v>16</v>
      </c>
      <c r="L920" s="7" t="s">
        <v>34</v>
      </c>
      <c r="M920" s="7">
        <v>1</v>
      </c>
    </row>
    <row r="921" spans="2:13" ht="15.6" thickTop="1" thickBot="1" x14ac:dyDescent="0.35">
      <c r="B921" s="8">
        <v>919</v>
      </c>
      <c r="C921" s="9" t="s">
        <v>11</v>
      </c>
      <c r="D921" s="19">
        <v>45577</v>
      </c>
      <c r="E921" s="9" t="s">
        <v>19</v>
      </c>
      <c r="F921" s="9" t="s">
        <v>23</v>
      </c>
      <c r="G921" s="9" t="s">
        <v>29</v>
      </c>
      <c r="H921" s="9">
        <v>163</v>
      </c>
      <c r="I921" s="5">
        <v>180</v>
      </c>
      <c r="J921" s="5">
        <f t="shared" si="14"/>
        <v>29340</v>
      </c>
      <c r="K921" s="9">
        <v>13</v>
      </c>
      <c r="L921" s="9" t="s">
        <v>33</v>
      </c>
      <c r="M921" s="9">
        <v>3</v>
      </c>
    </row>
    <row r="922" spans="2:13" ht="15.6" thickTop="1" thickBot="1" x14ac:dyDescent="0.35">
      <c r="B922" s="6">
        <v>920</v>
      </c>
      <c r="C922" s="7" t="s">
        <v>10</v>
      </c>
      <c r="D922" s="18">
        <v>45578</v>
      </c>
      <c r="E922" s="7" t="s">
        <v>14</v>
      </c>
      <c r="F922" s="7" t="s">
        <v>25</v>
      </c>
      <c r="G922" s="7" t="s">
        <v>30</v>
      </c>
      <c r="H922" s="7">
        <v>157</v>
      </c>
      <c r="I922" s="5">
        <v>90</v>
      </c>
      <c r="J922" s="5">
        <f t="shared" si="14"/>
        <v>14130</v>
      </c>
      <c r="K922" s="7">
        <v>21</v>
      </c>
      <c r="L922" s="7" t="s">
        <v>35</v>
      </c>
      <c r="M922" s="7">
        <v>3</v>
      </c>
    </row>
    <row r="923" spans="2:13" ht="15.6" thickTop="1" thickBot="1" x14ac:dyDescent="0.35">
      <c r="B923" s="8">
        <v>921</v>
      </c>
      <c r="C923" s="9" t="s">
        <v>11</v>
      </c>
      <c r="D923" s="19">
        <v>45579</v>
      </c>
      <c r="E923" s="9" t="s">
        <v>16</v>
      </c>
      <c r="F923" s="9" t="s">
        <v>26</v>
      </c>
      <c r="G923" s="9" t="s">
        <v>30</v>
      </c>
      <c r="H923" s="9">
        <v>76</v>
      </c>
      <c r="I923" s="5">
        <v>90</v>
      </c>
      <c r="J923" s="5">
        <f t="shared" si="14"/>
        <v>6840</v>
      </c>
      <c r="K923" s="9">
        <v>16</v>
      </c>
      <c r="L923" s="9" t="s">
        <v>33</v>
      </c>
      <c r="M923" s="9">
        <v>1</v>
      </c>
    </row>
    <row r="924" spans="2:13" ht="15.6" thickTop="1" thickBot="1" x14ac:dyDescent="0.35">
      <c r="B924" s="6">
        <v>922</v>
      </c>
      <c r="C924" s="7" t="s">
        <v>11</v>
      </c>
      <c r="D924" s="18">
        <v>45580</v>
      </c>
      <c r="E924" s="7" t="s">
        <v>14</v>
      </c>
      <c r="F924" s="7" t="s">
        <v>25</v>
      </c>
      <c r="G924" s="7" t="s">
        <v>31</v>
      </c>
      <c r="H924" s="7">
        <v>123</v>
      </c>
      <c r="I924" s="5">
        <v>45</v>
      </c>
      <c r="J924" s="5">
        <f t="shared" si="14"/>
        <v>5535</v>
      </c>
      <c r="K924" s="7">
        <v>19</v>
      </c>
      <c r="L924" s="7" t="s">
        <v>34</v>
      </c>
      <c r="M924" s="7">
        <v>3</v>
      </c>
    </row>
    <row r="925" spans="2:13" ht="15.6" thickTop="1" thickBot="1" x14ac:dyDescent="0.35">
      <c r="B925" s="8">
        <v>923</v>
      </c>
      <c r="C925" s="9" t="s">
        <v>10</v>
      </c>
      <c r="D925" s="19">
        <v>45581</v>
      </c>
      <c r="E925" s="9" t="s">
        <v>18</v>
      </c>
      <c r="F925" s="9" t="s">
        <v>27</v>
      </c>
      <c r="G925" s="9" t="s">
        <v>32</v>
      </c>
      <c r="H925" s="9">
        <v>42</v>
      </c>
      <c r="I925" s="5">
        <v>45</v>
      </c>
      <c r="J925" s="5">
        <f t="shared" si="14"/>
        <v>1890</v>
      </c>
      <c r="K925" s="9">
        <v>15</v>
      </c>
      <c r="L925" s="9" t="s">
        <v>33</v>
      </c>
      <c r="M925" s="9">
        <v>1</v>
      </c>
    </row>
    <row r="926" spans="2:13" ht="15.6" thickTop="1" thickBot="1" x14ac:dyDescent="0.35">
      <c r="B926" s="6">
        <v>924</v>
      </c>
      <c r="C926" s="7" t="s">
        <v>11</v>
      </c>
      <c r="D926" s="18">
        <v>45582</v>
      </c>
      <c r="E926" s="7" t="s">
        <v>20</v>
      </c>
      <c r="F926" s="7" t="s">
        <v>20</v>
      </c>
      <c r="G926" s="7" t="s">
        <v>32</v>
      </c>
      <c r="H926" s="7">
        <v>95</v>
      </c>
      <c r="I926" s="5">
        <v>45</v>
      </c>
      <c r="J926" s="5">
        <f t="shared" si="14"/>
        <v>4275</v>
      </c>
      <c r="K926" s="7">
        <v>7</v>
      </c>
      <c r="L926" s="7" t="s">
        <v>35</v>
      </c>
      <c r="M926" s="7">
        <v>3</v>
      </c>
    </row>
    <row r="927" spans="2:13" ht="15.6" thickTop="1" thickBot="1" x14ac:dyDescent="0.35">
      <c r="B927" s="8">
        <v>925</v>
      </c>
      <c r="C927" s="9" t="s">
        <v>11</v>
      </c>
      <c r="D927" s="19">
        <v>45583</v>
      </c>
      <c r="E927" s="9" t="s">
        <v>14</v>
      </c>
      <c r="F927" s="9" t="s">
        <v>25</v>
      </c>
      <c r="G927" s="9" t="s">
        <v>28</v>
      </c>
      <c r="H927" s="9">
        <v>183</v>
      </c>
      <c r="I927" s="5">
        <v>135</v>
      </c>
      <c r="J927" s="5">
        <f t="shared" si="14"/>
        <v>24705</v>
      </c>
      <c r="K927" s="9">
        <v>15</v>
      </c>
      <c r="L927" s="9" t="s">
        <v>33</v>
      </c>
      <c r="M927" s="9">
        <v>5</v>
      </c>
    </row>
    <row r="928" spans="2:13" ht="15.6" thickTop="1" thickBot="1" x14ac:dyDescent="0.35">
      <c r="B928" s="6">
        <v>926</v>
      </c>
      <c r="C928" s="7" t="s">
        <v>10</v>
      </c>
      <c r="D928" s="18">
        <v>45584</v>
      </c>
      <c r="E928" s="7" t="s">
        <v>16</v>
      </c>
      <c r="F928" s="7" t="s">
        <v>26</v>
      </c>
      <c r="G928" s="7" t="s">
        <v>30</v>
      </c>
      <c r="H928" s="7">
        <v>183</v>
      </c>
      <c r="I928" s="5">
        <v>225</v>
      </c>
      <c r="J928" s="5">
        <f t="shared" si="14"/>
        <v>41175</v>
      </c>
      <c r="K928" s="7">
        <v>13</v>
      </c>
      <c r="L928" s="7" t="s">
        <v>34</v>
      </c>
      <c r="M928" s="7">
        <v>3</v>
      </c>
    </row>
    <row r="929" spans="2:13" ht="15.6" thickTop="1" thickBot="1" x14ac:dyDescent="0.35">
      <c r="B929" s="8">
        <v>927</v>
      </c>
      <c r="C929" s="9" t="s">
        <v>10</v>
      </c>
      <c r="D929" s="19">
        <v>45585</v>
      </c>
      <c r="E929" s="9" t="s">
        <v>20</v>
      </c>
      <c r="F929" s="9" t="s">
        <v>20</v>
      </c>
      <c r="G929" s="9" t="s">
        <v>32</v>
      </c>
      <c r="H929" s="9">
        <v>119</v>
      </c>
      <c r="I929" s="5">
        <v>225</v>
      </c>
      <c r="J929" s="5">
        <f t="shared" si="14"/>
        <v>26775</v>
      </c>
      <c r="K929" s="9">
        <v>21</v>
      </c>
      <c r="L929" s="9" t="s">
        <v>34</v>
      </c>
      <c r="M929" s="9">
        <v>5</v>
      </c>
    </row>
    <row r="930" spans="2:13" ht="15.6" thickTop="1" thickBot="1" x14ac:dyDescent="0.35">
      <c r="B930" s="6">
        <v>928</v>
      </c>
      <c r="C930" s="7" t="s">
        <v>10</v>
      </c>
      <c r="D930" s="18">
        <v>45586</v>
      </c>
      <c r="E930" s="7" t="s">
        <v>17</v>
      </c>
      <c r="F930" s="7" t="s">
        <v>24</v>
      </c>
      <c r="G930" s="7" t="s">
        <v>30</v>
      </c>
      <c r="H930" s="7">
        <v>243</v>
      </c>
      <c r="I930" s="5">
        <v>180</v>
      </c>
      <c r="J930" s="5">
        <f t="shared" si="14"/>
        <v>43740</v>
      </c>
      <c r="K930" s="7">
        <v>21</v>
      </c>
      <c r="L930" s="7" t="s">
        <v>33</v>
      </c>
      <c r="M930" s="7">
        <v>1</v>
      </c>
    </row>
    <row r="931" spans="2:13" ht="15.6" thickTop="1" thickBot="1" x14ac:dyDescent="0.35">
      <c r="B931" s="8">
        <v>929</v>
      </c>
      <c r="C931" s="9" t="s">
        <v>10</v>
      </c>
      <c r="D931" s="19">
        <v>45587</v>
      </c>
      <c r="E931" s="9" t="s">
        <v>22</v>
      </c>
      <c r="F931" s="9" t="s">
        <v>25</v>
      </c>
      <c r="G931" s="9" t="s">
        <v>28</v>
      </c>
      <c r="H931" s="9">
        <v>188</v>
      </c>
      <c r="I931" s="5">
        <v>180</v>
      </c>
      <c r="J931" s="5">
        <f t="shared" si="14"/>
        <v>33840</v>
      </c>
      <c r="K931" s="9">
        <v>25</v>
      </c>
      <c r="L931" s="9" t="s">
        <v>34</v>
      </c>
      <c r="M931" s="9">
        <v>4</v>
      </c>
    </row>
    <row r="932" spans="2:13" ht="15.6" thickTop="1" thickBot="1" x14ac:dyDescent="0.35">
      <c r="B932" s="6">
        <v>930</v>
      </c>
      <c r="C932" s="7" t="s">
        <v>10</v>
      </c>
      <c r="D932" s="18">
        <v>45588</v>
      </c>
      <c r="E932" s="7" t="s">
        <v>18</v>
      </c>
      <c r="F932" s="7" t="s">
        <v>27</v>
      </c>
      <c r="G932" s="7" t="s">
        <v>31</v>
      </c>
      <c r="H932" s="7">
        <v>70</v>
      </c>
      <c r="I932" s="5">
        <v>45</v>
      </c>
      <c r="J932" s="5">
        <f t="shared" si="14"/>
        <v>3150</v>
      </c>
      <c r="K932" s="7">
        <v>13</v>
      </c>
      <c r="L932" s="7" t="s">
        <v>33</v>
      </c>
      <c r="M932" s="7">
        <v>3</v>
      </c>
    </row>
    <row r="933" spans="2:13" ht="15.6" thickTop="1" thickBot="1" x14ac:dyDescent="0.35">
      <c r="B933" s="8">
        <v>931</v>
      </c>
      <c r="C933" s="9" t="s">
        <v>11</v>
      </c>
      <c r="D933" s="19">
        <v>45589</v>
      </c>
      <c r="E933" s="9" t="s">
        <v>17</v>
      </c>
      <c r="F933" s="9" t="s">
        <v>24</v>
      </c>
      <c r="G933" s="9" t="s">
        <v>28</v>
      </c>
      <c r="H933" s="9">
        <v>206</v>
      </c>
      <c r="I933" s="5">
        <v>135</v>
      </c>
      <c r="J933" s="5">
        <f t="shared" si="14"/>
        <v>27810</v>
      </c>
      <c r="K933" s="9">
        <v>20</v>
      </c>
      <c r="L933" s="9" t="s">
        <v>33</v>
      </c>
      <c r="M933" s="9">
        <v>1</v>
      </c>
    </row>
    <row r="934" spans="2:13" ht="15.6" thickTop="1" thickBot="1" x14ac:dyDescent="0.35">
      <c r="B934" s="6">
        <v>932</v>
      </c>
      <c r="C934" s="7" t="s">
        <v>11</v>
      </c>
      <c r="D934" s="18">
        <v>45590</v>
      </c>
      <c r="E934" s="7" t="s">
        <v>16</v>
      </c>
      <c r="F934" s="7" t="s">
        <v>26</v>
      </c>
      <c r="G934" s="7" t="s">
        <v>32</v>
      </c>
      <c r="H934" s="7">
        <v>66</v>
      </c>
      <c r="I934" s="5">
        <v>90</v>
      </c>
      <c r="J934" s="5">
        <f t="shared" si="14"/>
        <v>5940</v>
      </c>
      <c r="K934" s="7">
        <v>8</v>
      </c>
      <c r="L934" s="7" t="s">
        <v>34</v>
      </c>
      <c r="M934" s="7">
        <v>2</v>
      </c>
    </row>
    <row r="935" spans="2:13" ht="15.6" thickTop="1" thickBot="1" x14ac:dyDescent="0.35">
      <c r="B935" s="8">
        <v>933</v>
      </c>
      <c r="C935" s="9" t="s">
        <v>11</v>
      </c>
      <c r="D935" s="19">
        <v>45591</v>
      </c>
      <c r="E935" s="9" t="s">
        <v>14</v>
      </c>
      <c r="F935" s="9" t="s">
        <v>25</v>
      </c>
      <c r="G935" s="9" t="s">
        <v>29</v>
      </c>
      <c r="H935" s="9">
        <v>245</v>
      </c>
      <c r="I935" s="5">
        <v>45</v>
      </c>
      <c r="J935" s="5">
        <f t="shared" si="14"/>
        <v>11025</v>
      </c>
      <c r="K935" s="9">
        <v>13</v>
      </c>
      <c r="L935" s="9" t="s">
        <v>34</v>
      </c>
      <c r="M935" s="9">
        <v>2</v>
      </c>
    </row>
    <row r="936" spans="2:13" ht="15.6" thickTop="1" thickBot="1" x14ac:dyDescent="0.35">
      <c r="B936" s="6">
        <v>934</v>
      </c>
      <c r="C936" s="7" t="s">
        <v>11</v>
      </c>
      <c r="D936" s="18">
        <v>45592</v>
      </c>
      <c r="E936" s="7" t="s">
        <v>16</v>
      </c>
      <c r="F936" s="7" t="s">
        <v>26</v>
      </c>
      <c r="G936" s="7" t="s">
        <v>31</v>
      </c>
      <c r="H936" s="7">
        <v>119</v>
      </c>
      <c r="I936" s="5">
        <v>90</v>
      </c>
      <c r="J936" s="5">
        <f t="shared" si="14"/>
        <v>10710</v>
      </c>
      <c r="K936" s="7">
        <v>15</v>
      </c>
      <c r="L936" s="7" t="s">
        <v>35</v>
      </c>
      <c r="M936" s="7">
        <v>2</v>
      </c>
    </row>
    <row r="937" spans="2:13" ht="15.6" thickTop="1" thickBot="1" x14ac:dyDescent="0.35">
      <c r="B937" s="8">
        <v>935</v>
      </c>
      <c r="C937" s="9" t="s">
        <v>10</v>
      </c>
      <c r="D937" s="19">
        <v>45593</v>
      </c>
      <c r="E937" s="9" t="s">
        <v>17</v>
      </c>
      <c r="F937" s="9" t="s">
        <v>24</v>
      </c>
      <c r="G937" s="9" t="s">
        <v>29</v>
      </c>
      <c r="H937" s="9">
        <v>117</v>
      </c>
      <c r="I937" s="5">
        <v>90</v>
      </c>
      <c r="J937" s="5">
        <f t="shared" si="14"/>
        <v>10530</v>
      </c>
      <c r="K937" s="9">
        <v>21</v>
      </c>
      <c r="L937" s="9" t="s">
        <v>35</v>
      </c>
      <c r="M937" s="9">
        <v>2</v>
      </c>
    </row>
    <row r="938" spans="2:13" ht="15.6" thickTop="1" thickBot="1" x14ac:dyDescent="0.35">
      <c r="B938" s="6">
        <v>936</v>
      </c>
      <c r="C938" s="7" t="s">
        <v>10</v>
      </c>
      <c r="D938" s="18">
        <v>45594</v>
      </c>
      <c r="E938" s="7" t="s">
        <v>19</v>
      </c>
      <c r="F938" s="7" t="s">
        <v>23</v>
      </c>
      <c r="G938" s="7" t="s">
        <v>28</v>
      </c>
      <c r="H938" s="7">
        <v>178</v>
      </c>
      <c r="I938" s="5">
        <v>180</v>
      </c>
      <c r="J938" s="5">
        <f t="shared" si="14"/>
        <v>32040</v>
      </c>
      <c r="K938" s="7">
        <v>19</v>
      </c>
      <c r="L938" s="7" t="s">
        <v>33</v>
      </c>
      <c r="M938" s="7"/>
    </row>
    <row r="939" spans="2:13" ht="15.6" thickTop="1" thickBot="1" x14ac:dyDescent="0.35">
      <c r="B939" s="8">
        <v>937</v>
      </c>
      <c r="C939" s="9" t="s">
        <v>11</v>
      </c>
      <c r="D939" s="19">
        <v>45595</v>
      </c>
      <c r="E939" s="9" t="s">
        <v>12</v>
      </c>
      <c r="F939" s="9" t="s">
        <v>23</v>
      </c>
      <c r="G939" s="9" t="s">
        <v>31</v>
      </c>
      <c r="H939" s="9">
        <v>103</v>
      </c>
      <c r="I939" s="5">
        <v>45</v>
      </c>
      <c r="J939" s="5">
        <f t="shared" si="14"/>
        <v>4635</v>
      </c>
      <c r="K939" s="9">
        <v>20</v>
      </c>
      <c r="L939" s="9" t="s">
        <v>34</v>
      </c>
      <c r="M939" s="9">
        <v>1</v>
      </c>
    </row>
    <row r="940" spans="2:13" ht="15.6" thickTop="1" thickBot="1" x14ac:dyDescent="0.35">
      <c r="B940" s="6">
        <v>938</v>
      </c>
      <c r="C940" s="7" t="s">
        <v>10</v>
      </c>
      <c r="D940" s="18">
        <v>45596</v>
      </c>
      <c r="E940" s="7" t="s">
        <v>21</v>
      </c>
      <c r="F940" s="7" t="s">
        <v>26</v>
      </c>
      <c r="G940" s="7" t="s">
        <v>29</v>
      </c>
      <c r="H940" s="7">
        <v>42</v>
      </c>
      <c r="I940" s="5">
        <v>180</v>
      </c>
      <c r="J940" s="5">
        <f t="shared" si="14"/>
        <v>7560</v>
      </c>
      <c r="K940" s="7">
        <v>18</v>
      </c>
      <c r="L940" s="7" t="s">
        <v>33</v>
      </c>
      <c r="M940" s="7">
        <v>5</v>
      </c>
    </row>
    <row r="941" spans="2:13" ht="15.6" thickTop="1" thickBot="1" x14ac:dyDescent="0.35">
      <c r="B941" s="8">
        <v>939</v>
      </c>
      <c r="C941" s="9" t="s">
        <v>11</v>
      </c>
      <c r="D941" s="19">
        <v>45597</v>
      </c>
      <c r="E941" s="9" t="s">
        <v>18</v>
      </c>
      <c r="F941" s="9" t="s">
        <v>27</v>
      </c>
      <c r="G941" s="9" t="s">
        <v>31</v>
      </c>
      <c r="H941" s="9">
        <v>54</v>
      </c>
      <c r="I941" s="5">
        <v>135</v>
      </c>
      <c r="J941" s="5">
        <f t="shared" si="14"/>
        <v>7290</v>
      </c>
      <c r="K941" s="9">
        <v>17</v>
      </c>
      <c r="L941" s="9" t="s">
        <v>35</v>
      </c>
      <c r="M941" s="9">
        <v>4</v>
      </c>
    </row>
    <row r="942" spans="2:13" ht="15.6" thickTop="1" thickBot="1" x14ac:dyDescent="0.35">
      <c r="B942" s="6">
        <v>940</v>
      </c>
      <c r="C942" s="7" t="s">
        <v>11</v>
      </c>
      <c r="D942" s="18">
        <v>45598</v>
      </c>
      <c r="E942" s="7" t="s">
        <v>19</v>
      </c>
      <c r="F942" s="7" t="s">
        <v>23</v>
      </c>
      <c r="G942" s="7" t="s">
        <v>32</v>
      </c>
      <c r="H942" s="7">
        <v>117</v>
      </c>
      <c r="I942" s="5">
        <v>135</v>
      </c>
      <c r="J942" s="5">
        <f t="shared" si="14"/>
        <v>15795</v>
      </c>
      <c r="K942" s="7">
        <v>8</v>
      </c>
      <c r="L942" s="7" t="s">
        <v>33</v>
      </c>
      <c r="M942" s="7"/>
    </row>
    <row r="943" spans="2:13" ht="15.6" thickTop="1" thickBot="1" x14ac:dyDescent="0.35">
      <c r="B943" s="8">
        <v>941</v>
      </c>
      <c r="C943" s="9" t="s">
        <v>10</v>
      </c>
      <c r="D943" s="19">
        <v>45599</v>
      </c>
      <c r="E943" s="9" t="s">
        <v>12</v>
      </c>
      <c r="F943" s="9" t="s">
        <v>23</v>
      </c>
      <c r="G943" s="9" t="s">
        <v>30</v>
      </c>
      <c r="H943" s="9">
        <v>80</v>
      </c>
      <c r="I943" s="5">
        <v>45</v>
      </c>
      <c r="J943" s="5">
        <f t="shared" si="14"/>
        <v>3600</v>
      </c>
      <c r="K943" s="9">
        <v>22</v>
      </c>
      <c r="L943" s="9" t="s">
        <v>34</v>
      </c>
      <c r="M943" s="9">
        <v>1</v>
      </c>
    </row>
    <row r="944" spans="2:13" ht="15.6" thickTop="1" thickBot="1" x14ac:dyDescent="0.35">
      <c r="B944" s="6">
        <v>942</v>
      </c>
      <c r="C944" s="7" t="s">
        <v>10</v>
      </c>
      <c r="D944" s="18">
        <v>45600</v>
      </c>
      <c r="E944" s="7" t="s">
        <v>21</v>
      </c>
      <c r="F944" s="7" t="s">
        <v>26</v>
      </c>
      <c r="G944" s="7" t="s">
        <v>32</v>
      </c>
      <c r="H944" s="7">
        <v>231</v>
      </c>
      <c r="I944" s="5">
        <v>90</v>
      </c>
      <c r="J944" s="5">
        <f t="shared" si="14"/>
        <v>20790</v>
      </c>
      <c r="K944" s="7">
        <v>21</v>
      </c>
      <c r="L944" s="7" t="s">
        <v>35</v>
      </c>
      <c r="M944" s="7"/>
    </row>
    <row r="945" spans="2:13" ht="15.6" thickTop="1" thickBot="1" x14ac:dyDescent="0.35">
      <c r="B945" s="8">
        <v>943</v>
      </c>
      <c r="C945" s="9" t="s">
        <v>11</v>
      </c>
      <c r="D945" s="19">
        <v>45601</v>
      </c>
      <c r="E945" s="9" t="s">
        <v>14</v>
      </c>
      <c r="F945" s="9" t="s">
        <v>25</v>
      </c>
      <c r="G945" s="9" t="s">
        <v>29</v>
      </c>
      <c r="H945" s="9">
        <v>66</v>
      </c>
      <c r="I945" s="5">
        <v>135</v>
      </c>
      <c r="J945" s="5">
        <f t="shared" si="14"/>
        <v>8910</v>
      </c>
      <c r="K945" s="9">
        <v>10</v>
      </c>
      <c r="L945" s="9" t="s">
        <v>35</v>
      </c>
      <c r="M945" s="9"/>
    </row>
    <row r="946" spans="2:13" ht="15.6" thickTop="1" thickBot="1" x14ac:dyDescent="0.35">
      <c r="B946" s="6">
        <v>944</v>
      </c>
      <c r="C946" s="7" t="s">
        <v>11</v>
      </c>
      <c r="D946" s="18">
        <v>45602</v>
      </c>
      <c r="E946" s="7" t="s">
        <v>18</v>
      </c>
      <c r="F946" s="7" t="s">
        <v>27</v>
      </c>
      <c r="G946" s="7" t="s">
        <v>31</v>
      </c>
      <c r="H946" s="7">
        <v>141</v>
      </c>
      <c r="I946" s="5">
        <v>225</v>
      </c>
      <c r="J946" s="5">
        <f t="shared" si="14"/>
        <v>31725</v>
      </c>
      <c r="K946" s="7">
        <v>8</v>
      </c>
      <c r="L946" s="7" t="s">
        <v>33</v>
      </c>
      <c r="M946" s="7">
        <v>5</v>
      </c>
    </row>
    <row r="947" spans="2:13" ht="15.6" thickTop="1" thickBot="1" x14ac:dyDescent="0.35">
      <c r="B947" s="8">
        <v>945</v>
      </c>
      <c r="C947" s="9" t="s">
        <v>10</v>
      </c>
      <c r="D947" s="19">
        <v>45603</v>
      </c>
      <c r="E947" s="9" t="s">
        <v>12</v>
      </c>
      <c r="F947" s="9" t="s">
        <v>23</v>
      </c>
      <c r="G947" s="9" t="s">
        <v>32</v>
      </c>
      <c r="H947" s="9">
        <v>115</v>
      </c>
      <c r="I947" s="5">
        <v>90</v>
      </c>
      <c r="J947" s="5">
        <f t="shared" si="14"/>
        <v>10350</v>
      </c>
      <c r="K947" s="9">
        <v>22</v>
      </c>
      <c r="L947" s="9" t="s">
        <v>34</v>
      </c>
      <c r="M947" s="9">
        <v>3</v>
      </c>
    </row>
    <row r="948" spans="2:13" ht="15.6" thickTop="1" thickBot="1" x14ac:dyDescent="0.35">
      <c r="B948" s="6">
        <v>946</v>
      </c>
      <c r="C948" s="7" t="s">
        <v>10</v>
      </c>
      <c r="D948" s="18">
        <v>45604</v>
      </c>
      <c r="E948" s="7" t="s">
        <v>14</v>
      </c>
      <c r="F948" s="7" t="s">
        <v>25</v>
      </c>
      <c r="G948" s="7" t="s">
        <v>28</v>
      </c>
      <c r="H948" s="7">
        <v>190</v>
      </c>
      <c r="I948" s="5">
        <v>90</v>
      </c>
      <c r="J948" s="5">
        <f t="shared" si="14"/>
        <v>17100</v>
      </c>
      <c r="K948" s="7">
        <v>16</v>
      </c>
      <c r="L948" s="7" t="s">
        <v>34</v>
      </c>
      <c r="M948" s="7">
        <v>4</v>
      </c>
    </row>
    <row r="949" spans="2:13" ht="15.6" thickTop="1" thickBot="1" x14ac:dyDescent="0.35">
      <c r="B949" s="8">
        <v>947</v>
      </c>
      <c r="C949" s="9" t="s">
        <v>10</v>
      </c>
      <c r="D949" s="19">
        <v>45605</v>
      </c>
      <c r="E949" s="9" t="s">
        <v>12</v>
      </c>
      <c r="F949" s="9" t="s">
        <v>23</v>
      </c>
      <c r="G949" s="9" t="s">
        <v>32</v>
      </c>
      <c r="H949" s="9">
        <v>112</v>
      </c>
      <c r="I949" s="5">
        <v>180</v>
      </c>
      <c r="J949" s="5">
        <f t="shared" si="14"/>
        <v>20160</v>
      </c>
      <c r="K949" s="9">
        <v>10</v>
      </c>
      <c r="L949" s="9" t="s">
        <v>35</v>
      </c>
      <c r="M949" s="9"/>
    </row>
    <row r="950" spans="2:13" ht="15.6" thickTop="1" thickBot="1" x14ac:dyDescent="0.35">
      <c r="B950" s="6">
        <v>948</v>
      </c>
      <c r="C950" s="7" t="s">
        <v>10</v>
      </c>
      <c r="D950" s="18">
        <v>45606</v>
      </c>
      <c r="E950" s="7" t="s">
        <v>18</v>
      </c>
      <c r="F950" s="7" t="s">
        <v>27</v>
      </c>
      <c r="G950" s="7" t="s">
        <v>29</v>
      </c>
      <c r="H950" s="7">
        <v>126</v>
      </c>
      <c r="I950" s="5">
        <v>135</v>
      </c>
      <c r="J950" s="5">
        <f t="shared" si="14"/>
        <v>17010</v>
      </c>
      <c r="K950" s="7">
        <v>21</v>
      </c>
      <c r="L950" s="7" t="s">
        <v>34</v>
      </c>
      <c r="M950" s="7">
        <v>5</v>
      </c>
    </row>
    <row r="951" spans="2:13" ht="15.6" thickTop="1" thickBot="1" x14ac:dyDescent="0.35">
      <c r="B951" s="8">
        <v>949</v>
      </c>
      <c r="C951" s="9" t="s">
        <v>10</v>
      </c>
      <c r="D951" s="19">
        <v>45607</v>
      </c>
      <c r="E951" s="9" t="s">
        <v>21</v>
      </c>
      <c r="F951" s="9" t="s">
        <v>26</v>
      </c>
      <c r="G951" s="9" t="s">
        <v>31</v>
      </c>
      <c r="H951" s="9">
        <v>210</v>
      </c>
      <c r="I951" s="5">
        <v>225</v>
      </c>
      <c r="J951" s="5">
        <f t="shared" si="14"/>
        <v>47250</v>
      </c>
      <c r="K951" s="9">
        <v>20</v>
      </c>
      <c r="L951" s="9" t="s">
        <v>33</v>
      </c>
      <c r="M951" s="9">
        <v>4</v>
      </c>
    </row>
    <row r="952" spans="2:13" ht="15.6" thickTop="1" thickBot="1" x14ac:dyDescent="0.35">
      <c r="B952" s="6">
        <v>950</v>
      </c>
      <c r="C952" s="7" t="s">
        <v>10</v>
      </c>
      <c r="D952" s="18">
        <v>45608</v>
      </c>
      <c r="E952" s="7" t="s">
        <v>13</v>
      </c>
      <c r="F952" s="7" t="s">
        <v>24</v>
      </c>
      <c r="G952" s="7" t="s">
        <v>29</v>
      </c>
      <c r="H952" s="7">
        <v>197</v>
      </c>
      <c r="I952" s="5">
        <v>180</v>
      </c>
      <c r="J952" s="5">
        <f t="shared" si="14"/>
        <v>35460</v>
      </c>
      <c r="K952" s="7">
        <v>18</v>
      </c>
      <c r="L952" s="7" t="s">
        <v>35</v>
      </c>
      <c r="M952" s="7"/>
    </row>
    <row r="953" spans="2:13" ht="15.6" thickTop="1" thickBot="1" x14ac:dyDescent="0.35">
      <c r="B953" s="8">
        <v>951</v>
      </c>
      <c r="C953" s="9" t="s">
        <v>10</v>
      </c>
      <c r="D953" s="19">
        <v>45609</v>
      </c>
      <c r="E953" s="9" t="s">
        <v>15</v>
      </c>
      <c r="F953" s="9" t="s">
        <v>25</v>
      </c>
      <c r="G953" s="9" t="s">
        <v>30</v>
      </c>
      <c r="H953" s="9">
        <v>156</v>
      </c>
      <c r="I953" s="5">
        <v>135</v>
      </c>
      <c r="J953" s="5">
        <f t="shared" si="14"/>
        <v>21060</v>
      </c>
      <c r="K953" s="9">
        <v>25</v>
      </c>
      <c r="L953" s="9" t="s">
        <v>34</v>
      </c>
      <c r="M953" s="9">
        <v>2</v>
      </c>
    </row>
    <row r="954" spans="2:13" ht="15.6" thickTop="1" thickBot="1" x14ac:dyDescent="0.35">
      <c r="B954" s="6">
        <v>952</v>
      </c>
      <c r="C954" s="7" t="s">
        <v>10</v>
      </c>
      <c r="D954" s="18">
        <v>45610</v>
      </c>
      <c r="E954" s="7" t="s">
        <v>14</v>
      </c>
      <c r="F954" s="7" t="s">
        <v>25</v>
      </c>
      <c r="G954" s="7" t="s">
        <v>32</v>
      </c>
      <c r="H954" s="7">
        <v>62</v>
      </c>
      <c r="I954" s="5">
        <v>90</v>
      </c>
      <c r="J954" s="5">
        <f t="shared" si="14"/>
        <v>5580</v>
      </c>
      <c r="K954" s="7">
        <v>12</v>
      </c>
      <c r="L954" s="7" t="s">
        <v>33</v>
      </c>
      <c r="M954" s="7">
        <v>4</v>
      </c>
    </row>
    <row r="955" spans="2:13" ht="15.6" thickTop="1" thickBot="1" x14ac:dyDescent="0.35">
      <c r="B955" s="8">
        <v>953</v>
      </c>
      <c r="C955" s="9" t="s">
        <v>10</v>
      </c>
      <c r="D955" s="19">
        <v>45611</v>
      </c>
      <c r="E955" s="9" t="s">
        <v>20</v>
      </c>
      <c r="F955" s="9" t="s">
        <v>20</v>
      </c>
      <c r="G955" s="9" t="s">
        <v>31</v>
      </c>
      <c r="H955" s="9">
        <v>109</v>
      </c>
      <c r="I955" s="5">
        <v>180</v>
      </c>
      <c r="J955" s="5">
        <f t="shared" si="14"/>
        <v>19620</v>
      </c>
      <c r="K955" s="9">
        <v>23</v>
      </c>
      <c r="L955" s="9" t="s">
        <v>33</v>
      </c>
      <c r="M955" s="9">
        <v>1</v>
      </c>
    </row>
    <row r="956" spans="2:13" ht="15.6" thickTop="1" thickBot="1" x14ac:dyDescent="0.35">
      <c r="B956" s="6">
        <v>954</v>
      </c>
      <c r="C956" s="7" t="s">
        <v>10</v>
      </c>
      <c r="D956" s="18">
        <v>45612</v>
      </c>
      <c r="E956" s="7" t="s">
        <v>15</v>
      </c>
      <c r="F956" s="7" t="s">
        <v>25</v>
      </c>
      <c r="G956" s="7" t="s">
        <v>31</v>
      </c>
      <c r="H956" s="7">
        <v>242</v>
      </c>
      <c r="I956" s="5">
        <v>180</v>
      </c>
      <c r="J956" s="5">
        <f t="shared" si="14"/>
        <v>43560</v>
      </c>
      <c r="K956" s="7">
        <v>25</v>
      </c>
      <c r="L956" s="7" t="s">
        <v>33</v>
      </c>
      <c r="M956" s="7">
        <v>5</v>
      </c>
    </row>
    <row r="957" spans="2:13" ht="15.6" thickTop="1" thickBot="1" x14ac:dyDescent="0.35">
      <c r="B957" s="8">
        <v>955</v>
      </c>
      <c r="C957" s="9" t="s">
        <v>11</v>
      </c>
      <c r="D957" s="19">
        <v>45613</v>
      </c>
      <c r="E957" s="9" t="s">
        <v>18</v>
      </c>
      <c r="F957" s="9" t="s">
        <v>27</v>
      </c>
      <c r="G957" s="9" t="s">
        <v>28</v>
      </c>
      <c r="H957" s="9">
        <v>132</v>
      </c>
      <c r="I957" s="5">
        <v>180</v>
      </c>
      <c r="J957" s="5">
        <f t="shared" si="14"/>
        <v>23760</v>
      </c>
      <c r="K957" s="9">
        <v>14</v>
      </c>
      <c r="L957" s="9" t="s">
        <v>35</v>
      </c>
      <c r="M957" s="9">
        <v>3</v>
      </c>
    </row>
    <row r="958" spans="2:13" ht="15.6" thickTop="1" thickBot="1" x14ac:dyDescent="0.35">
      <c r="B958" s="6">
        <v>956</v>
      </c>
      <c r="C958" s="7" t="s">
        <v>11</v>
      </c>
      <c r="D958" s="18">
        <v>45614</v>
      </c>
      <c r="E958" s="7" t="s">
        <v>14</v>
      </c>
      <c r="F958" s="7" t="s">
        <v>25</v>
      </c>
      <c r="G958" s="7" t="s">
        <v>32</v>
      </c>
      <c r="H958" s="7">
        <v>90</v>
      </c>
      <c r="I958" s="5">
        <v>135</v>
      </c>
      <c r="J958" s="5">
        <f t="shared" si="14"/>
        <v>12150</v>
      </c>
      <c r="K958" s="7">
        <v>11</v>
      </c>
      <c r="L958" s="7" t="s">
        <v>35</v>
      </c>
      <c r="M958" s="7">
        <v>2</v>
      </c>
    </row>
    <row r="959" spans="2:13" ht="15.6" thickTop="1" thickBot="1" x14ac:dyDescent="0.35">
      <c r="B959" s="8">
        <v>957</v>
      </c>
      <c r="C959" s="9" t="s">
        <v>10</v>
      </c>
      <c r="D959" s="19">
        <v>45615</v>
      </c>
      <c r="E959" s="9" t="s">
        <v>20</v>
      </c>
      <c r="F959" s="9" t="s">
        <v>20</v>
      </c>
      <c r="G959" s="9" t="s">
        <v>29</v>
      </c>
      <c r="H959" s="9">
        <v>164</v>
      </c>
      <c r="I959" s="5">
        <v>225</v>
      </c>
      <c r="J959" s="5">
        <f t="shared" si="14"/>
        <v>36900</v>
      </c>
      <c r="K959" s="9">
        <v>11</v>
      </c>
      <c r="L959" s="9" t="s">
        <v>35</v>
      </c>
      <c r="M959" s="9">
        <v>5</v>
      </c>
    </row>
    <row r="960" spans="2:13" ht="15.6" thickTop="1" thickBot="1" x14ac:dyDescent="0.35">
      <c r="B960" s="6">
        <v>958</v>
      </c>
      <c r="C960" s="7" t="s">
        <v>11</v>
      </c>
      <c r="D960" s="18">
        <v>45616</v>
      </c>
      <c r="E960" s="7" t="s">
        <v>18</v>
      </c>
      <c r="F960" s="7" t="s">
        <v>27</v>
      </c>
      <c r="G960" s="7" t="s">
        <v>28</v>
      </c>
      <c r="H960" s="7">
        <v>246</v>
      </c>
      <c r="I960" s="5">
        <v>135</v>
      </c>
      <c r="J960" s="5">
        <f t="shared" si="14"/>
        <v>33210</v>
      </c>
      <c r="K960" s="7">
        <v>7</v>
      </c>
      <c r="L960" s="7" t="s">
        <v>35</v>
      </c>
      <c r="M960" s="7">
        <v>4</v>
      </c>
    </row>
    <row r="961" spans="2:13" ht="15.6" thickTop="1" thickBot="1" x14ac:dyDescent="0.35">
      <c r="B961" s="8">
        <v>959</v>
      </c>
      <c r="C961" s="9" t="s">
        <v>10</v>
      </c>
      <c r="D961" s="19">
        <v>45617</v>
      </c>
      <c r="E961" s="9" t="s">
        <v>20</v>
      </c>
      <c r="F961" s="9" t="s">
        <v>20</v>
      </c>
      <c r="G961" s="9" t="s">
        <v>28</v>
      </c>
      <c r="H961" s="9">
        <v>81</v>
      </c>
      <c r="I961" s="5">
        <v>225</v>
      </c>
      <c r="J961" s="5">
        <f t="shared" si="14"/>
        <v>18225</v>
      </c>
      <c r="K961" s="9">
        <v>16</v>
      </c>
      <c r="L961" s="9" t="s">
        <v>34</v>
      </c>
      <c r="M961" s="9">
        <v>4</v>
      </c>
    </row>
    <row r="962" spans="2:13" ht="15.6" thickTop="1" thickBot="1" x14ac:dyDescent="0.35">
      <c r="B962" s="6">
        <v>960</v>
      </c>
      <c r="C962" s="7" t="s">
        <v>10</v>
      </c>
      <c r="D962" s="18">
        <v>45618</v>
      </c>
      <c r="E962" s="7" t="s">
        <v>19</v>
      </c>
      <c r="F962" s="7" t="s">
        <v>23</v>
      </c>
      <c r="G962" s="7" t="s">
        <v>32</v>
      </c>
      <c r="H962" s="7">
        <v>166</v>
      </c>
      <c r="I962" s="5">
        <v>180</v>
      </c>
      <c r="J962" s="5">
        <f t="shared" si="14"/>
        <v>29880</v>
      </c>
      <c r="K962" s="7">
        <v>15</v>
      </c>
      <c r="L962" s="7" t="s">
        <v>35</v>
      </c>
      <c r="M962" s="7">
        <v>3</v>
      </c>
    </row>
    <row r="963" spans="2:13" ht="15.6" thickTop="1" thickBot="1" x14ac:dyDescent="0.35">
      <c r="B963" s="8">
        <v>961</v>
      </c>
      <c r="C963" s="9" t="s">
        <v>11</v>
      </c>
      <c r="D963" s="19">
        <v>45619</v>
      </c>
      <c r="E963" s="9" t="s">
        <v>15</v>
      </c>
      <c r="F963" s="9" t="s">
        <v>25</v>
      </c>
      <c r="G963" s="9" t="s">
        <v>32</v>
      </c>
      <c r="H963" s="9">
        <v>248</v>
      </c>
      <c r="I963" s="5">
        <v>180</v>
      </c>
      <c r="J963" s="5">
        <f t="shared" si="14"/>
        <v>44640</v>
      </c>
      <c r="K963" s="9">
        <v>12</v>
      </c>
      <c r="L963" s="9" t="s">
        <v>35</v>
      </c>
      <c r="M963" s="9">
        <v>3</v>
      </c>
    </row>
    <row r="964" spans="2:13" ht="15.6" thickTop="1" thickBot="1" x14ac:dyDescent="0.35">
      <c r="B964" s="6">
        <v>962</v>
      </c>
      <c r="C964" s="7" t="s">
        <v>11</v>
      </c>
      <c r="D964" s="18">
        <v>45620</v>
      </c>
      <c r="E964" s="7" t="s">
        <v>17</v>
      </c>
      <c r="F964" s="7" t="s">
        <v>24</v>
      </c>
      <c r="G964" s="7" t="s">
        <v>29</v>
      </c>
      <c r="H964" s="7">
        <v>69</v>
      </c>
      <c r="I964" s="5">
        <v>225</v>
      </c>
      <c r="J964" s="5">
        <f t="shared" ref="J964:J1027" si="15">H964*I964</f>
        <v>15525</v>
      </c>
      <c r="K964" s="7">
        <v>10</v>
      </c>
      <c r="L964" s="7" t="s">
        <v>35</v>
      </c>
      <c r="M964" s="7">
        <v>1</v>
      </c>
    </row>
    <row r="965" spans="2:13" ht="15.6" thickTop="1" thickBot="1" x14ac:dyDescent="0.35">
      <c r="B965" s="8">
        <v>963</v>
      </c>
      <c r="C965" s="9" t="s">
        <v>10</v>
      </c>
      <c r="D965" s="19">
        <v>45621</v>
      </c>
      <c r="E965" s="9" t="s">
        <v>12</v>
      </c>
      <c r="F965" s="9" t="s">
        <v>23</v>
      </c>
      <c r="G965" s="9" t="s">
        <v>31</v>
      </c>
      <c r="H965" s="9">
        <v>193</v>
      </c>
      <c r="I965" s="5">
        <v>45</v>
      </c>
      <c r="J965" s="5">
        <f t="shared" si="15"/>
        <v>8685</v>
      </c>
      <c r="K965" s="9">
        <v>14</v>
      </c>
      <c r="L965" s="9" t="s">
        <v>33</v>
      </c>
      <c r="M965" s="9">
        <v>4</v>
      </c>
    </row>
    <row r="966" spans="2:13" ht="15.6" thickTop="1" thickBot="1" x14ac:dyDescent="0.35">
      <c r="B966" s="6">
        <v>964</v>
      </c>
      <c r="C966" s="7" t="s">
        <v>11</v>
      </c>
      <c r="D966" s="18">
        <v>45622</v>
      </c>
      <c r="E966" s="7" t="s">
        <v>22</v>
      </c>
      <c r="F966" s="7" t="s">
        <v>25</v>
      </c>
      <c r="G966" s="7" t="s">
        <v>31</v>
      </c>
      <c r="H966" s="7">
        <v>235</v>
      </c>
      <c r="I966" s="5">
        <v>225</v>
      </c>
      <c r="J966" s="5">
        <f t="shared" si="15"/>
        <v>52875</v>
      </c>
      <c r="K966" s="7">
        <v>11</v>
      </c>
      <c r="L966" s="7" t="s">
        <v>34</v>
      </c>
      <c r="M966" s="7">
        <v>2</v>
      </c>
    </row>
    <row r="967" spans="2:13" ht="15.6" thickTop="1" thickBot="1" x14ac:dyDescent="0.35">
      <c r="B967" s="8">
        <v>965</v>
      </c>
      <c r="C967" s="9" t="s">
        <v>11</v>
      </c>
      <c r="D967" s="19">
        <v>45623</v>
      </c>
      <c r="E967" s="9" t="s">
        <v>15</v>
      </c>
      <c r="F967" s="9" t="s">
        <v>25</v>
      </c>
      <c r="G967" s="9" t="s">
        <v>31</v>
      </c>
      <c r="H967" s="9">
        <v>43</v>
      </c>
      <c r="I967" s="5">
        <v>90</v>
      </c>
      <c r="J967" s="5">
        <f t="shared" si="15"/>
        <v>3870</v>
      </c>
      <c r="K967" s="9">
        <v>9</v>
      </c>
      <c r="L967" s="9" t="s">
        <v>34</v>
      </c>
      <c r="M967" s="9">
        <v>5</v>
      </c>
    </row>
    <row r="968" spans="2:13" ht="15.6" thickTop="1" thickBot="1" x14ac:dyDescent="0.35">
      <c r="B968" s="6">
        <v>966</v>
      </c>
      <c r="C968" s="7" t="s">
        <v>10</v>
      </c>
      <c r="D968" s="18">
        <v>45624</v>
      </c>
      <c r="E968" s="7" t="s">
        <v>19</v>
      </c>
      <c r="F968" s="7" t="s">
        <v>23</v>
      </c>
      <c r="G968" s="7" t="s">
        <v>32</v>
      </c>
      <c r="H968" s="7">
        <v>141</v>
      </c>
      <c r="I968" s="5">
        <v>180</v>
      </c>
      <c r="J968" s="5">
        <f t="shared" si="15"/>
        <v>25380</v>
      </c>
      <c r="K968" s="7">
        <v>20</v>
      </c>
      <c r="L968" s="7" t="s">
        <v>34</v>
      </c>
      <c r="M968" s="7">
        <v>3</v>
      </c>
    </row>
    <row r="969" spans="2:13" ht="15.6" thickTop="1" thickBot="1" x14ac:dyDescent="0.35">
      <c r="B969" s="8">
        <v>967</v>
      </c>
      <c r="C969" s="9" t="s">
        <v>11</v>
      </c>
      <c r="D969" s="19">
        <v>45625</v>
      </c>
      <c r="E969" s="9" t="s">
        <v>16</v>
      </c>
      <c r="F969" s="9" t="s">
        <v>26</v>
      </c>
      <c r="G969" s="9" t="s">
        <v>29</v>
      </c>
      <c r="H969" s="9">
        <v>78</v>
      </c>
      <c r="I969" s="5">
        <v>225</v>
      </c>
      <c r="J969" s="5">
        <f t="shared" si="15"/>
        <v>17550</v>
      </c>
      <c r="K969" s="9">
        <v>12</v>
      </c>
      <c r="L969" s="9" t="s">
        <v>35</v>
      </c>
      <c r="M969" s="9"/>
    </row>
    <row r="970" spans="2:13" ht="15.6" thickTop="1" thickBot="1" x14ac:dyDescent="0.35">
      <c r="B970" s="6">
        <v>968</v>
      </c>
      <c r="C970" s="7" t="s">
        <v>10</v>
      </c>
      <c r="D970" s="18">
        <v>45626</v>
      </c>
      <c r="E970" s="7" t="s">
        <v>14</v>
      </c>
      <c r="F970" s="7" t="s">
        <v>25</v>
      </c>
      <c r="G970" s="7" t="s">
        <v>31</v>
      </c>
      <c r="H970" s="7">
        <v>151</v>
      </c>
      <c r="I970" s="5">
        <v>45</v>
      </c>
      <c r="J970" s="5">
        <f t="shared" si="15"/>
        <v>6795</v>
      </c>
      <c r="K970" s="7">
        <v>19</v>
      </c>
      <c r="L970" s="7" t="s">
        <v>35</v>
      </c>
      <c r="M970" s="7">
        <v>1</v>
      </c>
    </row>
    <row r="971" spans="2:13" ht="15.6" thickTop="1" thickBot="1" x14ac:dyDescent="0.35">
      <c r="B971" s="8">
        <v>969</v>
      </c>
      <c r="C971" s="9" t="s">
        <v>11</v>
      </c>
      <c r="D971" s="19">
        <v>45627</v>
      </c>
      <c r="E971" s="9" t="s">
        <v>21</v>
      </c>
      <c r="F971" s="9" t="s">
        <v>26</v>
      </c>
      <c r="G971" s="9" t="s">
        <v>32</v>
      </c>
      <c r="H971" s="9">
        <v>186</v>
      </c>
      <c r="I971" s="5">
        <v>225</v>
      </c>
      <c r="J971" s="5">
        <f t="shared" si="15"/>
        <v>41850</v>
      </c>
      <c r="K971" s="9">
        <v>9</v>
      </c>
      <c r="L971" s="9" t="s">
        <v>33</v>
      </c>
      <c r="M971" s="9">
        <v>5</v>
      </c>
    </row>
    <row r="972" spans="2:13" ht="15.6" thickTop="1" thickBot="1" x14ac:dyDescent="0.35">
      <c r="B972" s="6">
        <v>970</v>
      </c>
      <c r="C972" s="7" t="s">
        <v>10</v>
      </c>
      <c r="D972" s="18">
        <v>45628</v>
      </c>
      <c r="E972" s="7" t="s">
        <v>12</v>
      </c>
      <c r="F972" s="7" t="s">
        <v>23</v>
      </c>
      <c r="G972" s="7" t="s">
        <v>28</v>
      </c>
      <c r="H972" s="7">
        <v>158</v>
      </c>
      <c r="I972" s="5">
        <v>180</v>
      </c>
      <c r="J972" s="5">
        <f t="shared" si="15"/>
        <v>28440</v>
      </c>
      <c r="K972" s="7">
        <v>13</v>
      </c>
      <c r="L972" s="7" t="s">
        <v>35</v>
      </c>
      <c r="M972" s="7">
        <v>2</v>
      </c>
    </row>
    <row r="973" spans="2:13" ht="15.6" thickTop="1" thickBot="1" x14ac:dyDescent="0.35">
      <c r="B973" s="8">
        <v>971</v>
      </c>
      <c r="C973" s="9" t="s">
        <v>11</v>
      </c>
      <c r="D973" s="19">
        <v>45629</v>
      </c>
      <c r="E973" s="9" t="s">
        <v>13</v>
      </c>
      <c r="F973" s="9" t="s">
        <v>24</v>
      </c>
      <c r="G973" s="9" t="s">
        <v>31</v>
      </c>
      <c r="H973" s="9">
        <v>59</v>
      </c>
      <c r="I973" s="5">
        <v>180</v>
      </c>
      <c r="J973" s="5">
        <f t="shared" si="15"/>
        <v>10620</v>
      </c>
      <c r="K973" s="9">
        <v>17</v>
      </c>
      <c r="L973" s="9" t="s">
        <v>35</v>
      </c>
      <c r="M973" s="9">
        <v>3</v>
      </c>
    </row>
    <row r="974" spans="2:13" ht="15.6" thickTop="1" thickBot="1" x14ac:dyDescent="0.35">
      <c r="B974" s="6">
        <v>972</v>
      </c>
      <c r="C974" s="7" t="s">
        <v>10</v>
      </c>
      <c r="D974" s="18">
        <v>45630</v>
      </c>
      <c r="E974" s="7" t="s">
        <v>17</v>
      </c>
      <c r="F974" s="7" t="s">
        <v>24</v>
      </c>
      <c r="G974" s="7" t="s">
        <v>29</v>
      </c>
      <c r="H974" s="7">
        <v>57</v>
      </c>
      <c r="I974" s="5">
        <v>180</v>
      </c>
      <c r="J974" s="5">
        <f t="shared" si="15"/>
        <v>10260</v>
      </c>
      <c r="K974" s="7">
        <v>12</v>
      </c>
      <c r="L974" s="7" t="s">
        <v>33</v>
      </c>
      <c r="M974" s="7">
        <v>1</v>
      </c>
    </row>
    <row r="975" spans="2:13" ht="15.6" thickTop="1" thickBot="1" x14ac:dyDescent="0.35">
      <c r="B975" s="8">
        <v>973</v>
      </c>
      <c r="C975" s="9" t="s">
        <v>10</v>
      </c>
      <c r="D975" s="19">
        <v>45631</v>
      </c>
      <c r="E975" s="9" t="s">
        <v>17</v>
      </c>
      <c r="F975" s="9" t="s">
        <v>24</v>
      </c>
      <c r="G975" s="9" t="s">
        <v>29</v>
      </c>
      <c r="H975" s="9">
        <v>237</v>
      </c>
      <c r="I975" s="5">
        <v>90</v>
      </c>
      <c r="J975" s="5">
        <f t="shared" si="15"/>
        <v>21330</v>
      </c>
      <c r="K975" s="9">
        <v>25</v>
      </c>
      <c r="L975" s="9" t="s">
        <v>33</v>
      </c>
      <c r="M975" s="9"/>
    </row>
    <row r="976" spans="2:13" ht="15.6" thickTop="1" thickBot="1" x14ac:dyDescent="0.35">
      <c r="B976" s="6">
        <v>974</v>
      </c>
      <c r="C976" s="7" t="s">
        <v>10</v>
      </c>
      <c r="D976" s="18">
        <v>45632</v>
      </c>
      <c r="E976" s="7" t="s">
        <v>20</v>
      </c>
      <c r="F976" s="7" t="s">
        <v>20</v>
      </c>
      <c r="G976" s="7" t="s">
        <v>31</v>
      </c>
      <c r="H976" s="7">
        <v>221</v>
      </c>
      <c r="I976" s="5">
        <v>225</v>
      </c>
      <c r="J976" s="5">
        <f t="shared" si="15"/>
        <v>49725</v>
      </c>
      <c r="K976" s="7">
        <v>13</v>
      </c>
      <c r="L976" s="7" t="s">
        <v>33</v>
      </c>
      <c r="M976" s="7">
        <v>5</v>
      </c>
    </row>
    <row r="977" spans="2:13" ht="15.6" thickTop="1" thickBot="1" x14ac:dyDescent="0.35">
      <c r="B977" s="8">
        <v>975</v>
      </c>
      <c r="C977" s="9" t="s">
        <v>11</v>
      </c>
      <c r="D977" s="19">
        <v>45633</v>
      </c>
      <c r="E977" s="9" t="s">
        <v>15</v>
      </c>
      <c r="F977" s="9" t="s">
        <v>25</v>
      </c>
      <c r="G977" s="9" t="s">
        <v>32</v>
      </c>
      <c r="H977" s="9">
        <v>64</v>
      </c>
      <c r="I977" s="5">
        <v>90</v>
      </c>
      <c r="J977" s="5">
        <f t="shared" si="15"/>
        <v>5760</v>
      </c>
      <c r="K977" s="9">
        <v>17</v>
      </c>
      <c r="L977" s="9" t="s">
        <v>35</v>
      </c>
      <c r="M977" s="9">
        <v>1</v>
      </c>
    </row>
    <row r="978" spans="2:13" ht="15.6" thickTop="1" thickBot="1" x14ac:dyDescent="0.35">
      <c r="B978" s="6">
        <v>976</v>
      </c>
      <c r="C978" s="7" t="s">
        <v>10</v>
      </c>
      <c r="D978" s="18">
        <v>45634</v>
      </c>
      <c r="E978" s="7" t="s">
        <v>21</v>
      </c>
      <c r="F978" s="7" t="s">
        <v>26</v>
      </c>
      <c r="G978" s="7" t="s">
        <v>30</v>
      </c>
      <c r="H978" s="7">
        <v>110</v>
      </c>
      <c r="I978" s="5">
        <v>135</v>
      </c>
      <c r="J978" s="5">
        <f t="shared" si="15"/>
        <v>14850</v>
      </c>
      <c r="K978" s="7">
        <v>21</v>
      </c>
      <c r="L978" s="7" t="s">
        <v>35</v>
      </c>
      <c r="M978" s="7">
        <v>1</v>
      </c>
    </row>
    <row r="979" spans="2:13" ht="15.6" thickTop="1" thickBot="1" x14ac:dyDescent="0.35">
      <c r="B979" s="8">
        <v>977</v>
      </c>
      <c r="C979" s="9" t="s">
        <v>11</v>
      </c>
      <c r="D979" s="19">
        <v>45635</v>
      </c>
      <c r="E979" s="9" t="s">
        <v>12</v>
      </c>
      <c r="F979" s="9" t="s">
        <v>23</v>
      </c>
      <c r="G979" s="9" t="s">
        <v>32</v>
      </c>
      <c r="H979" s="9">
        <v>134</v>
      </c>
      <c r="I979" s="5">
        <v>225</v>
      </c>
      <c r="J979" s="5">
        <f t="shared" si="15"/>
        <v>30150</v>
      </c>
      <c r="K979" s="9">
        <v>11</v>
      </c>
      <c r="L979" s="9" t="s">
        <v>33</v>
      </c>
      <c r="M979" s="9">
        <v>2</v>
      </c>
    </row>
    <row r="980" spans="2:13" ht="15.6" thickTop="1" thickBot="1" x14ac:dyDescent="0.35">
      <c r="B980" s="6">
        <v>978</v>
      </c>
      <c r="C980" s="7" t="s">
        <v>10</v>
      </c>
      <c r="D980" s="18">
        <v>45636</v>
      </c>
      <c r="E980" s="7" t="s">
        <v>13</v>
      </c>
      <c r="F980" s="7" t="s">
        <v>24</v>
      </c>
      <c r="G980" s="7" t="s">
        <v>30</v>
      </c>
      <c r="H980" s="7">
        <v>180</v>
      </c>
      <c r="I980" s="5">
        <v>180</v>
      </c>
      <c r="J980" s="5">
        <f t="shared" si="15"/>
        <v>32400</v>
      </c>
      <c r="K980" s="7">
        <v>17</v>
      </c>
      <c r="L980" s="7" t="s">
        <v>34</v>
      </c>
      <c r="M980" s="7">
        <v>4</v>
      </c>
    </row>
    <row r="981" spans="2:13" ht="15.6" thickTop="1" thickBot="1" x14ac:dyDescent="0.35">
      <c r="B981" s="8">
        <v>979</v>
      </c>
      <c r="C981" s="9" t="s">
        <v>11</v>
      </c>
      <c r="D981" s="19">
        <v>45637</v>
      </c>
      <c r="E981" s="9" t="s">
        <v>21</v>
      </c>
      <c r="F981" s="9" t="s">
        <v>26</v>
      </c>
      <c r="G981" s="9" t="s">
        <v>31</v>
      </c>
      <c r="H981" s="9">
        <v>159</v>
      </c>
      <c r="I981" s="5">
        <v>90</v>
      </c>
      <c r="J981" s="5">
        <f t="shared" si="15"/>
        <v>14310</v>
      </c>
      <c r="K981" s="9">
        <v>13</v>
      </c>
      <c r="L981" s="9" t="s">
        <v>34</v>
      </c>
      <c r="M981" s="9">
        <v>5</v>
      </c>
    </row>
    <row r="982" spans="2:13" ht="15.6" thickTop="1" thickBot="1" x14ac:dyDescent="0.35">
      <c r="B982" s="6">
        <v>980</v>
      </c>
      <c r="C982" s="7" t="s">
        <v>10</v>
      </c>
      <c r="D982" s="18">
        <v>45638</v>
      </c>
      <c r="E982" s="7" t="s">
        <v>22</v>
      </c>
      <c r="F982" s="7" t="s">
        <v>25</v>
      </c>
      <c r="G982" s="7" t="s">
        <v>29</v>
      </c>
      <c r="H982" s="7">
        <v>135</v>
      </c>
      <c r="I982" s="5">
        <v>180</v>
      </c>
      <c r="J982" s="5">
        <f t="shared" si="15"/>
        <v>24300</v>
      </c>
      <c r="K982" s="7">
        <v>10</v>
      </c>
      <c r="L982" s="7" t="s">
        <v>34</v>
      </c>
      <c r="M982" s="7">
        <v>3</v>
      </c>
    </row>
    <row r="983" spans="2:13" ht="15.6" thickTop="1" thickBot="1" x14ac:dyDescent="0.35">
      <c r="B983" s="8">
        <v>981</v>
      </c>
      <c r="C983" s="9" t="s">
        <v>10</v>
      </c>
      <c r="D983" s="19">
        <v>45639</v>
      </c>
      <c r="E983" s="9" t="s">
        <v>22</v>
      </c>
      <c r="F983" s="9" t="s">
        <v>25</v>
      </c>
      <c r="G983" s="9" t="s">
        <v>29</v>
      </c>
      <c r="H983" s="9">
        <v>75</v>
      </c>
      <c r="I983" s="5">
        <v>225</v>
      </c>
      <c r="J983" s="5">
        <f t="shared" si="15"/>
        <v>16875</v>
      </c>
      <c r="K983" s="9">
        <v>18</v>
      </c>
      <c r="L983" s="9" t="s">
        <v>35</v>
      </c>
      <c r="M983" s="9">
        <v>1</v>
      </c>
    </row>
    <row r="984" spans="2:13" ht="15.6" thickTop="1" thickBot="1" x14ac:dyDescent="0.35">
      <c r="B984" s="6">
        <v>982</v>
      </c>
      <c r="C984" s="7" t="s">
        <v>10</v>
      </c>
      <c r="D984" s="18">
        <v>45640</v>
      </c>
      <c r="E984" s="7" t="s">
        <v>12</v>
      </c>
      <c r="F984" s="7" t="s">
        <v>23</v>
      </c>
      <c r="G984" s="7" t="s">
        <v>30</v>
      </c>
      <c r="H984" s="7">
        <v>94</v>
      </c>
      <c r="I984" s="5">
        <v>90</v>
      </c>
      <c r="J984" s="5">
        <f t="shared" si="15"/>
        <v>8460</v>
      </c>
      <c r="K984" s="7">
        <v>18</v>
      </c>
      <c r="L984" s="7" t="s">
        <v>33</v>
      </c>
      <c r="M984" s="7">
        <v>3</v>
      </c>
    </row>
    <row r="985" spans="2:13" ht="15.6" thickTop="1" thickBot="1" x14ac:dyDescent="0.35">
      <c r="B985" s="8">
        <v>983</v>
      </c>
      <c r="C985" s="9" t="s">
        <v>10</v>
      </c>
      <c r="D985" s="19">
        <v>45641</v>
      </c>
      <c r="E985" s="9" t="s">
        <v>13</v>
      </c>
      <c r="F985" s="9" t="s">
        <v>24</v>
      </c>
      <c r="G985" s="9" t="s">
        <v>31</v>
      </c>
      <c r="H985" s="9">
        <v>101</v>
      </c>
      <c r="I985" s="5">
        <v>180</v>
      </c>
      <c r="J985" s="5">
        <f t="shared" si="15"/>
        <v>18180</v>
      </c>
      <c r="K985" s="9">
        <v>10</v>
      </c>
      <c r="L985" s="9" t="s">
        <v>33</v>
      </c>
      <c r="M985" s="9">
        <v>2</v>
      </c>
    </row>
    <row r="986" spans="2:13" ht="15.6" thickTop="1" thickBot="1" x14ac:dyDescent="0.35">
      <c r="B986" s="6">
        <v>984</v>
      </c>
      <c r="C986" s="7" t="s">
        <v>10</v>
      </c>
      <c r="D986" s="18">
        <v>45642</v>
      </c>
      <c r="E986" s="7" t="s">
        <v>15</v>
      </c>
      <c r="F986" s="7" t="s">
        <v>25</v>
      </c>
      <c r="G986" s="7" t="s">
        <v>32</v>
      </c>
      <c r="H986" s="7">
        <v>30</v>
      </c>
      <c r="I986" s="5">
        <v>90</v>
      </c>
      <c r="J986" s="5">
        <f t="shared" si="15"/>
        <v>2700</v>
      </c>
      <c r="K986" s="7">
        <v>24</v>
      </c>
      <c r="L986" s="7" t="s">
        <v>34</v>
      </c>
      <c r="M986" s="7">
        <v>1</v>
      </c>
    </row>
    <row r="987" spans="2:13" ht="15.6" thickTop="1" thickBot="1" x14ac:dyDescent="0.35">
      <c r="B987" s="8">
        <v>985</v>
      </c>
      <c r="C987" s="9" t="s">
        <v>10</v>
      </c>
      <c r="D987" s="19">
        <v>45643</v>
      </c>
      <c r="E987" s="9" t="s">
        <v>15</v>
      </c>
      <c r="F987" s="9" t="s">
        <v>25</v>
      </c>
      <c r="G987" s="9" t="s">
        <v>31</v>
      </c>
      <c r="H987" s="9">
        <v>81</v>
      </c>
      <c r="I987" s="5">
        <v>45</v>
      </c>
      <c r="J987" s="5">
        <f t="shared" si="15"/>
        <v>3645</v>
      </c>
      <c r="K987" s="9">
        <v>22</v>
      </c>
      <c r="L987" s="9" t="s">
        <v>33</v>
      </c>
      <c r="M987" s="9">
        <v>3</v>
      </c>
    </row>
    <row r="988" spans="2:13" ht="15.6" thickTop="1" thickBot="1" x14ac:dyDescent="0.35">
      <c r="B988" s="6">
        <v>986</v>
      </c>
      <c r="C988" s="7" t="s">
        <v>11</v>
      </c>
      <c r="D988" s="18">
        <v>45644</v>
      </c>
      <c r="E988" s="7" t="s">
        <v>21</v>
      </c>
      <c r="F988" s="7" t="s">
        <v>26</v>
      </c>
      <c r="G988" s="7" t="s">
        <v>32</v>
      </c>
      <c r="H988" s="7">
        <v>53</v>
      </c>
      <c r="I988" s="5">
        <v>180</v>
      </c>
      <c r="J988" s="5">
        <f t="shared" si="15"/>
        <v>9540</v>
      </c>
      <c r="K988" s="7">
        <v>14</v>
      </c>
      <c r="L988" s="7" t="s">
        <v>34</v>
      </c>
      <c r="M988" s="7">
        <v>3</v>
      </c>
    </row>
    <row r="989" spans="2:13" ht="15.6" thickTop="1" thickBot="1" x14ac:dyDescent="0.35">
      <c r="B989" s="8">
        <v>987</v>
      </c>
      <c r="C989" s="9" t="s">
        <v>11</v>
      </c>
      <c r="D989" s="19">
        <v>45645</v>
      </c>
      <c r="E989" s="9" t="s">
        <v>21</v>
      </c>
      <c r="F989" s="9" t="s">
        <v>26</v>
      </c>
      <c r="G989" s="9" t="s">
        <v>32</v>
      </c>
      <c r="H989" s="9">
        <v>73</v>
      </c>
      <c r="I989" s="5">
        <v>180</v>
      </c>
      <c r="J989" s="5">
        <f t="shared" si="15"/>
        <v>13140</v>
      </c>
      <c r="K989" s="9">
        <v>19</v>
      </c>
      <c r="L989" s="9" t="s">
        <v>35</v>
      </c>
      <c r="M989" s="9">
        <v>3</v>
      </c>
    </row>
    <row r="990" spans="2:13" ht="15.6" thickTop="1" thickBot="1" x14ac:dyDescent="0.35">
      <c r="B990" s="6">
        <v>988</v>
      </c>
      <c r="C990" s="7" t="s">
        <v>10</v>
      </c>
      <c r="D990" s="18">
        <v>45646</v>
      </c>
      <c r="E990" s="7" t="s">
        <v>15</v>
      </c>
      <c r="F990" s="7" t="s">
        <v>25</v>
      </c>
      <c r="G990" s="7" t="s">
        <v>29</v>
      </c>
      <c r="H990" s="7">
        <v>246</v>
      </c>
      <c r="I990" s="5">
        <v>225</v>
      </c>
      <c r="J990" s="5">
        <f t="shared" si="15"/>
        <v>55350</v>
      </c>
      <c r="K990" s="7">
        <v>16</v>
      </c>
      <c r="L990" s="7" t="s">
        <v>34</v>
      </c>
      <c r="M990" s="7">
        <v>4</v>
      </c>
    </row>
    <row r="991" spans="2:13" ht="15.6" thickTop="1" thickBot="1" x14ac:dyDescent="0.35">
      <c r="B991" s="8">
        <v>989</v>
      </c>
      <c r="C991" s="9" t="s">
        <v>10</v>
      </c>
      <c r="D991" s="19">
        <v>45647</v>
      </c>
      <c r="E991" s="9" t="s">
        <v>19</v>
      </c>
      <c r="F991" s="9" t="s">
        <v>23</v>
      </c>
      <c r="G991" s="9" t="s">
        <v>28</v>
      </c>
      <c r="H991" s="9">
        <v>193</v>
      </c>
      <c r="I991" s="5">
        <v>135</v>
      </c>
      <c r="J991" s="5">
        <f t="shared" si="15"/>
        <v>26055</v>
      </c>
      <c r="K991" s="9">
        <v>20</v>
      </c>
      <c r="L991" s="9" t="s">
        <v>35</v>
      </c>
      <c r="M991" s="9">
        <v>4</v>
      </c>
    </row>
    <row r="992" spans="2:13" ht="15.6" thickTop="1" thickBot="1" x14ac:dyDescent="0.35">
      <c r="B992" s="6">
        <v>990</v>
      </c>
      <c r="C992" s="7" t="s">
        <v>11</v>
      </c>
      <c r="D992" s="18">
        <v>45648</v>
      </c>
      <c r="E992" s="7" t="s">
        <v>15</v>
      </c>
      <c r="F992" s="7" t="s">
        <v>25</v>
      </c>
      <c r="G992" s="7" t="s">
        <v>31</v>
      </c>
      <c r="H992" s="7">
        <v>133</v>
      </c>
      <c r="I992" s="5">
        <v>45</v>
      </c>
      <c r="J992" s="5">
        <f t="shared" si="15"/>
        <v>5985</v>
      </c>
      <c r="K992" s="7">
        <v>18</v>
      </c>
      <c r="L992" s="7" t="s">
        <v>34</v>
      </c>
      <c r="M992" s="7">
        <v>2</v>
      </c>
    </row>
    <row r="993" spans="2:13" ht="15.6" thickTop="1" thickBot="1" x14ac:dyDescent="0.35">
      <c r="B993" s="8">
        <v>991</v>
      </c>
      <c r="C993" s="9" t="s">
        <v>10</v>
      </c>
      <c r="D993" s="19">
        <v>45649</v>
      </c>
      <c r="E993" s="9" t="s">
        <v>18</v>
      </c>
      <c r="F993" s="9" t="s">
        <v>27</v>
      </c>
      <c r="G993" s="9" t="s">
        <v>31</v>
      </c>
      <c r="H993" s="9">
        <v>206</v>
      </c>
      <c r="I993" s="5">
        <v>135</v>
      </c>
      <c r="J993" s="5">
        <f t="shared" si="15"/>
        <v>27810</v>
      </c>
      <c r="K993" s="9">
        <v>10</v>
      </c>
      <c r="L993" s="9" t="s">
        <v>33</v>
      </c>
      <c r="M993" s="9">
        <v>4</v>
      </c>
    </row>
    <row r="994" spans="2:13" ht="15.6" thickTop="1" thickBot="1" x14ac:dyDescent="0.35">
      <c r="B994" s="6">
        <v>992</v>
      </c>
      <c r="C994" s="7" t="s">
        <v>11</v>
      </c>
      <c r="D994" s="18">
        <v>45650</v>
      </c>
      <c r="E994" s="7" t="s">
        <v>13</v>
      </c>
      <c r="F994" s="7" t="s">
        <v>24</v>
      </c>
      <c r="G994" s="7" t="s">
        <v>28</v>
      </c>
      <c r="H994" s="7">
        <v>67</v>
      </c>
      <c r="I994" s="5">
        <v>45</v>
      </c>
      <c r="J994" s="5">
        <f t="shared" si="15"/>
        <v>3015</v>
      </c>
      <c r="K994" s="7">
        <v>12</v>
      </c>
      <c r="L994" s="7" t="s">
        <v>33</v>
      </c>
      <c r="M994" s="7">
        <v>2</v>
      </c>
    </row>
    <row r="995" spans="2:13" ht="15.6" thickTop="1" thickBot="1" x14ac:dyDescent="0.35">
      <c r="B995" s="8">
        <v>993</v>
      </c>
      <c r="C995" s="9" t="s">
        <v>11</v>
      </c>
      <c r="D995" s="19">
        <v>45651</v>
      </c>
      <c r="E995" s="9" t="s">
        <v>21</v>
      </c>
      <c r="F995" s="9" t="s">
        <v>26</v>
      </c>
      <c r="G995" s="9" t="s">
        <v>28</v>
      </c>
      <c r="H995" s="9">
        <v>116</v>
      </c>
      <c r="I995" s="5">
        <v>90</v>
      </c>
      <c r="J995" s="5">
        <f t="shared" si="15"/>
        <v>10440</v>
      </c>
      <c r="K995" s="9">
        <v>18</v>
      </c>
      <c r="L995" s="9" t="s">
        <v>34</v>
      </c>
      <c r="M995" s="9">
        <v>5</v>
      </c>
    </row>
    <row r="996" spans="2:13" ht="15.6" thickTop="1" thickBot="1" x14ac:dyDescent="0.35">
      <c r="B996" s="6">
        <v>994</v>
      </c>
      <c r="C996" s="7" t="s">
        <v>10</v>
      </c>
      <c r="D996" s="18">
        <v>45652</v>
      </c>
      <c r="E996" s="7" t="s">
        <v>22</v>
      </c>
      <c r="F996" s="7" t="s">
        <v>25</v>
      </c>
      <c r="G996" s="7" t="s">
        <v>30</v>
      </c>
      <c r="H996" s="7">
        <v>158</v>
      </c>
      <c r="I996" s="5">
        <v>90</v>
      </c>
      <c r="J996" s="5">
        <f t="shared" si="15"/>
        <v>14220</v>
      </c>
      <c r="K996" s="7">
        <v>22</v>
      </c>
      <c r="L996" s="7" t="s">
        <v>33</v>
      </c>
      <c r="M996" s="7"/>
    </row>
    <row r="997" spans="2:13" ht="15.6" thickTop="1" thickBot="1" x14ac:dyDescent="0.35">
      <c r="B997" s="8">
        <v>995</v>
      </c>
      <c r="C997" s="9" t="s">
        <v>10</v>
      </c>
      <c r="D997" s="19">
        <v>45653</v>
      </c>
      <c r="E997" s="9" t="s">
        <v>18</v>
      </c>
      <c r="F997" s="9" t="s">
        <v>27</v>
      </c>
      <c r="G997" s="9" t="s">
        <v>28</v>
      </c>
      <c r="H997" s="9">
        <v>41</v>
      </c>
      <c r="I997" s="5">
        <v>135</v>
      </c>
      <c r="J997" s="5">
        <f t="shared" si="15"/>
        <v>5535</v>
      </c>
      <c r="K997" s="9">
        <v>17</v>
      </c>
      <c r="L997" s="9" t="s">
        <v>34</v>
      </c>
      <c r="M997" s="9">
        <v>5</v>
      </c>
    </row>
    <row r="998" spans="2:13" ht="15.6" thickTop="1" thickBot="1" x14ac:dyDescent="0.35">
      <c r="B998" s="6">
        <v>996</v>
      </c>
      <c r="C998" s="7" t="s">
        <v>11</v>
      </c>
      <c r="D998" s="18">
        <v>45654</v>
      </c>
      <c r="E998" s="7" t="s">
        <v>19</v>
      </c>
      <c r="F998" s="7" t="s">
        <v>23</v>
      </c>
      <c r="G998" s="7" t="s">
        <v>29</v>
      </c>
      <c r="H998" s="7">
        <v>249</v>
      </c>
      <c r="I998" s="5">
        <v>45</v>
      </c>
      <c r="J998" s="5">
        <f t="shared" si="15"/>
        <v>11205</v>
      </c>
      <c r="K998" s="7">
        <v>16</v>
      </c>
      <c r="L998" s="7" t="s">
        <v>34</v>
      </c>
      <c r="M998" s="7">
        <v>5</v>
      </c>
    </row>
    <row r="999" spans="2:13" ht="15.6" thickTop="1" thickBot="1" x14ac:dyDescent="0.35">
      <c r="B999" s="8">
        <v>997</v>
      </c>
      <c r="C999" s="9" t="s">
        <v>11</v>
      </c>
      <c r="D999" s="19">
        <v>45655</v>
      </c>
      <c r="E999" s="9" t="s">
        <v>12</v>
      </c>
      <c r="F999" s="9" t="s">
        <v>23</v>
      </c>
      <c r="G999" s="9" t="s">
        <v>28</v>
      </c>
      <c r="H999" s="9">
        <v>164</v>
      </c>
      <c r="I999" s="5">
        <v>90</v>
      </c>
      <c r="J999" s="5">
        <f t="shared" si="15"/>
        <v>14760</v>
      </c>
      <c r="K999" s="9">
        <v>16</v>
      </c>
      <c r="L999" s="9" t="s">
        <v>33</v>
      </c>
      <c r="M999" s="9">
        <v>3</v>
      </c>
    </row>
    <row r="1000" spans="2:13" ht="15.6" thickTop="1" thickBot="1" x14ac:dyDescent="0.35">
      <c r="B1000" s="6">
        <v>998</v>
      </c>
      <c r="C1000" s="7" t="s">
        <v>11</v>
      </c>
      <c r="D1000" s="18">
        <v>45656</v>
      </c>
      <c r="E1000" s="7" t="s">
        <v>17</v>
      </c>
      <c r="F1000" s="7" t="s">
        <v>24</v>
      </c>
      <c r="G1000" s="7" t="s">
        <v>28</v>
      </c>
      <c r="H1000" s="7">
        <v>120</v>
      </c>
      <c r="I1000" s="5">
        <v>45</v>
      </c>
      <c r="J1000" s="5">
        <f t="shared" si="15"/>
        <v>5400</v>
      </c>
      <c r="K1000" s="7">
        <v>18</v>
      </c>
      <c r="L1000" s="7" t="s">
        <v>35</v>
      </c>
      <c r="M1000" s="7">
        <v>3</v>
      </c>
    </row>
    <row r="1001" spans="2:13" ht="15.6" thickTop="1" thickBot="1" x14ac:dyDescent="0.35">
      <c r="B1001" s="8">
        <v>999</v>
      </c>
      <c r="C1001" s="9" t="s">
        <v>11</v>
      </c>
      <c r="D1001" s="19">
        <v>45657</v>
      </c>
      <c r="E1001" s="9" t="s">
        <v>14</v>
      </c>
      <c r="F1001" s="9" t="s">
        <v>25</v>
      </c>
      <c r="G1001" s="9" t="s">
        <v>31</v>
      </c>
      <c r="H1001" s="9">
        <v>84</v>
      </c>
      <c r="I1001" s="5">
        <v>225</v>
      </c>
      <c r="J1001" s="5">
        <f t="shared" si="15"/>
        <v>18900</v>
      </c>
      <c r="K1001" s="9">
        <v>14</v>
      </c>
      <c r="L1001" s="9" t="s">
        <v>35</v>
      </c>
      <c r="M1001" s="9">
        <v>3</v>
      </c>
    </row>
    <row r="1002" spans="2:13" ht="15.6" thickTop="1" thickBot="1" x14ac:dyDescent="0.35">
      <c r="B1002" s="6">
        <v>1000</v>
      </c>
      <c r="C1002" s="7" t="s">
        <v>10</v>
      </c>
      <c r="D1002" s="18">
        <v>45658</v>
      </c>
      <c r="E1002" s="7" t="s">
        <v>14</v>
      </c>
      <c r="F1002" s="7" t="s">
        <v>25</v>
      </c>
      <c r="G1002" s="7" t="s">
        <v>31</v>
      </c>
      <c r="H1002" s="7">
        <v>49</v>
      </c>
      <c r="I1002" s="5">
        <v>225</v>
      </c>
      <c r="J1002" s="5">
        <f t="shared" si="15"/>
        <v>11025</v>
      </c>
      <c r="K1002" s="7">
        <v>11</v>
      </c>
      <c r="L1002" s="7" t="s">
        <v>33</v>
      </c>
      <c r="M1002" s="7">
        <v>3</v>
      </c>
    </row>
    <row r="1003" spans="2:13" ht="15.6" thickTop="1" thickBot="1" x14ac:dyDescent="0.35">
      <c r="B1003" s="8">
        <v>1001</v>
      </c>
      <c r="C1003" s="9" t="s">
        <v>10</v>
      </c>
      <c r="D1003" s="19">
        <v>45659</v>
      </c>
      <c r="E1003" s="9" t="s">
        <v>15</v>
      </c>
      <c r="F1003" s="9" t="s">
        <v>25</v>
      </c>
      <c r="G1003" s="9" t="s">
        <v>31</v>
      </c>
      <c r="H1003" s="9">
        <v>249</v>
      </c>
      <c r="I1003" s="5">
        <v>135</v>
      </c>
      <c r="J1003" s="5">
        <f t="shared" si="15"/>
        <v>33615</v>
      </c>
      <c r="K1003" s="9">
        <v>16</v>
      </c>
      <c r="L1003" s="9" t="s">
        <v>34</v>
      </c>
      <c r="M1003" s="9">
        <v>2</v>
      </c>
    </row>
    <row r="1004" spans="2:13" ht="15.6" thickTop="1" thickBot="1" x14ac:dyDescent="0.35">
      <c r="B1004" s="6">
        <v>1002</v>
      </c>
      <c r="C1004" s="7" t="s">
        <v>11</v>
      </c>
      <c r="D1004" s="18">
        <v>45660</v>
      </c>
      <c r="E1004" s="7" t="s">
        <v>12</v>
      </c>
      <c r="F1004" s="7" t="s">
        <v>23</v>
      </c>
      <c r="G1004" s="7" t="s">
        <v>32</v>
      </c>
      <c r="H1004" s="7">
        <v>161</v>
      </c>
      <c r="I1004" s="5">
        <v>180</v>
      </c>
      <c r="J1004" s="5">
        <f t="shared" si="15"/>
        <v>28980</v>
      </c>
      <c r="K1004" s="7">
        <v>12</v>
      </c>
      <c r="L1004" s="7" t="s">
        <v>34</v>
      </c>
      <c r="M1004" s="7">
        <v>2</v>
      </c>
    </row>
    <row r="1005" spans="2:13" ht="15.6" thickTop="1" thickBot="1" x14ac:dyDescent="0.35">
      <c r="B1005" s="8">
        <v>1003</v>
      </c>
      <c r="C1005" s="9" t="s">
        <v>11</v>
      </c>
      <c r="D1005" s="19">
        <v>45661</v>
      </c>
      <c r="E1005" s="9" t="s">
        <v>16</v>
      </c>
      <c r="F1005" s="9" t="s">
        <v>26</v>
      </c>
      <c r="G1005" s="9" t="s">
        <v>28</v>
      </c>
      <c r="H1005" s="9">
        <v>124</v>
      </c>
      <c r="I1005" s="5">
        <v>45</v>
      </c>
      <c r="J1005" s="5">
        <f t="shared" si="15"/>
        <v>5580</v>
      </c>
      <c r="K1005" s="9">
        <v>18</v>
      </c>
      <c r="L1005" s="9" t="s">
        <v>34</v>
      </c>
      <c r="M1005" s="9">
        <v>5</v>
      </c>
    </row>
    <row r="1006" spans="2:13" ht="15.6" thickTop="1" thickBot="1" x14ac:dyDescent="0.35">
      <c r="B1006" s="6">
        <v>1004</v>
      </c>
      <c r="C1006" s="7" t="s">
        <v>10</v>
      </c>
      <c r="D1006" s="18">
        <v>45662</v>
      </c>
      <c r="E1006" s="7" t="s">
        <v>17</v>
      </c>
      <c r="F1006" s="7" t="s">
        <v>24</v>
      </c>
      <c r="G1006" s="7" t="s">
        <v>28</v>
      </c>
      <c r="H1006" s="7">
        <v>64</v>
      </c>
      <c r="I1006" s="5">
        <v>180</v>
      </c>
      <c r="J1006" s="5">
        <f t="shared" si="15"/>
        <v>11520</v>
      </c>
      <c r="K1006" s="7">
        <v>20</v>
      </c>
      <c r="L1006" s="7" t="s">
        <v>33</v>
      </c>
      <c r="M1006" s="7"/>
    </row>
    <row r="1007" spans="2:13" ht="15.6" thickTop="1" thickBot="1" x14ac:dyDescent="0.35">
      <c r="B1007" s="8">
        <v>1005</v>
      </c>
      <c r="C1007" s="9" t="s">
        <v>11</v>
      </c>
      <c r="D1007" s="19">
        <v>45663</v>
      </c>
      <c r="E1007" s="9" t="s">
        <v>13</v>
      </c>
      <c r="F1007" s="9" t="s">
        <v>24</v>
      </c>
      <c r="G1007" s="9" t="s">
        <v>30</v>
      </c>
      <c r="H1007" s="9">
        <v>163</v>
      </c>
      <c r="I1007" s="5">
        <v>135</v>
      </c>
      <c r="J1007" s="5">
        <f t="shared" si="15"/>
        <v>22005</v>
      </c>
      <c r="K1007" s="9">
        <v>10</v>
      </c>
      <c r="L1007" s="9" t="s">
        <v>33</v>
      </c>
      <c r="M1007" s="9"/>
    </row>
    <row r="1008" spans="2:13" ht="15.6" thickTop="1" thickBot="1" x14ac:dyDescent="0.35">
      <c r="B1008" s="6">
        <v>1006</v>
      </c>
      <c r="C1008" s="7" t="s">
        <v>11</v>
      </c>
      <c r="D1008" s="18">
        <v>45664</v>
      </c>
      <c r="E1008" s="7" t="s">
        <v>18</v>
      </c>
      <c r="F1008" s="7" t="s">
        <v>27</v>
      </c>
      <c r="G1008" s="7" t="s">
        <v>31</v>
      </c>
      <c r="H1008" s="7">
        <v>154</v>
      </c>
      <c r="I1008" s="5">
        <v>90</v>
      </c>
      <c r="J1008" s="5">
        <f t="shared" si="15"/>
        <v>13860</v>
      </c>
      <c r="K1008" s="7">
        <v>10</v>
      </c>
      <c r="L1008" s="7" t="s">
        <v>33</v>
      </c>
      <c r="M1008" s="7">
        <v>3</v>
      </c>
    </row>
    <row r="1009" spans="2:13" ht="15.6" thickTop="1" thickBot="1" x14ac:dyDescent="0.35">
      <c r="B1009" s="8">
        <v>1007</v>
      </c>
      <c r="C1009" s="9" t="s">
        <v>10</v>
      </c>
      <c r="D1009" s="19">
        <v>45665</v>
      </c>
      <c r="E1009" s="9" t="s">
        <v>19</v>
      </c>
      <c r="F1009" s="9" t="s">
        <v>23</v>
      </c>
      <c r="G1009" s="9" t="s">
        <v>31</v>
      </c>
      <c r="H1009" s="9">
        <v>166</v>
      </c>
      <c r="I1009" s="5">
        <v>90</v>
      </c>
      <c r="J1009" s="5">
        <f t="shared" si="15"/>
        <v>14940</v>
      </c>
      <c r="K1009" s="9">
        <v>10</v>
      </c>
      <c r="L1009" s="9" t="s">
        <v>35</v>
      </c>
      <c r="M1009" s="9"/>
    </row>
    <row r="1010" spans="2:13" ht="15.6" thickTop="1" thickBot="1" x14ac:dyDescent="0.35">
      <c r="B1010" s="6">
        <v>1008</v>
      </c>
      <c r="C1010" s="7" t="s">
        <v>10</v>
      </c>
      <c r="D1010" s="18">
        <v>45666</v>
      </c>
      <c r="E1010" s="7" t="s">
        <v>17</v>
      </c>
      <c r="F1010" s="7" t="s">
        <v>24</v>
      </c>
      <c r="G1010" s="7" t="s">
        <v>31</v>
      </c>
      <c r="H1010" s="7">
        <v>76</v>
      </c>
      <c r="I1010" s="5">
        <v>135</v>
      </c>
      <c r="J1010" s="5">
        <f t="shared" si="15"/>
        <v>10260</v>
      </c>
      <c r="K1010" s="7">
        <v>14</v>
      </c>
      <c r="L1010" s="7" t="s">
        <v>33</v>
      </c>
      <c r="M1010" s="7"/>
    </row>
    <row r="1011" spans="2:13" ht="15.6" thickTop="1" thickBot="1" x14ac:dyDescent="0.35">
      <c r="B1011" s="8">
        <v>1009</v>
      </c>
      <c r="C1011" s="9" t="s">
        <v>11</v>
      </c>
      <c r="D1011" s="19">
        <v>45667</v>
      </c>
      <c r="E1011" s="9" t="s">
        <v>17</v>
      </c>
      <c r="F1011" s="9" t="s">
        <v>24</v>
      </c>
      <c r="G1011" s="9" t="s">
        <v>31</v>
      </c>
      <c r="H1011" s="9">
        <v>240</v>
      </c>
      <c r="I1011" s="5">
        <v>45</v>
      </c>
      <c r="J1011" s="5">
        <f t="shared" si="15"/>
        <v>10800</v>
      </c>
      <c r="K1011" s="9">
        <v>16</v>
      </c>
      <c r="L1011" s="9" t="s">
        <v>34</v>
      </c>
      <c r="M1011" s="9">
        <v>2</v>
      </c>
    </row>
    <row r="1012" spans="2:13" ht="15.6" thickTop="1" thickBot="1" x14ac:dyDescent="0.35">
      <c r="B1012" s="6">
        <v>1010</v>
      </c>
      <c r="C1012" s="7" t="s">
        <v>11</v>
      </c>
      <c r="D1012" s="18">
        <v>45668</v>
      </c>
      <c r="E1012" s="7" t="s">
        <v>15</v>
      </c>
      <c r="F1012" s="7" t="s">
        <v>25</v>
      </c>
      <c r="G1012" s="7" t="s">
        <v>28</v>
      </c>
      <c r="H1012" s="7">
        <v>195</v>
      </c>
      <c r="I1012" s="5">
        <v>225</v>
      </c>
      <c r="J1012" s="5">
        <f t="shared" si="15"/>
        <v>43875</v>
      </c>
      <c r="K1012" s="7">
        <v>12</v>
      </c>
      <c r="L1012" s="7" t="s">
        <v>35</v>
      </c>
      <c r="M1012" s="7">
        <v>3</v>
      </c>
    </row>
    <row r="1013" spans="2:13" ht="15.6" thickTop="1" thickBot="1" x14ac:dyDescent="0.35">
      <c r="B1013" s="8">
        <v>1011</v>
      </c>
      <c r="C1013" s="9" t="s">
        <v>10</v>
      </c>
      <c r="D1013" s="19">
        <v>45669</v>
      </c>
      <c r="E1013" s="9" t="s">
        <v>15</v>
      </c>
      <c r="F1013" s="9" t="s">
        <v>25</v>
      </c>
      <c r="G1013" s="9" t="s">
        <v>29</v>
      </c>
      <c r="H1013" s="9">
        <v>178</v>
      </c>
      <c r="I1013" s="5">
        <v>135</v>
      </c>
      <c r="J1013" s="5">
        <f t="shared" si="15"/>
        <v>24030</v>
      </c>
      <c r="K1013" s="9">
        <v>10</v>
      </c>
      <c r="L1013" s="9" t="s">
        <v>35</v>
      </c>
      <c r="M1013" s="9"/>
    </row>
    <row r="1014" spans="2:13" ht="15.6" thickTop="1" thickBot="1" x14ac:dyDescent="0.35">
      <c r="B1014" s="6">
        <v>1012</v>
      </c>
      <c r="C1014" s="7" t="s">
        <v>11</v>
      </c>
      <c r="D1014" s="18">
        <v>45670</v>
      </c>
      <c r="E1014" s="7" t="s">
        <v>15</v>
      </c>
      <c r="F1014" s="7" t="s">
        <v>25</v>
      </c>
      <c r="G1014" s="7" t="s">
        <v>31</v>
      </c>
      <c r="H1014" s="7">
        <v>51</v>
      </c>
      <c r="I1014" s="5">
        <v>90</v>
      </c>
      <c r="J1014" s="5">
        <f t="shared" si="15"/>
        <v>4590</v>
      </c>
      <c r="K1014" s="7">
        <v>20</v>
      </c>
      <c r="L1014" s="7" t="s">
        <v>33</v>
      </c>
      <c r="M1014" s="7"/>
    </row>
    <row r="1015" spans="2:13" ht="15.6" thickTop="1" thickBot="1" x14ac:dyDescent="0.35">
      <c r="B1015" s="8">
        <v>1013</v>
      </c>
      <c r="C1015" s="9" t="s">
        <v>10</v>
      </c>
      <c r="D1015" s="19">
        <v>45671</v>
      </c>
      <c r="E1015" s="9" t="s">
        <v>15</v>
      </c>
      <c r="F1015" s="9" t="s">
        <v>25</v>
      </c>
      <c r="G1015" s="9" t="s">
        <v>30</v>
      </c>
      <c r="H1015" s="9">
        <v>153</v>
      </c>
      <c r="I1015" s="5">
        <v>180</v>
      </c>
      <c r="J1015" s="5">
        <f t="shared" si="15"/>
        <v>27540</v>
      </c>
      <c r="K1015" s="9">
        <v>10</v>
      </c>
      <c r="L1015" s="9" t="s">
        <v>35</v>
      </c>
      <c r="M1015" s="9"/>
    </row>
    <row r="1016" spans="2:13" ht="15.6" thickTop="1" thickBot="1" x14ac:dyDescent="0.35">
      <c r="B1016" s="6">
        <v>1014</v>
      </c>
      <c r="C1016" s="7" t="s">
        <v>11</v>
      </c>
      <c r="D1016" s="18">
        <v>45672</v>
      </c>
      <c r="E1016" s="7" t="s">
        <v>20</v>
      </c>
      <c r="F1016" s="7" t="s">
        <v>20</v>
      </c>
      <c r="G1016" s="7" t="s">
        <v>29</v>
      </c>
      <c r="H1016" s="7">
        <v>190</v>
      </c>
      <c r="I1016" s="5">
        <v>45</v>
      </c>
      <c r="J1016" s="5">
        <f t="shared" si="15"/>
        <v>8550</v>
      </c>
      <c r="K1016" s="7">
        <v>16</v>
      </c>
      <c r="L1016" s="7" t="s">
        <v>34</v>
      </c>
      <c r="M1016" s="7"/>
    </row>
    <row r="1017" spans="2:13" ht="15.6" thickTop="1" thickBot="1" x14ac:dyDescent="0.35">
      <c r="B1017" s="8">
        <v>1015</v>
      </c>
      <c r="C1017" s="9" t="s">
        <v>10</v>
      </c>
      <c r="D1017" s="19">
        <v>45673</v>
      </c>
      <c r="E1017" s="9" t="s">
        <v>12</v>
      </c>
      <c r="F1017" s="9" t="s">
        <v>23</v>
      </c>
      <c r="G1017" s="9" t="s">
        <v>28</v>
      </c>
      <c r="H1017" s="9">
        <v>166</v>
      </c>
      <c r="I1017" s="5">
        <v>45</v>
      </c>
      <c r="J1017" s="5">
        <f t="shared" si="15"/>
        <v>7470</v>
      </c>
      <c r="K1017" s="9">
        <v>20</v>
      </c>
      <c r="L1017" s="9" t="s">
        <v>33</v>
      </c>
      <c r="M1017" s="9">
        <v>2</v>
      </c>
    </row>
    <row r="1018" spans="2:13" ht="15.6" thickTop="1" thickBot="1" x14ac:dyDescent="0.35">
      <c r="B1018" s="6">
        <v>1016</v>
      </c>
      <c r="C1018" s="7" t="s">
        <v>11</v>
      </c>
      <c r="D1018" s="18">
        <v>45674</v>
      </c>
      <c r="E1018" s="7" t="s">
        <v>20</v>
      </c>
      <c r="F1018" s="7" t="s">
        <v>20</v>
      </c>
      <c r="G1018" s="7" t="s">
        <v>32</v>
      </c>
      <c r="H1018" s="7">
        <v>173</v>
      </c>
      <c r="I1018" s="5">
        <v>225</v>
      </c>
      <c r="J1018" s="5">
        <f t="shared" si="15"/>
        <v>38925</v>
      </c>
      <c r="K1018" s="7">
        <v>10</v>
      </c>
      <c r="L1018" s="7" t="s">
        <v>33</v>
      </c>
      <c r="M1018" s="7">
        <v>2</v>
      </c>
    </row>
    <row r="1019" spans="2:13" ht="15.6" thickTop="1" thickBot="1" x14ac:dyDescent="0.35">
      <c r="B1019" s="8">
        <v>1017</v>
      </c>
      <c r="C1019" s="9" t="s">
        <v>10</v>
      </c>
      <c r="D1019" s="19">
        <v>45675</v>
      </c>
      <c r="E1019" s="9" t="s">
        <v>22</v>
      </c>
      <c r="F1019" s="9" t="s">
        <v>25</v>
      </c>
      <c r="G1019" s="9" t="s">
        <v>31</v>
      </c>
      <c r="H1019" s="9">
        <v>157</v>
      </c>
      <c r="I1019" s="5">
        <v>225</v>
      </c>
      <c r="J1019" s="5">
        <f t="shared" si="15"/>
        <v>35325</v>
      </c>
      <c r="K1019" s="9">
        <v>18</v>
      </c>
      <c r="L1019" s="9" t="s">
        <v>34</v>
      </c>
      <c r="M1019" s="9">
        <v>4</v>
      </c>
    </row>
    <row r="1020" spans="2:13" ht="15.6" thickTop="1" thickBot="1" x14ac:dyDescent="0.35">
      <c r="B1020" s="6">
        <v>1018</v>
      </c>
      <c r="C1020" s="7" t="s">
        <v>11</v>
      </c>
      <c r="D1020" s="18">
        <v>45676</v>
      </c>
      <c r="E1020" s="7" t="s">
        <v>14</v>
      </c>
      <c r="F1020" s="7" t="s">
        <v>25</v>
      </c>
      <c r="G1020" s="7" t="s">
        <v>29</v>
      </c>
      <c r="H1020" s="7">
        <v>192</v>
      </c>
      <c r="I1020" s="5">
        <v>225</v>
      </c>
      <c r="J1020" s="5">
        <f t="shared" si="15"/>
        <v>43200</v>
      </c>
      <c r="K1020" s="7">
        <v>18</v>
      </c>
      <c r="L1020" s="7" t="s">
        <v>33</v>
      </c>
      <c r="M1020" s="7">
        <v>4</v>
      </c>
    </row>
    <row r="1021" spans="2:13" ht="15.6" thickTop="1" thickBot="1" x14ac:dyDescent="0.35">
      <c r="B1021" s="8">
        <v>1019</v>
      </c>
      <c r="C1021" s="9" t="s">
        <v>11</v>
      </c>
      <c r="D1021" s="19">
        <v>45677</v>
      </c>
      <c r="E1021" s="9" t="s">
        <v>13</v>
      </c>
      <c r="F1021" s="9" t="s">
        <v>24</v>
      </c>
      <c r="G1021" s="9" t="s">
        <v>30</v>
      </c>
      <c r="H1021" s="9">
        <v>246</v>
      </c>
      <c r="I1021" s="5">
        <v>180</v>
      </c>
      <c r="J1021" s="5">
        <f t="shared" si="15"/>
        <v>44280</v>
      </c>
      <c r="K1021" s="9">
        <v>8</v>
      </c>
      <c r="L1021" s="9" t="s">
        <v>33</v>
      </c>
      <c r="M1021" s="9">
        <v>5</v>
      </c>
    </row>
    <row r="1022" spans="2:13" ht="15.6" thickTop="1" thickBot="1" x14ac:dyDescent="0.35">
      <c r="B1022" s="6">
        <v>1020</v>
      </c>
      <c r="C1022" s="7" t="s">
        <v>11</v>
      </c>
      <c r="D1022" s="18">
        <v>45678</v>
      </c>
      <c r="E1022" s="7" t="s">
        <v>19</v>
      </c>
      <c r="F1022" s="7" t="s">
        <v>23</v>
      </c>
      <c r="G1022" s="7" t="s">
        <v>32</v>
      </c>
      <c r="H1022" s="7">
        <v>126</v>
      </c>
      <c r="I1022" s="5">
        <v>180</v>
      </c>
      <c r="J1022" s="5">
        <f t="shared" si="15"/>
        <v>22680</v>
      </c>
      <c r="K1022" s="7">
        <v>20</v>
      </c>
      <c r="L1022" s="7" t="s">
        <v>35</v>
      </c>
      <c r="M1022" s="7"/>
    </row>
    <row r="1023" spans="2:13" ht="15.6" thickTop="1" thickBot="1" x14ac:dyDescent="0.35">
      <c r="B1023" s="8">
        <v>1021</v>
      </c>
      <c r="C1023" s="9" t="s">
        <v>11</v>
      </c>
      <c r="D1023" s="19">
        <v>45679</v>
      </c>
      <c r="E1023" s="9" t="s">
        <v>13</v>
      </c>
      <c r="F1023" s="9" t="s">
        <v>24</v>
      </c>
      <c r="G1023" s="9" t="s">
        <v>32</v>
      </c>
      <c r="H1023" s="9">
        <v>62</v>
      </c>
      <c r="I1023" s="5">
        <v>45</v>
      </c>
      <c r="J1023" s="5">
        <f t="shared" si="15"/>
        <v>2790</v>
      </c>
      <c r="K1023" s="9">
        <v>15</v>
      </c>
      <c r="L1023" s="9" t="s">
        <v>34</v>
      </c>
      <c r="M1023" s="9">
        <v>2</v>
      </c>
    </row>
    <row r="1024" spans="2:13" ht="15.6" thickTop="1" thickBot="1" x14ac:dyDescent="0.35">
      <c r="B1024" s="6">
        <v>1022</v>
      </c>
      <c r="C1024" s="7" t="s">
        <v>11</v>
      </c>
      <c r="D1024" s="18">
        <v>45680</v>
      </c>
      <c r="E1024" s="7" t="s">
        <v>21</v>
      </c>
      <c r="F1024" s="7" t="s">
        <v>26</v>
      </c>
      <c r="G1024" s="7" t="s">
        <v>30</v>
      </c>
      <c r="H1024" s="7">
        <v>148</v>
      </c>
      <c r="I1024" s="5">
        <v>225</v>
      </c>
      <c r="J1024" s="5">
        <f t="shared" si="15"/>
        <v>33300</v>
      </c>
      <c r="K1024" s="7">
        <v>17</v>
      </c>
      <c r="L1024" s="7" t="s">
        <v>35</v>
      </c>
      <c r="M1024" s="7">
        <v>2</v>
      </c>
    </row>
    <row r="1025" spans="2:13" ht="15.6" thickTop="1" thickBot="1" x14ac:dyDescent="0.35">
      <c r="B1025" s="8">
        <v>1023</v>
      </c>
      <c r="C1025" s="9" t="s">
        <v>11</v>
      </c>
      <c r="D1025" s="19">
        <v>45681</v>
      </c>
      <c r="E1025" s="9" t="s">
        <v>15</v>
      </c>
      <c r="F1025" s="9" t="s">
        <v>25</v>
      </c>
      <c r="G1025" s="9" t="s">
        <v>32</v>
      </c>
      <c r="H1025" s="9">
        <v>205</v>
      </c>
      <c r="I1025" s="5">
        <v>45</v>
      </c>
      <c r="J1025" s="5">
        <f t="shared" si="15"/>
        <v>9225</v>
      </c>
      <c r="K1025" s="9">
        <v>10</v>
      </c>
      <c r="L1025" s="9" t="s">
        <v>34</v>
      </c>
      <c r="M1025" s="9">
        <v>5</v>
      </c>
    </row>
    <row r="1026" spans="2:13" ht="15.6" thickTop="1" thickBot="1" x14ac:dyDescent="0.35">
      <c r="B1026" s="6">
        <v>1024</v>
      </c>
      <c r="C1026" s="7" t="s">
        <v>10</v>
      </c>
      <c r="D1026" s="18">
        <v>45682</v>
      </c>
      <c r="E1026" s="7" t="s">
        <v>22</v>
      </c>
      <c r="F1026" s="7" t="s">
        <v>25</v>
      </c>
      <c r="G1026" s="7" t="s">
        <v>30</v>
      </c>
      <c r="H1026" s="7">
        <v>163</v>
      </c>
      <c r="I1026" s="5">
        <v>135</v>
      </c>
      <c r="J1026" s="5">
        <f t="shared" si="15"/>
        <v>22005</v>
      </c>
      <c r="K1026" s="7">
        <v>20</v>
      </c>
      <c r="L1026" s="7" t="s">
        <v>35</v>
      </c>
      <c r="M1026" s="7">
        <v>5</v>
      </c>
    </row>
    <row r="1027" spans="2:13" ht="15.6" thickTop="1" thickBot="1" x14ac:dyDescent="0.35">
      <c r="B1027" s="8">
        <v>1025</v>
      </c>
      <c r="C1027" s="9" t="s">
        <v>11</v>
      </c>
      <c r="D1027" s="19">
        <v>45683</v>
      </c>
      <c r="E1027" s="9" t="s">
        <v>17</v>
      </c>
      <c r="F1027" s="9" t="s">
        <v>24</v>
      </c>
      <c r="G1027" s="9" t="s">
        <v>31</v>
      </c>
      <c r="H1027" s="9">
        <v>54</v>
      </c>
      <c r="I1027" s="5">
        <v>135</v>
      </c>
      <c r="J1027" s="5">
        <f t="shared" si="15"/>
        <v>7290</v>
      </c>
      <c r="K1027" s="9">
        <v>18</v>
      </c>
      <c r="L1027" s="9" t="s">
        <v>33</v>
      </c>
      <c r="M1027" s="9"/>
    </row>
    <row r="1028" spans="2:13" ht="15.6" thickTop="1" thickBot="1" x14ac:dyDescent="0.35">
      <c r="B1028" s="6">
        <v>1026</v>
      </c>
      <c r="C1028" s="7" t="s">
        <v>10</v>
      </c>
      <c r="D1028" s="18">
        <v>45684</v>
      </c>
      <c r="E1028" s="7" t="s">
        <v>17</v>
      </c>
      <c r="F1028" s="7" t="s">
        <v>24</v>
      </c>
      <c r="G1028" s="7" t="s">
        <v>29</v>
      </c>
      <c r="H1028" s="7">
        <v>78</v>
      </c>
      <c r="I1028" s="5">
        <v>90</v>
      </c>
      <c r="J1028" s="5">
        <f t="shared" ref="J1028:J1091" si="16">H1028*I1028</f>
        <v>7020</v>
      </c>
      <c r="K1028" s="7">
        <v>16</v>
      </c>
      <c r="L1028" s="7" t="s">
        <v>34</v>
      </c>
      <c r="M1028" s="7">
        <v>1</v>
      </c>
    </row>
    <row r="1029" spans="2:13" ht="15.6" thickTop="1" thickBot="1" x14ac:dyDescent="0.35">
      <c r="B1029" s="8">
        <v>1027</v>
      </c>
      <c r="C1029" s="9" t="s">
        <v>11</v>
      </c>
      <c r="D1029" s="19">
        <v>45685</v>
      </c>
      <c r="E1029" s="9" t="s">
        <v>19</v>
      </c>
      <c r="F1029" s="9" t="s">
        <v>23</v>
      </c>
      <c r="G1029" s="9" t="s">
        <v>29</v>
      </c>
      <c r="H1029" s="9">
        <v>163</v>
      </c>
      <c r="I1029" s="5">
        <v>180</v>
      </c>
      <c r="J1029" s="5">
        <f t="shared" si="16"/>
        <v>29340</v>
      </c>
      <c r="K1029" s="9">
        <v>13</v>
      </c>
      <c r="L1029" s="9" t="s">
        <v>33</v>
      </c>
      <c r="M1029" s="9">
        <v>3</v>
      </c>
    </row>
    <row r="1030" spans="2:13" ht="15.6" thickTop="1" thickBot="1" x14ac:dyDescent="0.35">
      <c r="B1030" s="6">
        <v>1028</v>
      </c>
      <c r="C1030" s="7" t="s">
        <v>10</v>
      </c>
      <c r="D1030" s="18">
        <v>45686</v>
      </c>
      <c r="E1030" s="7" t="s">
        <v>14</v>
      </c>
      <c r="F1030" s="7" t="s">
        <v>25</v>
      </c>
      <c r="G1030" s="7" t="s">
        <v>30</v>
      </c>
      <c r="H1030" s="7">
        <v>157</v>
      </c>
      <c r="I1030" s="5">
        <v>90</v>
      </c>
      <c r="J1030" s="5">
        <f t="shared" si="16"/>
        <v>14130</v>
      </c>
      <c r="K1030" s="7">
        <v>21</v>
      </c>
      <c r="L1030" s="7" t="s">
        <v>35</v>
      </c>
      <c r="M1030" s="7">
        <v>3</v>
      </c>
    </row>
    <row r="1031" spans="2:13" ht="15.6" thickTop="1" thickBot="1" x14ac:dyDescent="0.35">
      <c r="B1031" s="8">
        <v>1029</v>
      </c>
      <c r="C1031" s="9" t="s">
        <v>11</v>
      </c>
      <c r="D1031" s="19">
        <v>45687</v>
      </c>
      <c r="E1031" s="9" t="s">
        <v>16</v>
      </c>
      <c r="F1031" s="9" t="s">
        <v>26</v>
      </c>
      <c r="G1031" s="9" t="s">
        <v>30</v>
      </c>
      <c r="H1031" s="9">
        <v>76</v>
      </c>
      <c r="I1031" s="5">
        <v>90</v>
      </c>
      <c r="J1031" s="5">
        <f t="shared" si="16"/>
        <v>6840</v>
      </c>
      <c r="K1031" s="9">
        <v>16</v>
      </c>
      <c r="L1031" s="9" t="s">
        <v>33</v>
      </c>
      <c r="M1031" s="9">
        <v>1</v>
      </c>
    </row>
    <row r="1032" spans="2:13" ht="15.6" thickTop="1" thickBot="1" x14ac:dyDescent="0.35">
      <c r="B1032" s="6">
        <v>1030</v>
      </c>
      <c r="C1032" s="7" t="s">
        <v>11</v>
      </c>
      <c r="D1032" s="18">
        <v>45688</v>
      </c>
      <c r="E1032" s="7" t="s">
        <v>14</v>
      </c>
      <c r="F1032" s="7" t="s">
        <v>25</v>
      </c>
      <c r="G1032" s="7" t="s">
        <v>31</v>
      </c>
      <c r="H1032" s="7">
        <v>123</v>
      </c>
      <c r="I1032" s="5">
        <v>45</v>
      </c>
      <c r="J1032" s="5">
        <f t="shared" si="16"/>
        <v>5535</v>
      </c>
      <c r="K1032" s="7">
        <v>19</v>
      </c>
      <c r="L1032" s="7" t="s">
        <v>34</v>
      </c>
      <c r="M1032" s="7">
        <v>3</v>
      </c>
    </row>
    <row r="1033" spans="2:13" ht="15.6" thickTop="1" thickBot="1" x14ac:dyDescent="0.35">
      <c r="B1033" s="8">
        <v>1031</v>
      </c>
      <c r="C1033" s="9" t="s">
        <v>10</v>
      </c>
      <c r="D1033" s="19">
        <v>45689</v>
      </c>
      <c r="E1033" s="9" t="s">
        <v>18</v>
      </c>
      <c r="F1033" s="9" t="s">
        <v>27</v>
      </c>
      <c r="G1033" s="9" t="s">
        <v>32</v>
      </c>
      <c r="H1033" s="9">
        <v>42</v>
      </c>
      <c r="I1033" s="5">
        <v>45</v>
      </c>
      <c r="J1033" s="5">
        <f t="shared" si="16"/>
        <v>1890</v>
      </c>
      <c r="K1033" s="9">
        <v>15</v>
      </c>
      <c r="L1033" s="9" t="s">
        <v>33</v>
      </c>
      <c r="M1033" s="9">
        <v>1</v>
      </c>
    </row>
    <row r="1034" spans="2:13" ht="15.6" thickTop="1" thickBot="1" x14ac:dyDescent="0.35">
      <c r="B1034" s="6">
        <v>1032</v>
      </c>
      <c r="C1034" s="7" t="s">
        <v>11</v>
      </c>
      <c r="D1034" s="18">
        <v>45690</v>
      </c>
      <c r="E1034" s="7" t="s">
        <v>20</v>
      </c>
      <c r="F1034" s="7" t="s">
        <v>20</v>
      </c>
      <c r="G1034" s="7" t="s">
        <v>32</v>
      </c>
      <c r="H1034" s="7">
        <v>95</v>
      </c>
      <c r="I1034" s="5">
        <v>45</v>
      </c>
      <c r="J1034" s="5">
        <f t="shared" si="16"/>
        <v>4275</v>
      </c>
      <c r="K1034" s="7">
        <v>7</v>
      </c>
      <c r="L1034" s="7" t="s">
        <v>35</v>
      </c>
      <c r="M1034" s="7">
        <v>3</v>
      </c>
    </row>
    <row r="1035" spans="2:13" ht="15.6" thickTop="1" thickBot="1" x14ac:dyDescent="0.35">
      <c r="B1035" s="8">
        <v>1033</v>
      </c>
      <c r="C1035" s="9" t="s">
        <v>11</v>
      </c>
      <c r="D1035" s="19">
        <v>45691</v>
      </c>
      <c r="E1035" s="9" t="s">
        <v>14</v>
      </c>
      <c r="F1035" s="9" t="s">
        <v>25</v>
      </c>
      <c r="G1035" s="9" t="s">
        <v>28</v>
      </c>
      <c r="H1035" s="9">
        <v>183</v>
      </c>
      <c r="I1035" s="5">
        <v>135</v>
      </c>
      <c r="J1035" s="5">
        <f t="shared" si="16"/>
        <v>24705</v>
      </c>
      <c r="K1035" s="9">
        <v>15</v>
      </c>
      <c r="L1035" s="9" t="s">
        <v>33</v>
      </c>
      <c r="M1035" s="9">
        <v>5</v>
      </c>
    </row>
    <row r="1036" spans="2:13" ht="15.6" thickTop="1" thickBot="1" x14ac:dyDescent="0.35">
      <c r="B1036" s="6">
        <v>1034</v>
      </c>
      <c r="C1036" s="7" t="s">
        <v>10</v>
      </c>
      <c r="D1036" s="18">
        <v>45692</v>
      </c>
      <c r="E1036" s="7" t="s">
        <v>20</v>
      </c>
      <c r="F1036" s="7" t="s">
        <v>20</v>
      </c>
      <c r="G1036" s="7" t="s">
        <v>31</v>
      </c>
      <c r="H1036" s="7">
        <v>109</v>
      </c>
      <c r="I1036" s="5">
        <v>180</v>
      </c>
      <c r="J1036" s="5">
        <f t="shared" si="16"/>
        <v>19620</v>
      </c>
      <c r="K1036" s="7">
        <v>23</v>
      </c>
      <c r="L1036" s="7" t="s">
        <v>33</v>
      </c>
      <c r="M1036" s="7">
        <v>1</v>
      </c>
    </row>
    <row r="1037" spans="2:13" ht="15.6" thickTop="1" thickBot="1" x14ac:dyDescent="0.35">
      <c r="B1037" s="8">
        <v>1035</v>
      </c>
      <c r="C1037" s="9" t="s">
        <v>10</v>
      </c>
      <c r="D1037" s="19">
        <v>45693</v>
      </c>
      <c r="E1037" s="9" t="s">
        <v>15</v>
      </c>
      <c r="F1037" s="9" t="s">
        <v>25</v>
      </c>
      <c r="G1037" s="9" t="s">
        <v>31</v>
      </c>
      <c r="H1037" s="9">
        <v>242</v>
      </c>
      <c r="I1037" s="5">
        <v>180</v>
      </c>
      <c r="J1037" s="5">
        <f t="shared" si="16"/>
        <v>43560</v>
      </c>
      <c r="K1037" s="9">
        <v>25</v>
      </c>
      <c r="L1037" s="9" t="s">
        <v>33</v>
      </c>
      <c r="M1037" s="9">
        <v>5</v>
      </c>
    </row>
    <row r="1038" spans="2:13" ht="15.6" thickTop="1" thickBot="1" x14ac:dyDescent="0.35">
      <c r="B1038" s="6">
        <v>1036</v>
      </c>
      <c r="C1038" s="7" t="s">
        <v>11</v>
      </c>
      <c r="D1038" s="18">
        <v>45694</v>
      </c>
      <c r="E1038" s="7" t="s">
        <v>18</v>
      </c>
      <c r="F1038" s="7" t="s">
        <v>27</v>
      </c>
      <c r="G1038" s="7" t="s">
        <v>28</v>
      </c>
      <c r="H1038" s="7">
        <v>132</v>
      </c>
      <c r="I1038" s="5">
        <v>180</v>
      </c>
      <c r="J1038" s="5">
        <f t="shared" si="16"/>
        <v>23760</v>
      </c>
      <c r="K1038" s="7">
        <v>14</v>
      </c>
      <c r="L1038" s="7" t="s">
        <v>35</v>
      </c>
      <c r="M1038" s="7">
        <v>3</v>
      </c>
    </row>
    <row r="1039" spans="2:13" ht="15.6" thickTop="1" thickBot="1" x14ac:dyDescent="0.35">
      <c r="B1039" s="8">
        <v>1037</v>
      </c>
      <c r="C1039" s="9" t="s">
        <v>11</v>
      </c>
      <c r="D1039" s="19">
        <v>45695</v>
      </c>
      <c r="E1039" s="9" t="s">
        <v>14</v>
      </c>
      <c r="F1039" s="9" t="s">
        <v>25</v>
      </c>
      <c r="G1039" s="9" t="s">
        <v>32</v>
      </c>
      <c r="H1039" s="9">
        <v>90</v>
      </c>
      <c r="I1039" s="5">
        <v>135</v>
      </c>
      <c r="J1039" s="5">
        <f t="shared" si="16"/>
        <v>12150</v>
      </c>
      <c r="K1039" s="9">
        <v>11</v>
      </c>
      <c r="L1039" s="9" t="s">
        <v>35</v>
      </c>
      <c r="M1039" s="9">
        <v>2</v>
      </c>
    </row>
    <row r="1040" spans="2:13" ht="15.6" thickTop="1" thickBot="1" x14ac:dyDescent="0.35">
      <c r="B1040" s="6">
        <v>1038</v>
      </c>
      <c r="C1040" s="7" t="s">
        <v>10</v>
      </c>
      <c r="D1040" s="18">
        <v>45696</v>
      </c>
      <c r="E1040" s="7" t="s">
        <v>20</v>
      </c>
      <c r="F1040" s="7" t="s">
        <v>20</v>
      </c>
      <c r="G1040" s="7" t="s">
        <v>29</v>
      </c>
      <c r="H1040" s="7">
        <v>164</v>
      </c>
      <c r="I1040" s="5">
        <v>225</v>
      </c>
      <c r="J1040" s="5">
        <f t="shared" si="16"/>
        <v>36900</v>
      </c>
      <c r="K1040" s="7">
        <v>11</v>
      </c>
      <c r="L1040" s="7" t="s">
        <v>35</v>
      </c>
      <c r="M1040" s="7">
        <v>5</v>
      </c>
    </row>
    <row r="1041" spans="2:13" ht="15.6" thickTop="1" thickBot="1" x14ac:dyDescent="0.35">
      <c r="B1041" s="8">
        <v>1039</v>
      </c>
      <c r="C1041" s="9" t="s">
        <v>11</v>
      </c>
      <c r="D1041" s="19">
        <v>45697</v>
      </c>
      <c r="E1041" s="9" t="s">
        <v>18</v>
      </c>
      <c r="F1041" s="9" t="s">
        <v>27</v>
      </c>
      <c r="G1041" s="9" t="s">
        <v>28</v>
      </c>
      <c r="H1041" s="9">
        <v>246</v>
      </c>
      <c r="I1041" s="5">
        <v>135</v>
      </c>
      <c r="J1041" s="5">
        <f t="shared" si="16"/>
        <v>33210</v>
      </c>
      <c r="K1041" s="9">
        <v>7</v>
      </c>
      <c r="L1041" s="9" t="s">
        <v>35</v>
      </c>
      <c r="M1041" s="9">
        <v>4</v>
      </c>
    </row>
    <row r="1042" spans="2:13" ht="15.6" thickTop="1" thickBot="1" x14ac:dyDescent="0.35">
      <c r="B1042" s="6">
        <v>1040</v>
      </c>
      <c r="C1042" s="7" t="s">
        <v>10</v>
      </c>
      <c r="D1042" s="18">
        <v>45698</v>
      </c>
      <c r="E1042" s="7" t="s">
        <v>20</v>
      </c>
      <c r="F1042" s="7" t="s">
        <v>20</v>
      </c>
      <c r="G1042" s="7" t="s">
        <v>28</v>
      </c>
      <c r="H1042" s="7">
        <v>81</v>
      </c>
      <c r="I1042" s="5">
        <v>225</v>
      </c>
      <c r="J1042" s="5">
        <f t="shared" si="16"/>
        <v>18225</v>
      </c>
      <c r="K1042" s="7">
        <v>16</v>
      </c>
      <c r="L1042" s="7" t="s">
        <v>34</v>
      </c>
      <c r="M1042" s="7">
        <v>4</v>
      </c>
    </row>
    <row r="1043" spans="2:13" ht="15.6" thickTop="1" thickBot="1" x14ac:dyDescent="0.35">
      <c r="B1043" s="8">
        <v>1041</v>
      </c>
      <c r="C1043" s="9" t="s">
        <v>10</v>
      </c>
      <c r="D1043" s="19">
        <v>45699</v>
      </c>
      <c r="E1043" s="9" t="s">
        <v>19</v>
      </c>
      <c r="F1043" s="9" t="s">
        <v>23</v>
      </c>
      <c r="G1043" s="9" t="s">
        <v>32</v>
      </c>
      <c r="H1043" s="9">
        <v>166</v>
      </c>
      <c r="I1043" s="5">
        <v>180</v>
      </c>
      <c r="J1043" s="5">
        <f t="shared" si="16"/>
        <v>29880</v>
      </c>
      <c r="K1043" s="9">
        <v>15</v>
      </c>
      <c r="L1043" s="9" t="s">
        <v>35</v>
      </c>
      <c r="M1043" s="9">
        <v>3</v>
      </c>
    </row>
    <row r="1044" spans="2:13" ht="15.6" thickTop="1" thickBot="1" x14ac:dyDescent="0.35">
      <c r="B1044" s="6">
        <v>1042</v>
      </c>
      <c r="C1044" s="7" t="s">
        <v>11</v>
      </c>
      <c r="D1044" s="18">
        <v>45700</v>
      </c>
      <c r="E1044" s="7" t="s">
        <v>15</v>
      </c>
      <c r="F1044" s="7" t="s">
        <v>25</v>
      </c>
      <c r="G1044" s="7" t="s">
        <v>32</v>
      </c>
      <c r="H1044" s="7">
        <v>248</v>
      </c>
      <c r="I1044" s="5">
        <v>180</v>
      </c>
      <c r="J1044" s="5">
        <f t="shared" si="16"/>
        <v>44640</v>
      </c>
      <c r="K1044" s="7">
        <v>12</v>
      </c>
      <c r="L1044" s="7" t="s">
        <v>35</v>
      </c>
      <c r="M1044" s="7">
        <v>3</v>
      </c>
    </row>
    <row r="1045" spans="2:13" ht="15.6" thickTop="1" thickBot="1" x14ac:dyDescent="0.35">
      <c r="B1045" s="8">
        <v>1043</v>
      </c>
      <c r="C1045" s="9" t="s">
        <v>11</v>
      </c>
      <c r="D1045" s="19">
        <v>45701</v>
      </c>
      <c r="E1045" s="9" t="s">
        <v>17</v>
      </c>
      <c r="F1045" s="9" t="s">
        <v>24</v>
      </c>
      <c r="G1045" s="9" t="s">
        <v>29</v>
      </c>
      <c r="H1045" s="9">
        <v>69</v>
      </c>
      <c r="I1045" s="5">
        <v>225</v>
      </c>
      <c r="J1045" s="5">
        <f t="shared" si="16"/>
        <v>15525</v>
      </c>
      <c r="K1045" s="9">
        <v>10</v>
      </c>
      <c r="L1045" s="9" t="s">
        <v>35</v>
      </c>
      <c r="M1045" s="9">
        <v>1</v>
      </c>
    </row>
    <row r="1046" spans="2:13" ht="15.6" thickTop="1" thickBot="1" x14ac:dyDescent="0.35">
      <c r="B1046" s="6">
        <v>1044</v>
      </c>
      <c r="C1046" s="7" t="s">
        <v>10</v>
      </c>
      <c r="D1046" s="18">
        <v>45702</v>
      </c>
      <c r="E1046" s="7" t="s">
        <v>12</v>
      </c>
      <c r="F1046" s="7" t="s">
        <v>23</v>
      </c>
      <c r="G1046" s="7" t="s">
        <v>31</v>
      </c>
      <c r="H1046" s="7">
        <v>193</v>
      </c>
      <c r="I1046" s="5">
        <v>45</v>
      </c>
      <c r="J1046" s="5">
        <f t="shared" si="16"/>
        <v>8685</v>
      </c>
      <c r="K1046" s="7">
        <v>14</v>
      </c>
      <c r="L1046" s="7" t="s">
        <v>33</v>
      </c>
      <c r="M1046" s="7">
        <v>4</v>
      </c>
    </row>
    <row r="1047" spans="2:13" ht="15.6" thickTop="1" thickBot="1" x14ac:dyDescent="0.35">
      <c r="B1047" s="8">
        <v>1045</v>
      </c>
      <c r="C1047" s="9" t="s">
        <v>11</v>
      </c>
      <c r="D1047" s="19">
        <v>45703</v>
      </c>
      <c r="E1047" s="9" t="s">
        <v>22</v>
      </c>
      <c r="F1047" s="9" t="s">
        <v>25</v>
      </c>
      <c r="G1047" s="9" t="s">
        <v>31</v>
      </c>
      <c r="H1047" s="9">
        <v>235</v>
      </c>
      <c r="I1047" s="5">
        <v>225</v>
      </c>
      <c r="J1047" s="5">
        <f t="shared" si="16"/>
        <v>52875</v>
      </c>
      <c r="K1047" s="9">
        <v>11</v>
      </c>
      <c r="L1047" s="9" t="s">
        <v>34</v>
      </c>
      <c r="M1047" s="9">
        <v>2</v>
      </c>
    </row>
    <row r="1048" spans="2:13" ht="15.6" thickTop="1" thickBot="1" x14ac:dyDescent="0.35">
      <c r="B1048" s="6">
        <v>1046</v>
      </c>
      <c r="C1048" s="7" t="s">
        <v>11</v>
      </c>
      <c r="D1048" s="18">
        <v>45704</v>
      </c>
      <c r="E1048" s="7" t="s">
        <v>15</v>
      </c>
      <c r="F1048" s="7" t="s">
        <v>25</v>
      </c>
      <c r="G1048" s="7" t="s">
        <v>31</v>
      </c>
      <c r="H1048" s="7">
        <v>43</v>
      </c>
      <c r="I1048" s="5">
        <v>90</v>
      </c>
      <c r="J1048" s="5">
        <f t="shared" si="16"/>
        <v>3870</v>
      </c>
      <c r="K1048" s="7">
        <v>9</v>
      </c>
      <c r="L1048" s="7" t="s">
        <v>34</v>
      </c>
      <c r="M1048" s="7">
        <v>5</v>
      </c>
    </row>
    <row r="1049" spans="2:13" ht="15.6" thickTop="1" thickBot="1" x14ac:dyDescent="0.35">
      <c r="B1049" s="8">
        <v>1047</v>
      </c>
      <c r="C1049" s="9" t="s">
        <v>10</v>
      </c>
      <c r="D1049" s="19">
        <v>45705</v>
      </c>
      <c r="E1049" s="9" t="s">
        <v>19</v>
      </c>
      <c r="F1049" s="9" t="s">
        <v>23</v>
      </c>
      <c r="G1049" s="9" t="s">
        <v>32</v>
      </c>
      <c r="H1049" s="9">
        <v>141</v>
      </c>
      <c r="I1049" s="5">
        <v>180</v>
      </c>
      <c r="J1049" s="5">
        <f t="shared" si="16"/>
        <v>25380</v>
      </c>
      <c r="K1049" s="9">
        <v>20</v>
      </c>
      <c r="L1049" s="9" t="s">
        <v>34</v>
      </c>
      <c r="M1049" s="9">
        <v>3</v>
      </c>
    </row>
    <row r="1050" spans="2:13" ht="15.6" thickTop="1" thickBot="1" x14ac:dyDescent="0.35">
      <c r="B1050" s="6">
        <v>1048</v>
      </c>
      <c r="C1050" s="7" t="s">
        <v>11</v>
      </c>
      <c r="D1050" s="18">
        <v>45706</v>
      </c>
      <c r="E1050" s="7" t="s">
        <v>16</v>
      </c>
      <c r="F1050" s="7" t="s">
        <v>26</v>
      </c>
      <c r="G1050" s="7" t="s">
        <v>29</v>
      </c>
      <c r="H1050" s="7">
        <v>78</v>
      </c>
      <c r="I1050" s="5">
        <v>225</v>
      </c>
      <c r="J1050" s="5">
        <f t="shared" si="16"/>
        <v>17550</v>
      </c>
      <c r="K1050" s="7">
        <v>12</v>
      </c>
      <c r="L1050" s="7" t="s">
        <v>35</v>
      </c>
      <c r="M1050" s="7"/>
    </row>
    <row r="1051" spans="2:13" ht="15.6" thickTop="1" thickBot="1" x14ac:dyDescent="0.35">
      <c r="B1051" s="8">
        <v>1049</v>
      </c>
      <c r="C1051" s="9" t="s">
        <v>10</v>
      </c>
      <c r="D1051" s="19">
        <v>45707</v>
      </c>
      <c r="E1051" s="9" t="s">
        <v>14</v>
      </c>
      <c r="F1051" s="9" t="s">
        <v>25</v>
      </c>
      <c r="G1051" s="9" t="s">
        <v>31</v>
      </c>
      <c r="H1051" s="9">
        <v>151</v>
      </c>
      <c r="I1051" s="5">
        <v>45</v>
      </c>
      <c r="J1051" s="5">
        <f t="shared" si="16"/>
        <v>6795</v>
      </c>
      <c r="K1051" s="9">
        <v>19</v>
      </c>
      <c r="L1051" s="9" t="s">
        <v>35</v>
      </c>
      <c r="M1051" s="9">
        <v>1</v>
      </c>
    </row>
    <row r="1052" spans="2:13" ht="15.6" thickTop="1" thickBot="1" x14ac:dyDescent="0.35">
      <c r="B1052" s="6">
        <v>1050</v>
      </c>
      <c r="C1052" s="7" t="s">
        <v>11</v>
      </c>
      <c r="D1052" s="18">
        <v>45708</v>
      </c>
      <c r="E1052" s="7" t="s">
        <v>21</v>
      </c>
      <c r="F1052" s="7" t="s">
        <v>26</v>
      </c>
      <c r="G1052" s="7" t="s">
        <v>32</v>
      </c>
      <c r="H1052" s="7">
        <v>186</v>
      </c>
      <c r="I1052" s="5">
        <v>225</v>
      </c>
      <c r="J1052" s="5">
        <f t="shared" si="16"/>
        <v>41850</v>
      </c>
      <c r="K1052" s="7">
        <v>9</v>
      </c>
      <c r="L1052" s="7" t="s">
        <v>33</v>
      </c>
      <c r="M1052" s="7">
        <v>5</v>
      </c>
    </row>
    <row r="1053" spans="2:13" ht="15.6" thickTop="1" thickBot="1" x14ac:dyDescent="0.35">
      <c r="B1053" s="8">
        <v>1051</v>
      </c>
      <c r="C1053" s="9" t="s">
        <v>10</v>
      </c>
      <c r="D1053" s="19">
        <v>45709</v>
      </c>
      <c r="E1053" s="9" t="s">
        <v>12</v>
      </c>
      <c r="F1053" s="9" t="s">
        <v>23</v>
      </c>
      <c r="G1053" s="9" t="s">
        <v>28</v>
      </c>
      <c r="H1053" s="9">
        <v>158</v>
      </c>
      <c r="I1053" s="5">
        <v>180</v>
      </c>
      <c r="J1053" s="5">
        <f t="shared" si="16"/>
        <v>28440</v>
      </c>
      <c r="K1053" s="9">
        <v>13</v>
      </c>
      <c r="L1053" s="9" t="s">
        <v>35</v>
      </c>
      <c r="M1053" s="9">
        <v>2</v>
      </c>
    </row>
    <row r="1054" spans="2:13" ht="15.6" thickTop="1" thickBot="1" x14ac:dyDescent="0.35">
      <c r="B1054" s="6">
        <v>1052</v>
      </c>
      <c r="C1054" s="7" t="s">
        <v>11</v>
      </c>
      <c r="D1054" s="18">
        <v>45710</v>
      </c>
      <c r="E1054" s="7" t="s">
        <v>13</v>
      </c>
      <c r="F1054" s="7" t="s">
        <v>24</v>
      </c>
      <c r="G1054" s="7" t="s">
        <v>31</v>
      </c>
      <c r="H1054" s="7">
        <v>59</v>
      </c>
      <c r="I1054" s="5">
        <v>180</v>
      </c>
      <c r="J1054" s="5">
        <f t="shared" si="16"/>
        <v>10620</v>
      </c>
      <c r="K1054" s="7">
        <v>17</v>
      </c>
      <c r="L1054" s="7" t="s">
        <v>35</v>
      </c>
      <c r="M1054" s="7">
        <v>3</v>
      </c>
    </row>
    <row r="1055" spans="2:13" ht="15.6" thickTop="1" thickBot="1" x14ac:dyDescent="0.35">
      <c r="B1055" s="8">
        <v>1053</v>
      </c>
      <c r="C1055" s="9" t="s">
        <v>10</v>
      </c>
      <c r="D1055" s="19">
        <v>45711</v>
      </c>
      <c r="E1055" s="9" t="s">
        <v>17</v>
      </c>
      <c r="F1055" s="9" t="s">
        <v>24</v>
      </c>
      <c r="G1055" s="9" t="s">
        <v>29</v>
      </c>
      <c r="H1055" s="9">
        <v>57</v>
      </c>
      <c r="I1055" s="5">
        <v>180</v>
      </c>
      <c r="J1055" s="5">
        <f t="shared" si="16"/>
        <v>10260</v>
      </c>
      <c r="K1055" s="9">
        <v>12</v>
      </c>
      <c r="L1055" s="9" t="s">
        <v>33</v>
      </c>
      <c r="M1055" s="9">
        <v>1</v>
      </c>
    </row>
    <row r="1056" spans="2:13" ht="15.6" thickTop="1" thickBot="1" x14ac:dyDescent="0.35">
      <c r="B1056" s="6">
        <v>1054</v>
      </c>
      <c r="C1056" s="7" t="s">
        <v>10</v>
      </c>
      <c r="D1056" s="18">
        <v>45712</v>
      </c>
      <c r="E1056" s="7" t="s">
        <v>17</v>
      </c>
      <c r="F1056" s="7" t="s">
        <v>24</v>
      </c>
      <c r="G1056" s="7" t="s">
        <v>29</v>
      </c>
      <c r="H1056" s="7">
        <v>237</v>
      </c>
      <c r="I1056" s="5">
        <v>90</v>
      </c>
      <c r="J1056" s="5">
        <f t="shared" si="16"/>
        <v>21330</v>
      </c>
      <c r="K1056" s="7">
        <v>25</v>
      </c>
      <c r="L1056" s="7" t="s">
        <v>33</v>
      </c>
      <c r="M1056" s="7"/>
    </row>
    <row r="1057" spans="2:13" ht="15.6" thickTop="1" thickBot="1" x14ac:dyDescent="0.35">
      <c r="B1057" s="8">
        <v>1055</v>
      </c>
      <c r="C1057" s="9" t="s">
        <v>10</v>
      </c>
      <c r="D1057" s="19">
        <v>45713</v>
      </c>
      <c r="E1057" s="9" t="s">
        <v>20</v>
      </c>
      <c r="F1057" s="9" t="s">
        <v>20</v>
      </c>
      <c r="G1057" s="9" t="s">
        <v>31</v>
      </c>
      <c r="H1057" s="9">
        <v>221</v>
      </c>
      <c r="I1057" s="5">
        <v>225</v>
      </c>
      <c r="J1057" s="5">
        <f t="shared" si="16"/>
        <v>49725</v>
      </c>
      <c r="K1057" s="9">
        <v>13</v>
      </c>
      <c r="L1057" s="9" t="s">
        <v>33</v>
      </c>
      <c r="M1057" s="9">
        <v>5</v>
      </c>
    </row>
    <row r="1058" spans="2:13" ht="15.6" thickTop="1" thickBot="1" x14ac:dyDescent="0.35">
      <c r="B1058" s="6">
        <v>1056</v>
      </c>
      <c r="C1058" s="7" t="s">
        <v>11</v>
      </c>
      <c r="D1058" s="18">
        <v>45714</v>
      </c>
      <c r="E1058" s="7" t="s">
        <v>15</v>
      </c>
      <c r="F1058" s="7" t="s">
        <v>25</v>
      </c>
      <c r="G1058" s="7" t="s">
        <v>32</v>
      </c>
      <c r="H1058" s="7">
        <v>64</v>
      </c>
      <c r="I1058" s="5">
        <v>90</v>
      </c>
      <c r="J1058" s="5">
        <f t="shared" si="16"/>
        <v>5760</v>
      </c>
      <c r="K1058" s="7">
        <v>17</v>
      </c>
      <c r="L1058" s="7" t="s">
        <v>35</v>
      </c>
      <c r="M1058" s="7">
        <v>1</v>
      </c>
    </row>
    <row r="1059" spans="2:13" ht="15.6" thickTop="1" thickBot="1" x14ac:dyDescent="0.35">
      <c r="B1059" s="8">
        <v>1057</v>
      </c>
      <c r="C1059" s="9" t="s">
        <v>10</v>
      </c>
      <c r="D1059" s="19">
        <v>45715</v>
      </c>
      <c r="E1059" s="9" t="s">
        <v>21</v>
      </c>
      <c r="F1059" s="9" t="s">
        <v>26</v>
      </c>
      <c r="G1059" s="9" t="s">
        <v>30</v>
      </c>
      <c r="H1059" s="9">
        <v>110</v>
      </c>
      <c r="I1059" s="5">
        <v>135</v>
      </c>
      <c r="J1059" s="5">
        <f t="shared" si="16"/>
        <v>14850</v>
      </c>
      <c r="K1059" s="9">
        <v>21</v>
      </c>
      <c r="L1059" s="9" t="s">
        <v>35</v>
      </c>
      <c r="M1059" s="9">
        <v>1</v>
      </c>
    </row>
    <row r="1060" spans="2:13" ht="15.6" thickTop="1" thickBot="1" x14ac:dyDescent="0.35">
      <c r="B1060" s="6">
        <v>1058</v>
      </c>
      <c r="C1060" s="7" t="s">
        <v>11</v>
      </c>
      <c r="D1060" s="18">
        <v>45716</v>
      </c>
      <c r="E1060" s="7" t="s">
        <v>12</v>
      </c>
      <c r="F1060" s="7" t="s">
        <v>23</v>
      </c>
      <c r="G1060" s="7" t="s">
        <v>32</v>
      </c>
      <c r="H1060" s="7">
        <v>134</v>
      </c>
      <c r="I1060" s="5">
        <v>225</v>
      </c>
      <c r="J1060" s="5">
        <f t="shared" si="16"/>
        <v>30150</v>
      </c>
      <c r="K1060" s="7">
        <v>11</v>
      </c>
      <c r="L1060" s="7" t="s">
        <v>33</v>
      </c>
      <c r="M1060" s="7">
        <v>2</v>
      </c>
    </row>
    <row r="1061" spans="2:13" ht="15.6" thickTop="1" thickBot="1" x14ac:dyDescent="0.35">
      <c r="B1061" s="8">
        <v>1059</v>
      </c>
      <c r="C1061" s="9" t="s">
        <v>10</v>
      </c>
      <c r="D1061" s="19">
        <v>45717</v>
      </c>
      <c r="E1061" s="9" t="s">
        <v>13</v>
      </c>
      <c r="F1061" s="9" t="s">
        <v>24</v>
      </c>
      <c r="G1061" s="9" t="s">
        <v>30</v>
      </c>
      <c r="H1061" s="9">
        <v>180</v>
      </c>
      <c r="I1061" s="5">
        <v>180</v>
      </c>
      <c r="J1061" s="5">
        <f t="shared" si="16"/>
        <v>32400</v>
      </c>
      <c r="K1061" s="9">
        <v>17</v>
      </c>
      <c r="L1061" s="9" t="s">
        <v>34</v>
      </c>
      <c r="M1061" s="9">
        <v>4</v>
      </c>
    </row>
    <row r="1062" spans="2:13" ht="15.6" thickTop="1" thickBot="1" x14ac:dyDescent="0.35">
      <c r="B1062" s="6">
        <v>1060</v>
      </c>
      <c r="C1062" s="7" t="s">
        <v>11</v>
      </c>
      <c r="D1062" s="18">
        <v>45718</v>
      </c>
      <c r="E1062" s="7" t="s">
        <v>21</v>
      </c>
      <c r="F1062" s="7" t="s">
        <v>26</v>
      </c>
      <c r="G1062" s="7" t="s">
        <v>31</v>
      </c>
      <c r="H1062" s="7">
        <v>159</v>
      </c>
      <c r="I1062" s="5">
        <v>90</v>
      </c>
      <c r="J1062" s="5">
        <f t="shared" si="16"/>
        <v>14310</v>
      </c>
      <c r="K1062" s="7">
        <v>13</v>
      </c>
      <c r="L1062" s="7" t="s">
        <v>34</v>
      </c>
      <c r="M1062" s="7">
        <v>5</v>
      </c>
    </row>
    <row r="1063" spans="2:13" ht="15.6" thickTop="1" thickBot="1" x14ac:dyDescent="0.35">
      <c r="B1063" s="8">
        <v>1061</v>
      </c>
      <c r="C1063" s="9" t="s">
        <v>10</v>
      </c>
      <c r="D1063" s="19">
        <v>45719</v>
      </c>
      <c r="E1063" s="9" t="s">
        <v>22</v>
      </c>
      <c r="F1063" s="9" t="s">
        <v>25</v>
      </c>
      <c r="G1063" s="9" t="s">
        <v>29</v>
      </c>
      <c r="H1063" s="9">
        <v>135</v>
      </c>
      <c r="I1063" s="5">
        <v>180</v>
      </c>
      <c r="J1063" s="5">
        <f t="shared" si="16"/>
        <v>24300</v>
      </c>
      <c r="K1063" s="9">
        <v>10</v>
      </c>
      <c r="L1063" s="9" t="s">
        <v>34</v>
      </c>
      <c r="M1063" s="9">
        <v>3</v>
      </c>
    </row>
    <row r="1064" spans="2:13" ht="15.6" thickTop="1" thickBot="1" x14ac:dyDescent="0.35">
      <c r="B1064" s="6">
        <v>1062</v>
      </c>
      <c r="C1064" s="7" t="s">
        <v>11</v>
      </c>
      <c r="D1064" s="18">
        <v>45720</v>
      </c>
      <c r="E1064" s="7" t="s">
        <v>15</v>
      </c>
      <c r="F1064" s="7" t="s">
        <v>25</v>
      </c>
      <c r="G1064" s="7" t="s">
        <v>31</v>
      </c>
      <c r="H1064" s="7">
        <v>43</v>
      </c>
      <c r="I1064" s="5">
        <v>90</v>
      </c>
      <c r="J1064" s="5">
        <f t="shared" si="16"/>
        <v>3870</v>
      </c>
      <c r="K1064" s="7">
        <v>9</v>
      </c>
      <c r="L1064" s="7" t="s">
        <v>34</v>
      </c>
      <c r="M1064" s="7">
        <v>5</v>
      </c>
    </row>
    <row r="1065" spans="2:13" ht="15.6" thickTop="1" thickBot="1" x14ac:dyDescent="0.35">
      <c r="B1065" s="8">
        <v>1063</v>
      </c>
      <c r="C1065" s="9" t="s">
        <v>10</v>
      </c>
      <c r="D1065" s="19">
        <v>45721</v>
      </c>
      <c r="E1065" s="9" t="s">
        <v>19</v>
      </c>
      <c r="F1065" s="9" t="s">
        <v>23</v>
      </c>
      <c r="G1065" s="9" t="s">
        <v>32</v>
      </c>
      <c r="H1065" s="9">
        <v>141</v>
      </c>
      <c r="I1065" s="5">
        <v>180</v>
      </c>
      <c r="J1065" s="5">
        <f t="shared" si="16"/>
        <v>25380</v>
      </c>
      <c r="K1065" s="9">
        <v>20</v>
      </c>
      <c r="L1065" s="9" t="s">
        <v>34</v>
      </c>
      <c r="M1065" s="9">
        <v>3</v>
      </c>
    </row>
    <row r="1066" spans="2:13" ht="15.6" thickTop="1" thickBot="1" x14ac:dyDescent="0.35">
      <c r="B1066" s="6">
        <v>1064</v>
      </c>
      <c r="C1066" s="7" t="s">
        <v>11</v>
      </c>
      <c r="D1066" s="18">
        <v>45722</v>
      </c>
      <c r="E1066" s="7" t="s">
        <v>16</v>
      </c>
      <c r="F1066" s="7" t="s">
        <v>26</v>
      </c>
      <c r="G1066" s="7" t="s">
        <v>29</v>
      </c>
      <c r="H1066" s="7">
        <v>78</v>
      </c>
      <c r="I1066" s="5">
        <v>225</v>
      </c>
      <c r="J1066" s="5">
        <f t="shared" si="16"/>
        <v>17550</v>
      </c>
      <c r="K1066" s="7">
        <v>12</v>
      </c>
      <c r="L1066" s="7" t="s">
        <v>35</v>
      </c>
      <c r="M1066" s="7"/>
    </row>
    <row r="1067" spans="2:13" ht="15.6" thickTop="1" thickBot="1" x14ac:dyDescent="0.35">
      <c r="B1067" s="8">
        <v>1065</v>
      </c>
      <c r="C1067" s="9" t="s">
        <v>10</v>
      </c>
      <c r="D1067" s="19">
        <v>45723</v>
      </c>
      <c r="E1067" s="9" t="s">
        <v>14</v>
      </c>
      <c r="F1067" s="9" t="s">
        <v>25</v>
      </c>
      <c r="G1067" s="9" t="s">
        <v>31</v>
      </c>
      <c r="H1067" s="9">
        <v>151</v>
      </c>
      <c r="I1067" s="5">
        <v>45</v>
      </c>
      <c r="J1067" s="5">
        <f t="shared" si="16"/>
        <v>6795</v>
      </c>
      <c r="K1067" s="9">
        <v>19</v>
      </c>
      <c r="L1067" s="9" t="s">
        <v>35</v>
      </c>
      <c r="M1067" s="9">
        <v>1</v>
      </c>
    </row>
    <row r="1068" spans="2:13" ht="15.6" thickTop="1" thickBot="1" x14ac:dyDescent="0.35">
      <c r="B1068" s="6">
        <v>1066</v>
      </c>
      <c r="C1068" s="7" t="s">
        <v>11</v>
      </c>
      <c r="D1068" s="18">
        <v>45724</v>
      </c>
      <c r="E1068" s="7" t="s">
        <v>21</v>
      </c>
      <c r="F1068" s="7" t="s">
        <v>26</v>
      </c>
      <c r="G1068" s="7" t="s">
        <v>32</v>
      </c>
      <c r="H1068" s="7">
        <v>186</v>
      </c>
      <c r="I1068" s="5">
        <v>225</v>
      </c>
      <c r="J1068" s="5">
        <f t="shared" si="16"/>
        <v>41850</v>
      </c>
      <c r="K1068" s="7">
        <v>9</v>
      </c>
      <c r="L1068" s="7" t="s">
        <v>33</v>
      </c>
      <c r="M1068" s="7">
        <v>5</v>
      </c>
    </row>
    <row r="1069" spans="2:13" ht="15.6" thickTop="1" thickBot="1" x14ac:dyDescent="0.35">
      <c r="B1069" s="8">
        <v>1067</v>
      </c>
      <c r="C1069" s="9" t="s">
        <v>10</v>
      </c>
      <c r="D1069" s="19">
        <v>45725</v>
      </c>
      <c r="E1069" s="9" t="s">
        <v>12</v>
      </c>
      <c r="F1069" s="9" t="s">
        <v>23</v>
      </c>
      <c r="G1069" s="9" t="s">
        <v>28</v>
      </c>
      <c r="H1069" s="9">
        <v>158</v>
      </c>
      <c r="I1069" s="5">
        <v>180</v>
      </c>
      <c r="J1069" s="5">
        <f t="shared" si="16"/>
        <v>28440</v>
      </c>
      <c r="K1069" s="9">
        <v>13</v>
      </c>
      <c r="L1069" s="9" t="s">
        <v>35</v>
      </c>
      <c r="M1069" s="9">
        <v>2</v>
      </c>
    </row>
    <row r="1070" spans="2:13" ht="15.6" thickTop="1" thickBot="1" x14ac:dyDescent="0.35">
      <c r="B1070" s="6">
        <v>1068</v>
      </c>
      <c r="C1070" s="7" t="s">
        <v>11</v>
      </c>
      <c r="D1070" s="18">
        <v>45726</v>
      </c>
      <c r="E1070" s="7" t="s">
        <v>13</v>
      </c>
      <c r="F1070" s="7" t="s">
        <v>24</v>
      </c>
      <c r="G1070" s="7" t="s">
        <v>31</v>
      </c>
      <c r="H1070" s="7">
        <v>59</v>
      </c>
      <c r="I1070" s="5">
        <v>180</v>
      </c>
      <c r="J1070" s="5">
        <f t="shared" si="16"/>
        <v>10620</v>
      </c>
      <c r="K1070" s="7">
        <v>17</v>
      </c>
      <c r="L1070" s="7" t="s">
        <v>35</v>
      </c>
      <c r="M1070" s="7">
        <v>3</v>
      </c>
    </row>
    <row r="1071" spans="2:13" ht="15.6" thickTop="1" thickBot="1" x14ac:dyDescent="0.35">
      <c r="B1071" s="8">
        <v>1069</v>
      </c>
      <c r="C1071" s="9" t="s">
        <v>10</v>
      </c>
      <c r="D1071" s="19">
        <v>45727</v>
      </c>
      <c r="E1071" s="9" t="s">
        <v>17</v>
      </c>
      <c r="F1071" s="9" t="s">
        <v>24</v>
      </c>
      <c r="G1071" s="9" t="s">
        <v>29</v>
      </c>
      <c r="H1071" s="9">
        <v>57</v>
      </c>
      <c r="I1071" s="5">
        <v>180</v>
      </c>
      <c r="J1071" s="5">
        <f t="shared" si="16"/>
        <v>10260</v>
      </c>
      <c r="K1071" s="9">
        <v>12</v>
      </c>
      <c r="L1071" s="9" t="s">
        <v>33</v>
      </c>
      <c r="M1071" s="9">
        <v>1</v>
      </c>
    </row>
    <row r="1072" spans="2:13" ht="15.6" thickTop="1" thickBot="1" x14ac:dyDescent="0.35">
      <c r="B1072" s="6">
        <v>1070</v>
      </c>
      <c r="C1072" s="7" t="s">
        <v>10</v>
      </c>
      <c r="D1072" s="18">
        <v>45728</v>
      </c>
      <c r="E1072" s="7" t="s">
        <v>17</v>
      </c>
      <c r="F1072" s="7" t="s">
        <v>24</v>
      </c>
      <c r="G1072" s="7" t="s">
        <v>29</v>
      </c>
      <c r="H1072" s="7">
        <v>237</v>
      </c>
      <c r="I1072" s="5">
        <v>90</v>
      </c>
      <c r="J1072" s="5">
        <f t="shared" si="16"/>
        <v>21330</v>
      </c>
      <c r="K1072" s="7">
        <v>25</v>
      </c>
      <c r="L1072" s="7" t="s">
        <v>33</v>
      </c>
      <c r="M1072" s="7"/>
    </row>
    <row r="1073" spans="2:13" ht="15.6" thickTop="1" thickBot="1" x14ac:dyDescent="0.35">
      <c r="B1073" s="8">
        <v>1071</v>
      </c>
      <c r="C1073" s="9" t="s">
        <v>10</v>
      </c>
      <c r="D1073" s="19">
        <v>45729</v>
      </c>
      <c r="E1073" s="9" t="s">
        <v>20</v>
      </c>
      <c r="F1073" s="9" t="s">
        <v>20</v>
      </c>
      <c r="G1073" s="9" t="s">
        <v>31</v>
      </c>
      <c r="H1073" s="9">
        <v>221</v>
      </c>
      <c r="I1073" s="5">
        <v>225</v>
      </c>
      <c r="J1073" s="5">
        <f t="shared" si="16"/>
        <v>49725</v>
      </c>
      <c r="K1073" s="9">
        <v>13</v>
      </c>
      <c r="L1073" s="9" t="s">
        <v>33</v>
      </c>
      <c r="M1073" s="9">
        <v>5</v>
      </c>
    </row>
    <row r="1074" spans="2:13" ht="15.6" thickTop="1" thickBot="1" x14ac:dyDescent="0.35">
      <c r="B1074" s="6">
        <v>1072</v>
      </c>
      <c r="C1074" s="7" t="s">
        <v>11</v>
      </c>
      <c r="D1074" s="18">
        <v>45730</v>
      </c>
      <c r="E1074" s="7" t="s">
        <v>15</v>
      </c>
      <c r="F1074" s="7" t="s">
        <v>25</v>
      </c>
      <c r="G1074" s="7" t="s">
        <v>32</v>
      </c>
      <c r="H1074" s="7">
        <v>64</v>
      </c>
      <c r="I1074" s="5">
        <v>90</v>
      </c>
      <c r="J1074" s="5">
        <f t="shared" si="16"/>
        <v>5760</v>
      </c>
      <c r="K1074" s="7">
        <v>17</v>
      </c>
      <c r="L1074" s="7" t="s">
        <v>35</v>
      </c>
      <c r="M1074" s="7">
        <v>1</v>
      </c>
    </row>
    <row r="1075" spans="2:13" ht="15.6" thickTop="1" thickBot="1" x14ac:dyDescent="0.35">
      <c r="B1075" s="8">
        <v>1073</v>
      </c>
      <c r="C1075" s="9" t="s">
        <v>10</v>
      </c>
      <c r="D1075" s="19">
        <v>45731</v>
      </c>
      <c r="E1075" s="9" t="s">
        <v>21</v>
      </c>
      <c r="F1075" s="9" t="s">
        <v>26</v>
      </c>
      <c r="G1075" s="9" t="s">
        <v>30</v>
      </c>
      <c r="H1075" s="9">
        <v>110</v>
      </c>
      <c r="I1075" s="5">
        <v>135</v>
      </c>
      <c r="J1075" s="5">
        <f t="shared" si="16"/>
        <v>14850</v>
      </c>
      <c r="K1075" s="9">
        <v>21</v>
      </c>
      <c r="L1075" s="9" t="s">
        <v>35</v>
      </c>
      <c r="M1075" s="9">
        <v>1</v>
      </c>
    </row>
    <row r="1076" spans="2:13" ht="15.6" thickTop="1" thickBot="1" x14ac:dyDescent="0.35">
      <c r="B1076" s="6">
        <v>1074</v>
      </c>
      <c r="C1076" s="7" t="s">
        <v>11</v>
      </c>
      <c r="D1076" s="18">
        <v>45732</v>
      </c>
      <c r="E1076" s="7" t="s">
        <v>12</v>
      </c>
      <c r="F1076" s="7" t="s">
        <v>23</v>
      </c>
      <c r="G1076" s="7" t="s">
        <v>32</v>
      </c>
      <c r="H1076" s="7">
        <v>134</v>
      </c>
      <c r="I1076" s="5">
        <v>225</v>
      </c>
      <c r="J1076" s="5">
        <f t="shared" si="16"/>
        <v>30150</v>
      </c>
      <c r="K1076" s="7">
        <v>11</v>
      </c>
      <c r="L1076" s="7" t="s">
        <v>33</v>
      </c>
      <c r="M1076" s="7">
        <v>2</v>
      </c>
    </row>
    <row r="1077" spans="2:13" ht="15.6" thickTop="1" thickBot="1" x14ac:dyDescent="0.35">
      <c r="B1077" s="8">
        <v>1075</v>
      </c>
      <c r="C1077" s="9" t="s">
        <v>10</v>
      </c>
      <c r="D1077" s="19">
        <v>45733</v>
      </c>
      <c r="E1077" s="9" t="s">
        <v>13</v>
      </c>
      <c r="F1077" s="9" t="s">
        <v>24</v>
      </c>
      <c r="G1077" s="9" t="s">
        <v>30</v>
      </c>
      <c r="H1077" s="9">
        <v>180</v>
      </c>
      <c r="I1077" s="5">
        <v>180</v>
      </c>
      <c r="J1077" s="5">
        <f t="shared" si="16"/>
        <v>32400</v>
      </c>
      <c r="K1077" s="9">
        <v>17</v>
      </c>
      <c r="L1077" s="9" t="s">
        <v>34</v>
      </c>
      <c r="M1077" s="9">
        <v>4</v>
      </c>
    </row>
    <row r="1078" spans="2:13" ht="15.6" thickTop="1" thickBot="1" x14ac:dyDescent="0.35">
      <c r="B1078" s="6">
        <v>1076</v>
      </c>
      <c r="C1078" s="7" t="s">
        <v>11</v>
      </c>
      <c r="D1078" s="18">
        <v>45734</v>
      </c>
      <c r="E1078" s="7" t="s">
        <v>21</v>
      </c>
      <c r="F1078" s="7" t="s">
        <v>26</v>
      </c>
      <c r="G1078" s="7" t="s">
        <v>31</v>
      </c>
      <c r="H1078" s="7">
        <v>159</v>
      </c>
      <c r="I1078" s="5">
        <v>90</v>
      </c>
      <c r="J1078" s="5">
        <f t="shared" si="16"/>
        <v>14310</v>
      </c>
      <c r="K1078" s="7">
        <v>13</v>
      </c>
      <c r="L1078" s="7" t="s">
        <v>34</v>
      </c>
      <c r="M1078" s="7">
        <v>5</v>
      </c>
    </row>
    <row r="1079" spans="2:13" ht="15.6" thickTop="1" thickBot="1" x14ac:dyDescent="0.35">
      <c r="B1079" s="8">
        <v>1077</v>
      </c>
      <c r="C1079" s="9" t="s">
        <v>10</v>
      </c>
      <c r="D1079" s="19">
        <v>45735</v>
      </c>
      <c r="E1079" s="9" t="s">
        <v>22</v>
      </c>
      <c r="F1079" s="9" t="s">
        <v>25</v>
      </c>
      <c r="G1079" s="9" t="s">
        <v>29</v>
      </c>
      <c r="H1079" s="9">
        <v>135</v>
      </c>
      <c r="I1079" s="5">
        <v>180</v>
      </c>
      <c r="J1079" s="5">
        <f t="shared" si="16"/>
        <v>24300</v>
      </c>
      <c r="K1079" s="9">
        <v>10</v>
      </c>
      <c r="L1079" s="9" t="s">
        <v>34</v>
      </c>
      <c r="M1079" s="9">
        <v>3</v>
      </c>
    </row>
    <row r="1080" spans="2:13" ht="15.6" thickTop="1" thickBot="1" x14ac:dyDescent="0.35">
      <c r="B1080" s="6">
        <v>1078</v>
      </c>
      <c r="C1080" s="7" t="s">
        <v>10</v>
      </c>
      <c r="D1080" s="18">
        <v>45736</v>
      </c>
      <c r="E1080" s="7" t="s">
        <v>22</v>
      </c>
      <c r="F1080" s="7" t="s">
        <v>25</v>
      </c>
      <c r="G1080" s="7" t="s">
        <v>29</v>
      </c>
      <c r="H1080" s="7">
        <v>75</v>
      </c>
      <c r="I1080" s="5">
        <v>225</v>
      </c>
      <c r="J1080" s="5">
        <f t="shared" si="16"/>
        <v>16875</v>
      </c>
      <c r="K1080" s="7">
        <v>18</v>
      </c>
      <c r="L1080" s="7" t="s">
        <v>35</v>
      </c>
      <c r="M1080" s="7">
        <v>1</v>
      </c>
    </row>
    <row r="1081" spans="2:13" ht="15.6" thickTop="1" thickBot="1" x14ac:dyDescent="0.35">
      <c r="B1081" s="8">
        <v>1079</v>
      </c>
      <c r="C1081" s="9" t="s">
        <v>10</v>
      </c>
      <c r="D1081" s="19">
        <v>45737</v>
      </c>
      <c r="E1081" s="9" t="s">
        <v>12</v>
      </c>
      <c r="F1081" s="9" t="s">
        <v>23</v>
      </c>
      <c r="G1081" s="9" t="s">
        <v>30</v>
      </c>
      <c r="H1081" s="9">
        <v>94</v>
      </c>
      <c r="I1081" s="5">
        <v>90</v>
      </c>
      <c r="J1081" s="5">
        <f t="shared" si="16"/>
        <v>8460</v>
      </c>
      <c r="K1081" s="9">
        <v>18</v>
      </c>
      <c r="L1081" s="9" t="s">
        <v>33</v>
      </c>
      <c r="M1081" s="9">
        <v>3</v>
      </c>
    </row>
    <row r="1082" spans="2:13" ht="15.6" thickTop="1" thickBot="1" x14ac:dyDescent="0.35">
      <c r="B1082" s="6">
        <v>1080</v>
      </c>
      <c r="C1082" s="7" t="s">
        <v>10</v>
      </c>
      <c r="D1082" s="18">
        <v>45738</v>
      </c>
      <c r="E1082" s="7" t="s">
        <v>13</v>
      </c>
      <c r="F1082" s="7" t="s">
        <v>24</v>
      </c>
      <c r="G1082" s="7" t="s">
        <v>31</v>
      </c>
      <c r="H1082" s="7">
        <v>101</v>
      </c>
      <c r="I1082" s="5">
        <v>180</v>
      </c>
      <c r="J1082" s="5">
        <f t="shared" si="16"/>
        <v>18180</v>
      </c>
      <c r="K1082" s="7">
        <v>10</v>
      </c>
      <c r="L1082" s="7" t="s">
        <v>33</v>
      </c>
      <c r="M1082" s="7">
        <v>2</v>
      </c>
    </row>
    <row r="1083" spans="2:13" ht="15.6" thickTop="1" thickBot="1" x14ac:dyDescent="0.35">
      <c r="B1083" s="8">
        <v>1081</v>
      </c>
      <c r="C1083" s="9" t="s">
        <v>10</v>
      </c>
      <c r="D1083" s="19">
        <v>45739</v>
      </c>
      <c r="E1083" s="9" t="s">
        <v>15</v>
      </c>
      <c r="F1083" s="9" t="s">
        <v>25</v>
      </c>
      <c r="G1083" s="9" t="s">
        <v>32</v>
      </c>
      <c r="H1083" s="9">
        <v>30</v>
      </c>
      <c r="I1083" s="5">
        <v>90</v>
      </c>
      <c r="J1083" s="5">
        <f t="shared" si="16"/>
        <v>2700</v>
      </c>
      <c r="K1083" s="9">
        <v>24</v>
      </c>
      <c r="L1083" s="9" t="s">
        <v>34</v>
      </c>
      <c r="M1083" s="9">
        <v>1</v>
      </c>
    </row>
    <row r="1084" spans="2:13" ht="15.6" thickTop="1" thickBot="1" x14ac:dyDescent="0.35">
      <c r="B1084" s="6">
        <v>1082</v>
      </c>
      <c r="C1084" s="7" t="s">
        <v>10</v>
      </c>
      <c r="D1084" s="18">
        <v>45740</v>
      </c>
      <c r="E1084" s="7" t="s">
        <v>15</v>
      </c>
      <c r="F1084" s="7" t="s">
        <v>25</v>
      </c>
      <c r="G1084" s="7" t="s">
        <v>31</v>
      </c>
      <c r="H1084" s="7">
        <v>81</v>
      </c>
      <c r="I1084" s="5">
        <v>45</v>
      </c>
      <c r="J1084" s="5">
        <f t="shared" si="16"/>
        <v>3645</v>
      </c>
      <c r="K1084" s="7">
        <v>22</v>
      </c>
      <c r="L1084" s="7" t="s">
        <v>33</v>
      </c>
      <c r="M1084" s="7">
        <v>3</v>
      </c>
    </row>
    <row r="1085" spans="2:13" ht="15.6" thickTop="1" thickBot="1" x14ac:dyDescent="0.35">
      <c r="B1085" s="8">
        <v>1083</v>
      </c>
      <c r="C1085" s="9" t="s">
        <v>11</v>
      </c>
      <c r="D1085" s="19">
        <v>45741</v>
      </c>
      <c r="E1085" s="9" t="s">
        <v>21</v>
      </c>
      <c r="F1085" s="9" t="s">
        <v>26</v>
      </c>
      <c r="G1085" s="9" t="s">
        <v>32</v>
      </c>
      <c r="H1085" s="9">
        <v>53</v>
      </c>
      <c r="I1085" s="5">
        <v>180</v>
      </c>
      <c r="J1085" s="5">
        <f t="shared" si="16"/>
        <v>9540</v>
      </c>
      <c r="K1085" s="9">
        <v>14</v>
      </c>
      <c r="L1085" s="9" t="s">
        <v>34</v>
      </c>
      <c r="M1085" s="9">
        <v>3</v>
      </c>
    </row>
    <row r="1086" spans="2:13" ht="15.6" thickTop="1" thickBot="1" x14ac:dyDescent="0.35">
      <c r="B1086" s="6">
        <v>1084</v>
      </c>
      <c r="C1086" s="7" t="s">
        <v>11</v>
      </c>
      <c r="D1086" s="18">
        <v>45742</v>
      </c>
      <c r="E1086" s="7" t="s">
        <v>21</v>
      </c>
      <c r="F1086" s="7" t="s">
        <v>26</v>
      </c>
      <c r="G1086" s="7" t="s">
        <v>32</v>
      </c>
      <c r="H1086" s="7">
        <v>73</v>
      </c>
      <c r="I1086" s="5">
        <v>180</v>
      </c>
      <c r="J1086" s="5">
        <f t="shared" si="16"/>
        <v>13140</v>
      </c>
      <c r="K1086" s="7">
        <v>19</v>
      </c>
      <c r="L1086" s="7" t="s">
        <v>35</v>
      </c>
      <c r="M1086" s="7">
        <v>3</v>
      </c>
    </row>
    <row r="1087" spans="2:13" ht="15.6" thickTop="1" thickBot="1" x14ac:dyDescent="0.35">
      <c r="B1087" s="8">
        <v>1085</v>
      </c>
      <c r="C1087" s="9" t="s">
        <v>10</v>
      </c>
      <c r="D1087" s="19">
        <v>45743</v>
      </c>
      <c r="E1087" s="9" t="s">
        <v>15</v>
      </c>
      <c r="F1087" s="9" t="s">
        <v>25</v>
      </c>
      <c r="G1087" s="9" t="s">
        <v>29</v>
      </c>
      <c r="H1087" s="9">
        <v>246</v>
      </c>
      <c r="I1087" s="5">
        <v>225</v>
      </c>
      <c r="J1087" s="5">
        <f t="shared" si="16"/>
        <v>55350</v>
      </c>
      <c r="K1087" s="9">
        <v>16</v>
      </c>
      <c r="L1087" s="9" t="s">
        <v>34</v>
      </c>
      <c r="M1087" s="9">
        <v>4</v>
      </c>
    </row>
    <row r="1088" spans="2:13" ht="15.6" thickTop="1" thickBot="1" x14ac:dyDescent="0.35">
      <c r="B1088" s="6">
        <v>1086</v>
      </c>
      <c r="C1088" s="7" t="s">
        <v>10</v>
      </c>
      <c r="D1088" s="18">
        <v>45744</v>
      </c>
      <c r="E1088" s="7" t="s">
        <v>19</v>
      </c>
      <c r="F1088" s="7" t="s">
        <v>23</v>
      </c>
      <c r="G1088" s="7" t="s">
        <v>28</v>
      </c>
      <c r="H1088" s="7">
        <v>193</v>
      </c>
      <c r="I1088" s="5">
        <v>135</v>
      </c>
      <c r="J1088" s="5">
        <f t="shared" si="16"/>
        <v>26055</v>
      </c>
      <c r="K1088" s="7">
        <v>20</v>
      </c>
      <c r="L1088" s="7" t="s">
        <v>35</v>
      </c>
      <c r="M1088" s="7">
        <v>4</v>
      </c>
    </row>
    <row r="1089" spans="2:13" ht="15.6" thickTop="1" thickBot="1" x14ac:dyDescent="0.35">
      <c r="B1089" s="8">
        <v>1087</v>
      </c>
      <c r="C1089" s="9" t="s">
        <v>11</v>
      </c>
      <c r="D1089" s="19">
        <v>45745</v>
      </c>
      <c r="E1089" s="9" t="s">
        <v>15</v>
      </c>
      <c r="F1089" s="9" t="s">
        <v>25</v>
      </c>
      <c r="G1089" s="9" t="s">
        <v>31</v>
      </c>
      <c r="H1089" s="9">
        <v>133</v>
      </c>
      <c r="I1089" s="5">
        <v>45</v>
      </c>
      <c r="J1089" s="5">
        <f t="shared" si="16"/>
        <v>5985</v>
      </c>
      <c r="K1089" s="9">
        <v>18</v>
      </c>
      <c r="L1089" s="9" t="s">
        <v>34</v>
      </c>
      <c r="M1089" s="9">
        <v>2</v>
      </c>
    </row>
    <row r="1090" spans="2:13" ht="15.6" thickTop="1" thickBot="1" x14ac:dyDescent="0.35">
      <c r="B1090" s="6">
        <v>1088</v>
      </c>
      <c r="C1090" s="7" t="s">
        <v>10</v>
      </c>
      <c r="D1090" s="18">
        <v>45746</v>
      </c>
      <c r="E1090" s="7" t="s">
        <v>18</v>
      </c>
      <c r="F1090" s="7" t="s">
        <v>27</v>
      </c>
      <c r="G1090" s="7" t="s">
        <v>31</v>
      </c>
      <c r="H1090" s="7">
        <v>206</v>
      </c>
      <c r="I1090" s="5">
        <v>135</v>
      </c>
      <c r="J1090" s="5">
        <f t="shared" si="16"/>
        <v>27810</v>
      </c>
      <c r="K1090" s="7">
        <v>10</v>
      </c>
      <c r="L1090" s="7" t="s">
        <v>33</v>
      </c>
      <c r="M1090" s="7">
        <v>4</v>
      </c>
    </row>
    <row r="1091" spans="2:13" ht="15.6" thickTop="1" thickBot="1" x14ac:dyDescent="0.35">
      <c r="B1091" s="8">
        <v>1089</v>
      </c>
      <c r="C1091" s="9" t="s">
        <v>11</v>
      </c>
      <c r="D1091" s="19">
        <v>45747</v>
      </c>
      <c r="E1091" s="9" t="s">
        <v>13</v>
      </c>
      <c r="F1091" s="9" t="s">
        <v>24</v>
      </c>
      <c r="G1091" s="9" t="s">
        <v>28</v>
      </c>
      <c r="H1091" s="9">
        <v>67</v>
      </c>
      <c r="I1091" s="5">
        <v>45</v>
      </c>
      <c r="J1091" s="5">
        <f t="shared" si="16"/>
        <v>3015</v>
      </c>
      <c r="K1091" s="9">
        <v>12</v>
      </c>
      <c r="L1091" s="9" t="s">
        <v>33</v>
      </c>
      <c r="M1091" s="9">
        <v>2</v>
      </c>
    </row>
    <row r="1092" spans="2:13" ht="15.6" thickTop="1" thickBot="1" x14ac:dyDescent="0.35">
      <c r="B1092" s="6">
        <v>1090</v>
      </c>
      <c r="C1092" s="7" t="s">
        <v>11</v>
      </c>
      <c r="D1092" s="18">
        <v>45707</v>
      </c>
      <c r="E1092" s="7" t="s">
        <v>21</v>
      </c>
      <c r="F1092" s="7" t="s">
        <v>26</v>
      </c>
      <c r="G1092" s="7" t="s">
        <v>28</v>
      </c>
      <c r="H1092" s="7">
        <v>116</v>
      </c>
      <c r="I1092" s="5">
        <v>90</v>
      </c>
      <c r="J1092" s="5">
        <f t="shared" ref="J1092:J1155" si="17">H1092*I1092</f>
        <v>10440</v>
      </c>
      <c r="K1092" s="7">
        <v>18</v>
      </c>
      <c r="L1092" s="7" t="s">
        <v>34</v>
      </c>
      <c r="M1092" s="7">
        <v>5</v>
      </c>
    </row>
    <row r="1093" spans="2:13" ht="15.6" thickTop="1" thickBot="1" x14ac:dyDescent="0.35">
      <c r="B1093" s="8">
        <v>1091</v>
      </c>
      <c r="C1093" s="9" t="s">
        <v>10</v>
      </c>
      <c r="D1093" s="19">
        <v>45708</v>
      </c>
      <c r="E1093" s="9" t="s">
        <v>22</v>
      </c>
      <c r="F1093" s="9" t="s">
        <v>25</v>
      </c>
      <c r="G1093" s="9" t="s">
        <v>30</v>
      </c>
      <c r="H1093" s="9">
        <v>158</v>
      </c>
      <c r="I1093" s="5">
        <v>90</v>
      </c>
      <c r="J1093" s="5">
        <f t="shared" si="17"/>
        <v>14220</v>
      </c>
      <c r="K1093" s="9">
        <v>22</v>
      </c>
      <c r="L1093" s="9" t="s">
        <v>33</v>
      </c>
      <c r="M1093" s="9"/>
    </row>
    <row r="1094" spans="2:13" ht="15.6" thickTop="1" thickBot="1" x14ac:dyDescent="0.35">
      <c r="B1094" s="6">
        <v>1092</v>
      </c>
      <c r="C1094" s="7" t="s">
        <v>10</v>
      </c>
      <c r="D1094" s="18">
        <v>45709</v>
      </c>
      <c r="E1094" s="7" t="s">
        <v>18</v>
      </c>
      <c r="F1094" s="7" t="s">
        <v>27</v>
      </c>
      <c r="G1094" s="7" t="s">
        <v>28</v>
      </c>
      <c r="H1094" s="7">
        <v>41</v>
      </c>
      <c r="I1094" s="5">
        <v>135</v>
      </c>
      <c r="J1094" s="5">
        <f t="shared" si="17"/>
        <v>5535</v>
      </c>
      <c r="K1094" s="7">
        <v>17</v>
      </c>
      <c r="L1094" s="7" t="s">
        <v>34</v>
      </c>
      <c r="M1094" s="7">
        <v>5</v>
      </c>
    </row>
    <row r="1095" spans="2:13" ht="15.6" thickTop="1" thickBot="1" x14ac:dyDescent="0.35">
      <c r="B1095" s="8">
        <v>1093</v>
      </c>
      <c r="C1095" s="9" t="s">
        <v>11</v>
      </c>
      <c r="D1095" s="19">
        <v>45710</v>
      </c>
      <c r="E1095" s="9" t="s">
        <v>19</v>
      </c>
      <c r="F1095" s="9" t="s">
        <v>23</v>
      </c>
      <c r="G1095" s="9" t="s">
        <v>29</v>
      </c>
      <c r="H1095" s="9">
        <v>249</v>
      </c>
      <c r="I1095" s="5">
        <v>45</v>
      </c>
      <c r="J1095" s="5">
        <f t="shared" si="17"/>
        <v>11205</v>
      </c>
      <c r="K1095" s="9">
        <v>16</v>
      </c>
      <c r="L1095" s="9" t="s">
        <v>34</v>
      </c>
      <c r="M1095" s="9">
        <v>5</v>
      </c>
    </row>
    <row r="1096" spans="2:13" ht="15.6" thickTop="1" thickBot="1" x14ac:dyDescent="0.35">
      <c r="B1096" s="6">
        <v>1094</v>
      </c>
      <c r="C1096" s="7" t="s">
        <v>11</v>
      </c>
      <c r="D1096" s="18">
        <v>45711</v>
      </c>
      <c r="E1096" s="7" t="s">
        <v>12</v>
      </c>
      <c r="F1096" s="7" t="s">
        <v>23</v>
      </c>
      <c r="G1096" s="7" t="s">
        <v>28</v>
      </c>
      <c r="H1096" s="7">
        <v>164</v>
      </c>
      <c r="I1096" s="5">
        <v>90</v>
      </c>
      <c r="J1096" s="5">
        <f t="shared" si="17"/>
        <v>14760</v>
      </c>
      <c r="K1096" s="7">
        <v>16</v>
      </c>
      <c r="L1096" s="7" t="s">
        <v>33</v>
      </c>
      <c r="M1096" s="7">
        <v>3</v>
      </c>
    </row>
    <row r="1097" spans="2:13" ht="15.6" thickTop="1" thickBot="1" x14ac:dyDescent="0.35">
      <c r="B1097" s="8">
        <v>1095</v>
      </c>
      <c r="C1097" s="9" t="s">
        <v>11</v>
      </c>
      <c r="D1097" s="19">
        <v>45712</v>
      </c>
      <c r="E1097" s="9" t="s">
        <v>17</v>
      </c>
      <c r="F1097" s="9" t="s">
        <v>24</v>
      </c>
      <c r="G1097" s="9" t="s">
        <v>28</v>
      </c>
      <c r="H1097" s="9">
        <v>120</v>
      </c>
      <c r="I1097" s="5">
        <v>45</v>
      </c>
      <c r="J1097" s="5">
        <f t="shared" si="17"/>
        <v>5400</v>
      </c>
      <c r="K1097" s="9">
        <v>18</v>
      </c>
      <c r="L1097" s="9" t="s">
        <v>35</v>
      </c>
      <c r="M1097" s="9">
        <v>3</v>
      </c>
    </row>
    <row r="1098" spans="2:13" ht="15.6" thickTop="1" thickBot="1" x14ac:dyDescent="0.35">
      <c r="B1098" s="6">
        <v>1096</v>
      </c>
      <c r="C1098" s="7" t="s">
        <v>11</v>
      </c>
      <c r="D1098" s="18">
        <v>45713</v>
      </c>
      <c r="E1098" s="7" t="s">
        <v>14</v>
      </c>
      <c r="F1098" s="7" t="s">
        <v>25</v>
      </c>
      <c r="G1098" s="7" t="s">
        <v>31</v>
      </c>
      <c r="H1098" s="7">
        <v>84</v>
      </c>
      <c r="I1098" s="5">
        <v>225</v>
      </c>
      <c r="J1098" s="5">
        <f t="shared" si="17"/>
        <v>18900</v>
      </c>
      <c r="K1098" s="7">
        <v>14</v>
      </c>
      <c r="L1098" s="7" t="s">
        <v>35</v>
      </c>
      <c r="M1098" s="7">
        <v>3</v>
      </c>
    </row>
    <row r="1099" spans="2:13" ht="15.6" thickTop="1" thickBot="1" x14ac:dyDescent="0.35">
      <c r="B1099" s="8">
        <v>1097</v>
      </c>
      <c r="C1099" s="9" t="s">
        <v>10</v>
      </c>
      <c r="D1099" s="19">
        <v>45714</v>
      </c>
      <c r="E1099" s="9" t="s">
        <v>14</v>
      </c>
      <c r="F1099" s="9" t="s">
        <v>25</v>
      </c>
      <c r="G1099" s="9" t="s">
        <v>31</v>
      </c>
      <c r="H1099" s="9">
        <v>49</v>
      </c>
      <c r="I1099" s="5">
        <v>225</v>
      </c>
      <c r="J1099" s="5">
        <f t="shared" si="17"/>
        <v>11025</v>
      </c>
      <c r="K1099" s="9">
        <v>11</v>
      </c>
      <c r="L1099" s="9" t="s">
        <v>33</v>
      </c>
      <c r="M1099" s="9">
        <v>3</v>
      </c>
    </row>
    <row r="1100" spans="2:13" ht="15.6" thickTop="1" thickBot="1" x14ac:dyDescent="0.35">
      <c r="B1100" s="6">
        <v>1098</v>
      </c>
      <c r="C1100" s="7" t="s">
        <v>10</v>
      </c>
      <c r="D1100" s="18">
        <v>45715</v>
      </c>
      <c r="E1100" s="7" t="s">
        <v>15</v>
      </c>
      <c r="F1100" s="7" t="s">
        <v>25</v>
      </c>
      <c r="G1100" s="7" t="s">
        <v>31</v>
      </c>
      <c r="H1100" s="7">
        <v>249</v>
      </c>
      <c r="I1100" s="5">
        <v>135</v>
      </c>
      <c r="J1100" s="5">
        <f t="shared" si="17"/>
        <v>33615</v>
      </c>
      <c r="K1100" s="7">
        <v>16</v>
      </c>
      <c r="L1100" s="7" t="s">
        <v>34</v>
      </c>
      <c r="M1100" s="7">
        <v>2</v>
      </c>
    </row>
    <row r="1101" spans="2:13" ht="15.6" thickTop="1" thickBot="1" x14ac:dyDescent="0.35">
      <c r="B1101" s="8">
        <v>1099</v>
      </c>
      <c r="C1101" s="9" t="s">
        <v>11</v>
      </c>
      <c r="D1101" s="19">
        <v>45716</v>
      </c>
      <c r="E1101" s="9" t="s">
        <v>12</v>
      </c>
      <c r="F1101" s="9" t="s">
        <v>23</v>
      </c>
      <c r="G1101" s="9" t="s">
        <v>32</v>
      </c>
      <c r="H1101" s="9">
        <v>161</v>
      </c>
      <c r="I1101" s="5">
        <v>180</v>
      </c>
      <c r="J1101" s="5">
        <f t="shared" si="17"/>
        <v>28980</v>
      </c>
      <c r="K1101" s="9">
        <v>12</v>
      </c>
      <c r="L1101" s="9" t="s">
        <v>34</v>
      </c>
      <c r="M1101" s="9">
        <v>2</v>
      </c>
    </row>
    <row r="1102" spans="2:13" ht="15.6" thickTop="1" thickBot="1" x14ac:dyDescent="0.35">
      <c r="B1102" s="6">
        <v>1100</v>
      </c>
      <c r="C1102" s="7" t="s">
        <v>11</v>
      </c>
      <c r="D1102" s="18">
        <v>45717</v>
      </c>
      <c r="E1102" s="7" t="s">
        <v>16</v>
      </c>
      <c r="F1102" s="7" t="s">
        <v>26</v>
      </c>
      <c r="G1102" s="7" t="s">
        <v>28</v>
      </c>
      <c r="H1102" s="7">
        <v>124</v>
      </c>
      <c r="I1102" s="5">
        <v>45</v>
      </c>
      <c r="J1102" s="5">
        <f t="shared" si="17"/>
        <v>5580</v>
      </c>
      <c r="K1102" s="7">
        <v>18</v>
      </c>
      <c r="L1102" s="7" t="s">
        <v>34</v>
      </c>
      <c r="M1102" s="7">
        <v>5</v>
      </c>
    </row>
    <row r="1103" spans="2:13" ht="15.6" thickTop="1" thickBot="1" x14ac:dyDescent="0.35">
      <c r="B1103" s="8">
        <v>1101</v>
      </c>
      <c r="C1103" s="9" t="s">
        <v>10</v>
      </c>
      <c r="D1103" s="19">
        <v>45718</v>
      </c>
      <c r="E1103" s="9" t="s">
        <v>17</v>
      </c>
      <c r="F1103" s="9" t="s">
        <v>24</v>
      </c>
      <c r="G1103" s="9" t="s">
        <v>28</v>
      </c>
      <c r="H1103" s="9">
        <v>64</v>
      </c>
      <c r="I1103" s="5">
        <v>180</v>
      </c>
      <c r="J1103" s="5">
        <f t="shared" si="17"/>
        <v>11520</v>
      </c>
      <c r="K1103" s="9">
        <v>20</v>
      </c>
      <c r="L1103" s="9" t="s">
        <v>33</v>
      </c>
      <c r="M1103" s="9"/>
    </row>
    <row r="1104" spans="2:13" ht="15.6" thickTop="1" thickBot="1" x14ac:dyDescent="0.35">
      <c r="B1104" s="6">
        <v>1102</v>
      </c>
      <c r="C1104" s="7" t="s">
        <v>11</v>
      </c>
      <c r="D1104" s="18">
        <v>45719</v>
      </c>
      <c r="E1104" s="7" t="s">
        <v>13</v>
      </c>
      <c r="F1104" s="7" t="s">
        <v>24</v>
      </c>
      <c r="G1104" s="7" t="s">
        <v>30</v>
      </c>
      <c r="H1104" s="7">
        <v>163</v>
      </c>
      <c r="I1104" s="5">
        <v>135</v>
      </c>
      <c r="J1104" s="5">
        <f t="shared" si="17"/>
        <v>22005</v>
      </c>
      <c r="K1104" s="7">
        <v>10</v>
      </c>
      <c r="L1104" s="7" t="s">
        <v>33</v>
      </c>
      <c r="M1104" s="7"/>
    </row>
    <row r="1105" spans="2:13" ht="15.6" thickTop="1" thickBot="1" x14ac:dyDescent="0.35">
      <c r="B1105" s="8">
        <v>1103</v>
      </c>
      <c r="C1105" s="9" t="s">
        <v>11</v>
      </c>
      <c r="D1105" s="19">
        <v>45720</v>
      </c>
      <c r="E1105" s="9" t="s">
        <v>18</v>
      </c>
      <c r="F1105" s="9" t="s">
        <v>27</v>
      </c>
      <c r="G1105" s="9" t="s">
        <v>31</v>
      </c>
      <c r="H1105" s="9">
        <v>154</v>
      </c>
      <c r="I1105" s="5">
        <v>90</v>
      </c>
      <c r="J1105" s="5">
        <f t="shared" si="17"/>
        <v>13860</v>
      </c>
      <c r="K1105" s="9">
        <v>10</v>
      </c>
      <c r="L1105" s="9" t="s">
        <v>33</v>
      </c>
      <c r="M1105" s="9">
        <v>3</v>
      </c>
    </row>
    <row r="1106" spans="2:13" ht="15.6" thickTop="1" thickBot="1" x14ac:dyDescent="0.35">
      <c r="B1106" s="6">
        <v>1104</v>
      </c>
      <c r="C1106" s="7" t="s">
        <v>10</v>
      </c>
      <c r="D1106" s="18">
        <v>45721</v>
      </c>
      <c r="E1106" s="7" t="s">
        <v>19</v>
      </c>
      <c r="F1106" s="7" t="s">
        <v>23</v>
      </c>
      <c r="G1106" s="7" t="s">
        <v>31</v>
      </c>
      <c r="H1106" s="7">
        <v>166</v>
      </c>
      <c r="I1106" s="5">
        <v>90</v>
      </c>
      <c r="J1106" s="5">
        <f t="shared" si="17"/>
        <v>14940</v>
      </c>
      <c r="K1106" s="7">
        <v>10</v>
      </c>
      <c r="L1106" s="7" t="s">
        <v>35</v>
      </c>
      <c r="M1106" s="7"/>
    </row>
    <row r="1107" spans="2:13" ht="15.6" thickTop="1" thickBot="1" x14ac:dyDescent="0.35">
      <c r="B1107" s="8">
        <v>1105</v>
      </c>
      <c r="C1107" s="9" t="s">
        <v>10</v>
      </c>
      <c r="D1107" s="19">
        <v>45722</v>
      </c>
      <c r="E1107" s="9" t="s">
        <v>17</v>
      </c>
      <c r="F1107" s="9" t="s">
        <v>24</v>
      </c>
      <c r="G1107" s="9" t="s">
        <v>31</v>
      </c>
      <c r="H1107" s="9">
        <v>76</v>
      </c>
      <c r="I1107" s="5">
        <v>135</v>
      </c>
      <c r="J1107" s="5">
        <f t="shared" si="17"/>
        <v>10260</v>
      </c>
      <c r="K1107" s="9">
        <v>14</v>
      </c>
      <c r="L1107" s="9" t="s">
        <v>33</v>
      </c>
      <c r="M1107" s="9"/>
    </row>
    <row r="1108" spans="2:13" ht="15.6" thickTop="1" thickBot="1" x14ac:dyDescent="0.35">
      <c r="B1108" s="6">
        <v>1106</v>
      </c>
      <c r="C1108" s="7" t="s">
        <v>11</v>
      </c>
      <c r="D1108" s="18">
        <v>45686</v>
      </c>
      <c r="E1108" s="7" t="s">
        <v>17</v>
      </c>
      <c r="F1108" s="7" t="s">
        <v>24</v>
      </c>
      <c r="G1108" s="7" t="s">
        <v>31</v>
      </c>
      <c r="H1108" s="7">
        <v>240</v>
      </c>
      <c r="I1108" s="5">
        <v>45</v>
      </c>
      <c r="J1108" s="5">
        <f t="shared" si="17"/>
        <v>10800</v>
      </c>
      <c r="K1108" s="7">
        <v>16</v>
      </c>
      <c r="L1108" s="7" t="s">
        <v>34</v>
      </c>
      <c r="M1108" s="7">
        <v>2</v>
      </c>
    </row>
    <row r="1109" spans="2:13" ht="15.6" thickTop="1" thickBot="1" x14ac:dyDescent="0.35">
      <c r="B1109" s="8">
        <v>1107</v>
      </c>
      <c r="C1109" s="9" t="s">
        <v>11</v>
      </c>
      <c r="D1109" s="19">
        <v>45687</v>
      </c>
      <c r="E1109" s="9" t="s">
        <v>13</v>
      </c>
      <c r="F1109" s="9" t="s">
        <v>24</v>
      </c>
      <c r="G1109" s="9" t="s">
        <v>31</v>
      </c>
      <c r="H1109" s="9">
        <v>208</v>
      </c>
      <c r="I1109" s="5">
        <v>225</v>
      </c>
      <c r="J1109" s="5">
        <f t="shared" si="17"/>
        <v>46800</v>
      </c>
      <c r="K1109" s="9">
        <v>17</v>
      </c>
      <c r="L1109" s="9" t="s">
        <v>35</v>
      </c>
      <c r="M1109" s="9">
        <v>4</v>
      </c>
    </row>
    <row r="1110" spans="2:13" ht="15.6" thickTop="1" thickBot="1" x14ac:dyDescent="0.35">
      <c r="B1110" s="6">
        <v>1108</v>
      </c>
      <c r="C1110" s="7" t="s">
        <v>10</v>
      </c>
      <c r="D1110" s="18">
        <v>45688</v>
      </c>
      <c r="E1110" s="7" t="s">
        <v>16</v>
      </c>
      <c r="F1110" s="7" t="s">
        <v>26</v>
      </c>
      <c r="G1110" s="7" t="s">
        <v>28</v>
      </c>
      <c r="H1110" s="7">
        <v>117</v>
      </c>
      <c r="I1110" s="5">
        <v>45</v>
      </c>
      <c r="J1110" s="5">
        <f t="shared" si="17"/>
        <v>5265</v>
      </c>
      <c r="K1110" s="7">
        <v>21</v>
      </c>
      <c r="L1110" s="7" t="s">
        <v>34</v>
      </c>
      <c r="M1110" s="7">
        <v>4</v>
      </c>
    </row>
    <row r="1111" spans="2:13" ht="15.6" thickTop="1" thickBot="1" x14ac:dyDescent="0.35">
      <c r="B1111" s="8">
        <v>1109</v>
      </c>
      <c r="C1111" s="9" t="s">
        <v>10</v>
      </c>
      <c r="D1111" s="19">
        <v>45689</v>
      </c>
      <c r="E1111" s="9" t="s">
        <v>18</v>
      </c>
      <c r="F1111" s="9" t="s">
        <v>27</v>
      </c>
      <c r="G1111" s="9" t="s">
        <v>29</v>
      </c>
      <c r="H1111" s="9">
        <v>137</v>
      </c>
      <c r="I1111" s="5">
        <v>180</v>
      </c>
      <c r="J1111" s="5">
        <f t="shared" si="17"/>
        <v>24660</v>
      </c>
      <c r="K1111" s="9">
        <v>11</v>
      </c>
      <c r="L1111" s="9" t="s">
        <v>35</v>
      </c>
      <c r="M1111" s="9">
        <v>2</v>
      </c>
    </row>
    <row r="1112" spans="2:13" ht="15.6" thickTop="1" thickBot="1" x14ac:dyDescent="0.35">
      <c r="B1112" s="6">
        <v>1110</v>
      </c>
      <c r="C1112" s="7" t="s">
        <v>11</v>
      </c>
      <c r="D1112" s="18">
        <v>45690</v>
      </c>
      <c r="E1112" s="7" t="s">
        <v>16</v>
      </c>
      <c r="F1112" s="7" t="s">
        <v>26</v>
      </c>
      <c r="G1112" s="7" t="s">
        <v>28</v>
      </c>
      <c r="H1112" s="7">
        <v>93</v>
      </c>
      <c r="I1112" s="5">
        <v>45</v>
      </c>
      <c r="J1112" s="5">
        <f t="shared" si="17"/>
        <v>4185</v>
      </c>
      <c r="K1112" s="7">
        <v>12</v>
      </c>
      <c r="L1112" s="7" t="s">
        <v>33</v>
      </c>
      <c r="M1112" s="7">
        <v>1</v>
      </c>
    </row>
    <row r="1113" spans="2:13" ht="15.6" thickTop="1" thickBot="1" x14ac:dyDescent="0.35">
      <c r="B1113" s="8">
        <v>1111</v>
      </c>
      <c r="C1113" s="9" t="s">
        <v>10</v>
      </c>
      <c r="D1113" s="19">
        <v>45691</v>
      </c>
      <c r="E1113" s="9" t="s">
        <v>12</v>
      </c>
      <c r="F1113" s="9" t="s">
        <v>23</v>
      </c>
      <c r="G1113" s="9" t="s">
        <v>32</v>
      </c>
      <c r="H1113" s="9">
        <v>160</v>
      </c>
      <c r="I1113" s="5">
        <v>180</v>
      </c>
      <c r="J1113" s="5">
        <f t="shared" si="17"/>
        <v>28800</v>
      </c>
      <c r="K1113" s="9">
        <v>15</v>
      </c>
      <c r="L1113" s="9" t="s">
        <v>35</v>
      </c>
      <c r="M1113" s="9"/>
    </row>
    <row r="1114" spans="2:13" ht="15.6" thickTop="1" thickBot="1" x14ac:dyDescent="0.35">
      <c r="B1114" s="6">
        <v>1112</v>
      </c>
      <c r="C1114" s="7" t="s">
        <v>10</v>
      </c>
      <c r="D1114" s="18">
        <v>45692</v>
      </c>
      <c r="E1114" s="7" t="s">
        <v>20</v>
      </c>
      <c r="F1114" s="7" t="s">
        <v>20</v>
      </c>
      <c r="G1114" s="7" t="s">
        <v>30</v>
      </c>
      <c r="H1114" s="7">
        <v>199</v>
      </c>
      <c r="I1114" s="5">
        <v>180</v>
      </c>
      <c r="J1114" s="5">
        <f t="shared" si="17"/>
        <v>35820</v>
      </c>
      <c r="K1114" s="7">
        <v>13</v>
      </c>
      <c r="L1114" s="7" t="s">
        <v>34</v>
      </c>
      <c r="M1114" s="7">
        <v>1</v>
      </c>
    </row>
    <row r="1115" spans="2:13" ht="15.6" thickTop="1" thickBot="1" x14ac:dyDescent="0.35">
      <c r="B1115" s="8">
        <v>1113</v>
      </c>
      <c r="C1115" s="9" t="s">
        <v>10</v>
      </c>
      <c r="D1115" s="19">
        <v>45693</v>
      </c>
      <c r="E1115" s="9" t="s">
        <v>19</v>
      </c>
      <c r="F1115" s="9" t="s">
        <v>23</v>
      </c>
      <c r="G1115" s="9" t="s">
        <v>31</v>
      </c>
      <c r="H1115" s="9">
        <v>168</v>
      </c>
      <c r="I1115" s="5">
        <v>45</v>
      </c>
      <c r="J1115" s="5">
        <f t="shared" si="17"/>
        <v>7560</v>
      </c>
      <c r="K1115" s="9">
        <v>23</v>
      </c>
      <c r="L1115" s="9" t="s">
        <v>34</v>
      </c>
      <c r="M1115" s="9">
        <v>5</v>
      </c>
    </row>
    <row r="1116" spans="2:13" ht="15.6" thickTop="1" thickBot="1" x14ac:dyDescent="0.35">
      <c r="B1116" s="6">
        <v>1114</v>
      </c>
      <c r="C1116" s="7" t="s">
        <v>10</v>
      </c>
      <c r="D1116" s="18">
        <v>45694</v>
      </c>
      <c r="E1116" s="7" t="s">
        <v>22</v>
      </c>
      <c r="F1116" s="7" t="s">
        <v>25</v>
      </c>
      <c r="G1116" s="7" t="s">
        <v>31</v>
      </c>
      <c r="H1116" s="7">
        <v>87</v>
      </c>
      <c r="I1116" s="5">
        <v>45</v>
      </c>
      <c r="J1116" s="5">
        <f t="shared" si="17"/>
        <v>3915</v>
      </c>
      <c r="K1116" s="7">
        <v>11</v>
      </c>
      <c r="L1116" s="7" t="s">
        <v>33</v>
      </c>
      <c r="M1116" s="7">
        <v>1</v>
      </c>
    </row>
    <row r="1117" spans="2:13" ht="15.6" thickTop="1" thickBot="1" x14ac:dyDescent="0.35">
      <c r="B1117" s="8">
        <v>1115</v>
      </c>
      <c r="C1117" s="9" t="s">
        <v>10</v>
      </c>
      <c r="D1117" s="19">
        <v>45695</v>
      </c>
      <c r="E1117" s="9" t="s">
        <v>18</v>
      </c>
      <c r="F1117" s="9" t="s">
        <v>27</v>
      </c>
      <c r="G1117" s="9" t="s">
        <v>30</v>
      </c>
      <c r="H1117" s="9">
        <v>156</v>
      </c>
      <c r="I1117" s="5">
        <v>225</v>
      </c>
      <c r="J1117" s="5">
        <f t="shared" si="17"/>
        <v>35100</v>
      </c>
      <c r="K1117" s="9">
        <v>14</v>
      </c>
      <c r="L1117" s="9" t="s">
        <v>34</v>
      </c>
      <c r="M1117" s="9">
        <v>4</v>
      </c>
    </row>
    <row r="1118" spans="2:13" ht="15.6" thickTop="1" thickBot="1" x14ac:dyDescent="0.35">
      <c r="B1118" s="6">
        <v>1116</v>
      </c>
      <c r="C1118" s="7" t="s">
        <v>11</v>
      </c>
      <c r="D1118" s="18">
        <v>45696</v>
      </c>
      <c r="E1118" s="7" t="s">
        <v>20</v>
      </c>
      <c r="F1118" s="7" t="s">
        <v>20</v>
      </c>
      <c r="G1118" s="7" t="s">
        <v>29</v>
      </c>
      <c r="H1118" s="7">
        <v>232</v>
      </c>
      <c r="I1118" s="5">
        <v>90</v>
      </c>
      <c r="J1118" s="5">
        <f t="shared" si="17"/>
        <v>20880</v>
      </c>
      <c r="K1118" s="7">
        <v>15</v>
      </c>
      <c r="L1118" s="7" t="s">
        <v>34</v>
      </c>
      <c r="M1118" s="7">
        <v>5</v>
      </c>
    </row>
    <row r="1119" spans="2:13" ht="15.6" thickTop="1" thickBot="1" x14ac:dyDescent="0.35">
      <c r="B1119" s="8">
        <v>1117</v>
      </c>
      <c r="C1119" s="9" t="s">
        <v>10</v>
      </c>
      <c r="D1119" s="19">
        <v>45697</v>
      </c>
      <c r="E1119" s="9" t="s">
        <v>18</v>
      </c>
      <c r="F1119" s="9" t="s">
        <v>27</v>
      </c>
      <c r="G1119" s="9" t="s">
        <v>29</v>
      </c>
      <c r="H1119" s="9">
        <v>151</v>
      </c>
      <c r="I1119" s="5">
        <v>45</v>
      </c>
      <c r="J1119" s="5">
        <f t="shared" si="17"/>
        <v>6795</v>
      </c>
      <c r="K1119" s="9">
        <v>19</v>
      </c>
      <c r="L1119" s="9" t="s">
        <v>35</v>
      </c>
      <c r="M1119" s="9">
        <v>3</v>
      </c>
    </row>
    <row r="1120" spans="2:13" ht="15.6" thickTop="1" thickBot="1" x14ac:dyDescent="0.35">
      <c r="B1120" s="6">
        <v>1118</v>
      </c>
      <c r="C1120" s="7" t="s">
        <v>11</v>
      </c>
      <c r="D1120" s="18">
        <v>45698</v>
      </c>
      <c r="E1120" s="7" t="s">
        <v>14</v>
      </c>
      <c r="F1120" s="7" t="s">
        <v>25</v>
      </c>
      <c r="G1120" s="7" t="s">
        <v>32</v>
      </c>
      <c r="H1120" s="7">
        <v>110</v>
      </c>
      <c r="I1120" s="5">
        <v>135</v>
      </c>
      <c r="J1120" s="5">
        <f t="shared" si="17"/>
        <v>14850</v>
      </c>
      <c r="K1120" s="7">
        <v>17</v>
      </c>
      <c r="L1120" s="7" t="s">
        <v>33</v>
      </c>
      <c r="M1120" s="7">
        <v>2</v>
      </c>
    </row>
    <row r="1121" spans="2:13" ht="15.6" thickTop="1" thickBot="1" x14ac:dyDescent="0.35">
      <c r="B1121" s="8">
        <v>1119</v>
      </c>
      <c r="C1121" s="9" t="s">
        <v>10</v>
      </c>
      <c r="D1121" s="19">
        <v>45699</v>
      </c>
      <c r="E1121" s="9" t="s">
        <v>17</v>
      </c>
      <c r="F1121" s="9" t="s">
        <v>24</v>
      </c>
      <c r="G1121" s="9" t="s">
        <v>29</v>
      </c>
      <c r="H1121" s="9">
        <v>100</v>
      </c>
      <c r="I1121" s="5">
        <v>225</v>
      </c>
      <c r="J1121" s="5">
        <f t="shared" si="17"/>
        <v>22500</v>
      </c>
      <c r="K1121" s="9">
        <v>23</v>
      </c>
      <c r="L1121" s="9" t="s">
        <v>33</v>
      </c>
      <c r="M1121" s="9"/>
    </row>
    <row r="1122" spans="2:13" ht="15.6" thickTop="1" thickBot="1" x14ac:dyDescent="0.35">
      <c r="B1122" s="6">
        <v>1120</v>
      </c>
      <c r="C1122" s="7" t="s">
        <v>11</v>
      </c>
      <c r="D1122" s="18">
        <v>45700</v>
      </c>
      <c r="E1122" s="7" t="s">
        <v>14</v>
      </c>
      <c r="F1122" s="7" t="s">
        <v>25</v>
      </c>
      <c r="G1122" s="7" t="s">
        <v>31</v>
      </c>
      <c r="H1122" s="7">
        <v>227</v>
      </c>
      <c r="I1122" s="5">
        <v>225</v>
      </c>
      <c r="J1122" s="5">
        <f t="shared" si="17"/>
        <v>51075</v>
      </c>
      <c r="K1122" s="7">
        <v>13</v>
      </c>
      <c r="L1122" s="7" t="s">
        <v>33</v>
      </c>
      <c r="M1122" s="7"/>
    </row>
    <row r="1123" spans="2:13" ht="15.6" thickTop="1" thickBot="1" x14ac:dyDescent="0.35">
      <c r="B1123" s="8">
        <v>1121</v>
      </c>
      <c r="C1123" s="9" t="s">
        <v>10</v>
      </c>
      <c r="D1123" s="19">
        <v>45701</v>
      </c>
      <c r="E1123" s="9" t="s">
        <v>15</v>
      </c>
      <c r="F1123" s="9" t="s">
        <v>25</v>
      </c>
      <c r="G1123" s="9" t="s">
        <v>31</v>
      </c>
      <c r="H1123" s="9">
        <v>154</v>
      </c>
      <c r="I1123" s="5">
        <v>90</v>
      </c>
      <c r="J1123" s="5">
        <f t="shared" si="17"/>
        <v>13860</v>
      </c>
      <c r="K1123" s="9">
        <v>15</v>
      </c>
      <c r="L1123" s="9" t="s">
        <v>34</v>
      </c>
      <c r="M1123" s="9">
        <v>1</v>
      </c>
    </row>
    <row r="1124" spans="2:13" ht="15.6" thickTop="1" thickBot="1" x14ac:dyDescent="0.35">
      <c r="B1124" s="6">
        <v>1122</v>
      </c>
      <c r="C1124" s="7" t="s">
        <v>11</v>
      </c>
      <c r="D1124" s="18">
        <v>45636</v>
      </c>
      <c r="E1124" s="7" t="s">
        <v>19</v>
      </c>
      <c r="F1124" s="7" t="s">
        <v>23</v>
      </c>
      <c r="G1124" s="7" t="s">
        <v>30</v>
      </c>
      <c r="H1124" s="7">
        <v>83</v>
      </c>
      <c r="I1124" s="5">
        <v>90</v>
      </c>
      <c r="J1124" s="5">
        <f t="shared" si="17"/>
        <v>7470</v>
      </c>
      <c r="K1124" s="7">
        <v>18</v>
      </c>
      <c r="L1124" s="7" t="s">
        <v>34</v>
      </c>
      <c r="M1124" s="7">
        <v>1</v>
      </c>
    </row>
    <row r="1125" spans="2:13" ht="15.6" thickTop="1" thickBot="1" x14ac:dyDescent="0.35">
      <c r="B1125" s="8">
        <v>1123</v>
      </c>
      <c r="C1125" s="9" t="s">
        <v>11</v>
      </c>
      <c r="D1125" s="19">
        <v>45637</v>
      </c>
      <c r="E1125" s="9" t="s">
        <v>13</v>
      </c>
      <c r="F1125" s="9" t="s">
        <v>24</v>
      </c>
      <c r="G1125" s="9" t="s">
        <v>31</v>
      </c>
      <c r="H1125" s="9">
        <v>45</v>
      </c>
      <c r="I1125" s="5">
        <v>90</v>
      </c>
      <c r="J1125" s="5">
        <f t="shared" si="17"/>
        <v>4050</v>
      </c>
      <c r="K1125" s="9">
        <v>11</v>
      </c>
      <c r="L1125" s="9" t="s">
        <v>35</v>
      </c>
      <c r="M1125" s="9">
        <v>5</v>
      </c>
    </row>
    <row r="1126" spans="2:13" ht="15.6" thickTop="1" thickBot="1" x14ac:dyDescent="0.35">
      <c r="B1126" s="6">
        <v>1124</v>
      </c>
      <c r="C1126" s="7" t="s">
        <v>10</v>
      </c>
      <c r="D1126" s="18">
        <v>45638</v>
      </c>
      <c r="E1126" s="7" t="s">
        <v>13</v>
      </c>
      <c r="F1126" s="7" t="s">
        <v>24</v>
      </c>
      <c r="G1126" s="7" t="s">
        <v>32</v>
      </c>
      <c r="H1126" s="7">
        <v>216</v>
      </c>
      <c r="I1126" s="5">
        <v>45</v>
      </c>
      <c r="J1126" s="5">
        <f t="shared" si="17"/>
        <v>9720</v>
      </c>
      <c r="K1126" s="7">
        <v>13</v>
      </c>
      <c r="L1126" s="7" t="s">
        <v>34</v>
      </c>
      <c r="M1126" s="7">
        <v>4</v>
      </c>
    </row>
    <row r="1127" spans="2:13" ht="15.6" thickTop="1" thickBot="1" x14ac:dyDescent="0.35">
      <c r="B1127" s="8">
        <v>1125</v>
      </c>
      <c r="C1127" s="9" t="s">
        <v>10</v>
      </c>
      <c r="D1127" s="19">
        <v>45639</v>
      </c>
      <c r="E1127" s="9" t="s">
        <v>19</v>
      </c>
      <c r="F1127" s="9" t="s">
        <v>23</v>
      </c>
      <c r="G1127" s="9" t="s">
        <v>32</v>
      </c>
      <c r="H1127" s="9">
        <v>199</v>
      </c>
      <c r="I1127" s="5">
        <v>180</v>
      </c>
      <c r="J1127" s="5">
        <f t="shared" si="17"/>
        <v>35820</v>
      </c>
      <c r="K1127" s="9">
        <v>12</v>
      </c>
      <c r="L1127" s="9" t="s">
        <v>34</v>
      </c>
      <c r="M1127" s="9">
        <v>2</v>
      </c>
    </row>
    <row r="1128" spans="2:13" ht="15.6" thickTop="1" thickBot="1" x14ac:dyDescent="0.35">
      <c r="B1128" s="6">
        <v>1126</v>
      </c>
      <c r="C1128" s="7" t="s">
        <v>10</v>
      </c>
      <c r="D1128" s="18">
        <v>45640</v>
      </c>
      <c r="E1128" s="7" t="s">
        <v>14</v>
      </c>
      <c r="F1128" s="7" t="s">
        <v>25</v>
      </c>
      <c r="G1128" s="7" t="s">
        <v>28</v>
      </c>
      <c r="H1128" s="7">
        <v>192</v>
      </c>
      <c r="I1128" s="5">
        <v>225</v>
      </c>
      <c r="J1128" s="5">
        <f t="shared" si="17"/>
        <v>43200</v>
      </c>
      <c r="K1128" s="7">
        <v>17</v>
      </c>
      <c r="L1128" s="7" t="s">
        <v>33</v>
      </c>
      <c r="M1128" s="7">
        <v>5</v>
      </c>
    </row>
    <row r="1129" spans="2:13" ht="15.6" thickTop="1" thickBot="1" x14ac:dyDescent="0.35">
      <c r="B1129" s="8">
        <v>1127</v>
      </c>
      <c r="C1129" s="9" t="s">
        <v>10</v>
      </c>
      <c r="D1129" s="19">
        <v>45641</v>
      </c>
      <c r="E1129" s="9" t="s">
        <v>21</v>
      </c>
      <c r="F1129" s="9" t="s">
        <v>26</v>
      </c>
      <c r="G1129" s="9" t="s">
        <v>32</v>
      </c>
      <c r="H1129" s="9">
        <v>198</v>
      </c>
      <c r="I1129" s="5">
        <v>45</v>
      </c>
      <c r="J1129" s="5">
        <f t="shared" si="17"/>
        <v>8910</v>
      </c>
      <c r="K1129" s="9">
        <v>17</v>
      </c>
      <c r="L1129" s="9" t="s">
        <v>34</v>
      </c>
      <c r="M1129" s="9">
        <v>4</v>
      </c>
    </row>
    <row r="1130" spans="2:13" ht="15.6" thickTop="1" thickBot="1" x14ac:dyDescent="0.35">
      <c r="B1130" s="6">
        <v>1128</v>
      </c>
      <c r="C1130" s="7" t="s">
        <v>10</v>
      </c>
      <c r="D1130" s="18">
        <v>45642</v>
      </c>
      <c r="E1130" s="7" t="s">
        <v>12</v>
      </c>
      <c r="F1130" s="7" t="s">
        <v>23</v>
      </c>
      <c r="G1130" s="7" t="s">
        <v>30</v>
      </c>
      <c r="H1130" s="7">
        <v>198</v>
      </c>
      <c r="I1130" s="5">
        <v>45</v>
      </c>
      <c r="J1130" s="5">
        <f t="shared" si="17"/>
        <v>8910</v>
      </c>
      <c r="K1130" s="7">
        <v>22</v>
      </c>
      <c r="L1130" s="7" t="s">
        <v>34</v>
      </c>
      <c r="M1130" s="7"/>
    </row>
    <row r="1131" spans="2:13" ht="15.6" thickTop="1" thickBot="1" x14ac:dyDescent="0.35">
      <c r="B1131" s="8">
        <v>1129</v>
      </c>
      <c r="C1131" s="9" t="s">
        <v>10</v>
      </c>
      <c r="D1131" s="19">
        <v>45643</v>
      </c>
      <c r="E1131" s="9" t="s">
        <v>15</v>
      </c>
      <c r="F1131" s="9" t="s">
        <v>25</v>
      </c>
      <c r="G1131" s="9" t="s">
        <v>30</v>
      </c>
      <c r="H1131" s="9">
        <v>248</v>
      </c>
      <c r="I1131" s="5">
        <v>225</v>
      </c>
      <c r="J1131" s="5">
        <f t="shared" si="17"/>
        <v>55800</v>
      </c>
      <c r="K1131" s="9">
        <v>12</v>
      </c>
      <c r="L1131" s="9" t="s">
        <v>34</v>
      </c>
      <c r="M1131" s="9">
        <v>1</v>
      </c>
    </row>
    <row r="1132" spans="2:13" ht="15.6" thickTop="1" thickBot="1" x14ac:dyDescent="0.35">
      <c r="B1132" s="6">
        <v>1130</v>
      </c>
      <c r="C1132" s="7" t="s">
        <v>10</v>
      </c>
      <c r="D1132" s="18">
        <v>45644</v>
      </c>
      <c r="E1132" s="7" t="s">
        <v>12</v>
      </c>
      <c r="F1132" s="7" t="s">
        <v>23</v>
      </c>
      <c r="G1132" s="7" t="s">
        <v>32</v>
      </c>
      <c r="H1132" s="7">
        <v>198</v>
      </c>
      <c r="I1132" s="5">
        <v>135</v>
      </c>
      <c r="J1132" s="5">
        <f t="shared" si="17"/>
        <v>26730</v>
      </c>
      <c r="K1132" s="7">
        <v>10</v>
      </c>
      <c r="L1132" s="7" t="s">
        <v>33</v>
      </c>
      <c r="M1132" s="7"/>
    </row>
    <row r="1133" spans="2:13" ht="15.6" thickTop="1" thickBot="1" x14ac:dyDescent="0.35">
      <c r="B1133" s="8">
        <v>1131</v>
      </c>
      <c r="C1133" s="9" t="s">
        <v>11</v>
      </c>
      <c r="D1133" s="19">
        <v>45645</v>
      </c>
      <c r="E1133" s="9" t="s">
        <v>21</v>
      </c>
      <c r="F1133" s="9" t="s">
        <v>26</v>
      </c>
      <c r="G1133" s="9" t="s">
        <v>28</v>
      </c>
      <c r="H1133" s="9">
        <v>112</v>
      </c>
      <c r="I1133" s="5">
        <v>90</v>
      </c>
      <c r="J1133" s="5">
        <f t="shared" si="17"/>
        <v>10080</v>
      </c>
      <c r="K1133" s="9">
        <v>18</v>
      </c>
      <c r="L1133" s="9" t="s">
        <v>33</v>
      </c>
      <c r="M1133" s="9">
        <v>2</v>
      </c>
    </row>
    <row r="1134" spans="2:13" ht="15.6" thickTop="1" thickBot="1" x14ac:dyDescent="0.35">
      <c r="B1134" s="6">
        <v>1132</v>
      </c>
      <c r="C1134" s="7" t="s">
        <v>11</v>
      </c>
      <c r="D1134" s="18">
        <v>45646</v>
      </c>
      <c r="E1134" s="7" t="s">
        <v>15</v>
      </c>
      <c r="F1134" s="7" t="s">
        <v>25</v>
      </c>
      <c r="G1134" s="7" t="s">
        <v>28</v>
      </c>
      <c r="H1134" s="7">
        <v>39</v>
      </c>
      <c r="I1134" s="5">
        <v>90</v>
      </c>
      <c r="J1134" s="5">
        <f t="shared" si="17"/>
        <v>3510</v>
      </c>
      <c r="K1134" s="7">
        <v>12</v>
      </c>
      <c r="L1134" s="7" t="s">
        <v>35</v>
      </c>
      <c r="M1134" s="7">
        <v>5</v>
      </c>
    </row>
    <row r="1135" spans="2:13" ht="15.6" thickTop="1" thickBot="1" x14ac:dyDescent="0.35">
      <c r="B1135" s="8">
        <v>1133</v>
      </c>
      <c r="C1135" s="9" t="s">
        <v>10</v>
      </c>
      <c r="D1135" s="19">
        <v>45647</v>
      </c>
      <c r="E1135" s="9" t="s">
        <v>17</v>
      </c>
      <c r="F1135" s="9" t="s">
        <v>24</v>
      </c>
      <c r="G1135" s="9" t="s">
        <v>31</v>
      </c>
      <c r="H1135" s="9">
        <v>187</v>
      </c>
      <c r="I1135" s="5">
        <v>45</v>
      </c>
      <c r="J1135" s="5">
        <f t="shared" si="17"/>
        <v>8415</v>
      </c>
      <c r="K1135" s="9">
        <v>12</v>
      </c>
      <c r="L1135" s="9" t="s">
        <v>34</v>
      </c>
      <c r="M1135" s="9">
        <v>2</v>
      </c>
    </row>
    <row r="1136" spans="2:13" ht="15.6" thickTop="1" thickBot="1" x14ac:dyDescent="0.35">
      <c r="B1136" s="6">
        <v>1134</v>
      </c>
      <c r="C1136" s="7" t="s">
        <v>11</v>
      </c>
      <c r="D1136" s="18">
        <v>45648</v>
      </c>
      <c r="E1136" s="7" t="s">
        <v>20</v>
      </c>
      <c r="F1136" s="7" t="s">
        <v>20</v>
      </c>
      <c r="G1136" s="7" t="s">
        <v>31</v>
      </c>
      <c r="H1136" s="7">
        <v>182</v>
      </c>
      <c r="I1136" s="5">
        <v>180</v>
      </c>
      <c r="J1136" s="5">
        <f t="shared" si="17"/>
        <v>32760</v>
      </c>
      <c r="K1136" s="7">
        <v>17</v>
      </c>
      <c r="L1136" s="7" t="s">
        <v>35</v>
      </c>
      <c r="M1136" s="7">
        <v>3</v>
      </c>
    </row>
    <row r="1137" spans="2:13" ht="15.6" thickTop="1" thickBot="1" x14ac:dyDescent="0.35">
      <c r="B1137" s="8">
        <v>1135</v>
      </c>
      <c r="C1137" s="9" t="s">
        <v>11</v>
      </c>
      <c r="D1137" s="19">
        <v>45649</v>
      </c>
      <c r="E1137" s="9" t="s">
        <v>18</v>
      </c>
      <c r="F1137" s="9" t="s">
        <v>27</v>
      </c>
      <c r="G1137" s="9" t="s">
        <v>29</v>
      </c>
      <c r="H1137" s="9">
        <v>31</v>
      </c>
      <c r="I1137" s="5">
        <v>90</v>
      </c>
      <c r="J1137" s="5">
        <f t="shared" si="17"/>
        <v>2790</v>
      </c>
      <c r="K1137" s="9">
        <v>18</v>
      </c>
      <c r="L1137" s="9" t="s">
        <v>35</v>
      </c>
      <c r="M1137" s="9">
        <v>5</v>
      </c>
    </row>
    <row r="1138" spans="2:13" ht="15.6" thickTop="1" thickBot="1" x14ac:dyDescent="0.35">
      <c r="B1138" s="6">
        <v>1136</v>
      </c>
      <c r="C1138" s="7" t="s">
        <v>11</v>
      </c>
      <c r="D1138" s="18">
        <v>45650</v>
      </c>
      <c r="E1138" s="7" t="s">
        <v>15</v>
      </c>
      <c r="F1138" s="7" t="s">
        <v>25</v>
      </c>
      <c r="G1138" s="7" t="s">
        <v>30</v>
      </c>
      <c r="H1138" s="7">
        <v>236</v>
      </c>
      <c r="I1138" s="5">
        <v>135</v>
      </c>
      <c r="J1138" s="5">
        <f t="shared" si="17"/>
        <v>31860</v>
      </c>
      <c r="K1138" s="7">
        <v>19</v>
      </c>
      <c r="L1138" s="7" t="s">
        <v>34</v>
      </c>
      <c r="M1138" s="7"/>
    </row>
    <row r="1139" spans="2:13" ht="15.6" thickTop="1" thickBot="1" x14ac:dyDescent="0.35">
      <c r="B1139" s="8">
        <v>1137</v>
      </c>
      <c r="C1139" s="9" t="s">
        <v>11</v>
      </c>
      <c r="D1139" s="19">
        <v>45651</v>
      </c>
      <c r="E1139" s="9" t="s">
        <v>17</v>
      </c>
      <c r="F1139" s="9" t="s">
        <v>24</v>
      </c>
      <c r="G1139" s="9" t="s">
        <v>32</v>
      </c>
      <c r="H1139" s="9">
        <v>129</v>
      </c>
      <c r="I1139" s="5">
        <v>225</v>
      </c>
      <c r="J1139" s="5">
        <f t="shared" si="17"/>
        <v>29025</v>
      </c>
      <c r="K1139" s="9">
        <v>8</v>
      </c>
      <c r="L1139" s="9" t="s">
        <v>33</v>
      </c>
      <c r="M1139" s="9"/>
    </row>
    <row r="1140" spans="2:13" ht="15.6" thickTop="1" thickBot="1" x14ac:dyDescent="0.35">
      <c r="B1140" s="6">
        <v>1138</v>
      </c>
      <c r="C1140" s="7" t="s">
        <v>11</v>
      </c>
      <c r="D1140" s="18">
        <v>45652</v>
      </c>
      <c r="E1140" s="7" t="s">
        <v>20</v>
      </c>
      <c r="F1140" s="7" t="s">
        <v>20</v>
      </c>
      <c r="G1140" s="7" t="s">
        <v>29</v>
      </c>
      <c r="H1140" s="7">
        <v>186</v>
      </c>
      <c r="I1140" s="5">
        <v>225</v>
      </c>
      <c r="J1140" s="5">
        <f t="shared" si="17"/>
        <v>41850</v>
      </c>
      <c r="K1140" s="7">
        <v>7</v>
      </c>
      <c r="L1140" s="7" t="s">
        <v>34</v>
      </c>
      <c r="M1140" s="7"/>
    </row>
    <row r="1141" spans="2:13" ht="15.6" thickTop="1" thickBot="1" x14ac:dyDescent="0.35">
      <c r="B1141" s="8">
        <v>1139</v>
      </c>
      <c r="C1141" s="9" t="s">
        <v>10</v>
      </c>
      <c r="D1141" s="19">
        <v>45653</v>
      </c>
      <c r="E1141" s="9" t="s">
        <v>16</v>
      </c>
      <c r="F1141" s="9" t="s">
        <v>26</v>
      </c>
      <c r="G1141" s="9" t="s">
        <v>29</v>
      </c>
      <c r="H1141" s="9">
        <v>226</v>
      </c>
      <c r="I1141" s="5">
        <v>225</v>
      </c>
      <c r="J1141" s="5">
        <f t="shared" si="17"/>
        <v>50850</v>
      </c>
      <c r="K1141" s="9">
        <v>13</v>
      </c>
      <c r="L1141" s="9" t="s">
        <v>33</v>
      </c>
      <c r="M1141" s="9">
        <v>3</v>
      </c>
    </row>
    <row r="1142" spans="2:13" ht="15.6" thickTop="1" thickBot="1" x14ac:dyDescent="0.35">
      <c r="B1142" s="6">
        <v>1140</v>
      </c>
      <c r="C1142" s="7" t="s">
        <v>11</v>
      </c>
      <c r="D1142" s="18">
        <v>45654</v>
      </c>
      <c r="E1142" s="7" t="s">
        <v>16</v>
      </c>
      <c r="F1142" s="7" t="s">
        <v>26</v>
      </c>
      <c r="G1142" s="7" t="s">
        <v>31</v>
      </c>
      <c r="H1142" s="7">
        <v>46</v>
      </c>
      <c r="I1142" s="5">
        <v>135</v>
      </c>
      <c r="J1142" s="5">
        <f t="shared" si="17"/>
        <v>6210</v>
      </c>
      <c r="K1142" s="7">
        <v>19</v>
      </c>
      <c r="L1142" s="7" t="s">
        <v>35</v>
      </c>
      <c r="M1142" s="7">
        <v>4</v>
      </c>
    </row>
    <row r="1143" spans="2:13" ht="15.6" thickTop="1" thickBot="1" x14ac:dyDescent="0.35">
      <c r="B1143" s="8">
        <v>1141</v>
      </c>
      <c r="C1143" s="9" t="s">
        <v>10</v>
      </c>
      <c r="D1143" s="19">
        <v>45655</v>
      </c>
      <c r="E1143" s="9" t="s">
        <v>16</v>
      </c>
      <c r="F1143" s="9" t="s">
        <v>26</v>
      </c>
      <c r="G1143" s="9" t="s">
        <v>28</v>
      </c>
      <c r="H1143" s="9">
        <v>224</v>
      </c>
      <c r="I1143" s="5">
        <v>180</v>
      </c>
      <c r="J1143" s="5">
        <f t="shared" si="17"/>
        <v>40320</v>
      </c>
      <c r="K1143" s="9">
        <v>23</v>
      </c>
      <c r="L1143" s="9" t="s">
        <v>35</v>
      </c>
      <c r="M1143" s="9">
        <v>3</v>
      </c>
    </row>
    <row r="1144" spans="2:13" ht="15.6" thickTop="1" thickBot="1" x14ac:dyDescent="0.35">
      <c r="B1144" s="6">
        <v>1142</v>
      </c>
      <c r="C1144" s="7" t="s">
        <v>10</v>
      </c>
      <c r="D1144" s="18">
        <v>45656</v>
      </c>
      <c r="E1144" s="7" t="s">
        <v>15</v>
      </c>
      <c r="F1144" s="7" t="s">
        <v>25</v>
      </c>
      <c r="G1144" s="7" t="s">
        <v>30</v>
      </c>
      <c r="H1144" s="7">
        <v>200</v>
      </c>
      <c r="I1144" s="5">
        <v>135</v>
      </c>
      <c r="J1144" s="5">
        <f t="shared" si="17"/>
        <v>27000</v>
      </c>
      <c r="K1144" s="7">
        <v>13</v>
      </c>
      <c r="L1144" s="7" t="s">
        <v>34</v>
      </c>
      <c r="M1144" s="7">
        <v>2</v>
      </c>
    </row>
    <row r="1145" spans="2:13" ht="15.6" thickTop="1" thickBot="1" x14ac:dyDescent="0.35">
      <c r="B1145" s="8">
        <v>1143</v>
      </c>
      <c r="C1145" s="9" t="s">
        <v>11</v>
      </c>
      <c r="D1145" s="19">
        <v>45515</v>
      </c>
      <c r="E1145" s="9" t="s">
        <v>20</v>
      </c>
      <c r="F1145" s="9" t="s">
        <v>20</v>
      </c>
      <c r="G1145" s="9" t="s">
        <v>30</v>
      </c>
      <c r="H1145" s="9">
        <v>155</v>
      </c>
      <c r="I1145" s="5">
        <v>225</v>
      </c>
      <c r="J1145" s="5">
        <f t="shared" si="17"/>
        <v>34875</v>
      </c>
      <c r="K1145" s="9">
        <v>17</v>
      </c>
      <c r="L1145" s="9" t="s">
        <v>34</v>
      </c>
      <c r="M1145" s="9">
        <v>2</v>
      </c>
    </row>
    <row r="1146" spans="2:13" ht="15.6" thickTop="1" thickBot="1" x14ac:dyDescent="0.35">
      <c r="B1146" s="6">
        <v>1144</v>
      </c>
      <c r="C1146" s="7" t="s">
        <v>10</v>
      </c>
      <c r="D1146" s="18">
        <v>45516</v>
      </c>
      <c r="E1146" s="7" t="s">
        <v>12</v>
      </c>
      <c r="F1146" s="7" t="s">
        <v>23</v>
      </c>
      <c r="G1146" s="7" t="s">
        <v>28</v>
      </c>
      <c r="H1146" s="7">
        <v>194</v>
      </c>
      <c r="I1146" s="5">
        <v>135</v>
      </c>
      <c r="J1146" s="5">
        <f t="shared" si="17"/>
        <v>26190</v>
      </c>
      <c r="K1146" s="7">
        <v>18</v>
      </c>
      <c r="L1146" s="7" t="s">
        <v>35</v>
      </c>
      <c r="M1146" s="7">
        <v>3</v>
      </c>
    </row>
    <row r="1147" spans="2:13" ht="15.6" thickTop="1" thickBot="1" x14ac:dyDescent="0.35">
      <c r="B1147" s="8">
        <v>1145</v>
      </c>
      <c r="C1147" s="9" t="s">
        <v>11</v>
      </c>
      <c r="D1147" s="19">
        <v>45517</v>
      </c>
      <c r="E1147" s="9" t="s">
        <v>20</v>
      </c>
      <c r="F1147" s="9" t="s">
        <v>20</v>
      </c>
      <c r="G1147" s="9" t="s">
        <v>32</v>
      </c>
      <c r="H1147" s="9">
        <v>204</v>
      </c>
      <c r="I1147" s="5">
        <v>45</v>
      </c>
      <c r="J1147" s="5">
        <f t="shared" si="17"/>
        <v>9180</v>
      </c>
      <c r="K1147" s="9">
        <v>8</v>
      </c>
      <c r="L1147" s="9" t="s">
        <v>35</v>
      </c>
      <c r="M1147" s="9">
        <v>5</v>
      </c>
    </row>
    <row r="1148" spans="2:13" ht="15.6" thickTop="1" thickBot="1" x14ac:dyDescent="0.35">
      <c r="B1148" s="6">
        <v>1146</v>
      </c>
      <c r="C1148" s="7" t="s">
        <v>10</v>
      </c>
      <c r="D1148" s="18">
        <v>45518</v>
      </c>
      <c r="E1148" s="7" t="s">
        <v>18</v>
      </c>
      <c r="F1148" s="7" t="s">
        <v>27</v>
      </c>
      <c r="G1148" s="7" t="s">
        <v>28</v>
      </c>
      <c r="H1148" s="7">
        <v>41</v>
      </c>
      <c r="I1148" s="5">
        <v>135</v>
      </c>
      <c r="J1148" s="5">
        <f t="shared" si="17"/>
        <v>5535</v>
      </c>
      <c r="K1148" s="7">
        <v>17</v>
      </c>
      <c r="L1148" s="7" t="s">
        <v>34</v>
      </c>
      <c r="M1148" s="7">
        <v>5</v>
      </c>
    </row>
    <row r="1149" spans="2:13" ht="15.6" thickTop="1" thickBot="1" x14ac:dyDescent="0.35">
      <c r="B1149" s="8">
        <v>1147</v>
      </c>
      <c r="C1149" s="9" t="s">
        <v>11</v>
      </c>
      <c r="D1149" s="19">
        <v>45519</v>
      </c>
      <c r="E1149" s="9" t="s">
        <v>19</v>
      </c>
      <c r="F1149" s="9" t="s">
        <v>23</v>
      </c>
      <c r="G1149" s="9" t="s">
        <v>29</v>
      </c>
      <c r="H1149" s="9">
        <v>249</v>
      </c>
      <c r="I1149" s="5">
        <v>45</v>
      </c>
      <c r="J1149" s="5">
        <f t="shared" si="17"/>
        <v>11205</v>
      </c>
      <c r="K1149" s="9">
        <v>16</v>
      </c>
      <c r="L1149" s="9" t="s">
        <v>34</v>
      </c>
      <c r="M1149" s="9">
        <v>5</v>
      </c>
    </row>
    <row r="1150" spans="2:13" ht="15.6" thickTop="1" thickBot="1" x14ac:dyDescent="0.35">
      <c r="B1150" s="6">
        <v>1148</v>
      </c>
      <c r="C1150" s="7" t="s">
        <v>11</v>
      </c>
      <c r="D1150" s="18">
        <v>45520</v>
      </c>
      <c r="E1150" s="7" t="s">
        <v>12</v>
      </c>
      <c r="F1150" s="7" t="s">
        <v>23</v>
      </c>
      <c r="G1150" s="7" t="s">
        <v>28</v>
      </c>
      <c r="H1150" s="7">
        <v>164</v>
      </c>
      <c r="I1150" s="5">
        <v>90</v>
      </c>
      <c r="J1150" s="5">
        <f t="shared" si="17"/>
        <v>14760</v>
      </c>
      <c r="K1150" s="7">
        <v>16</v>
      </c>
      <c r="L1150" s="7" t="s">
        <v>33</v>
      </c>
      <c r="M1150" s="7">
        <v>3</v>
      </c>
    </row>
    <row r="1151" spans="2:13" ht="15.6" thickTop="1" thickBot="1" x14ac:dyDescent="0.35">
      <c r="B1151" s="8">
        <v>1149</v>
      </c>
      <c r="C1151" s="9" t="s">
        <v>11</v>
      </c>
      <c r="D1151" s="19">
        <v>45521</v>
      </c>
      <c r="E1151" s="9" t="s">
        <v>17</v>
      </c>
      <c r="F1151" s="9" t="s">
        <v>24</v>
      </c>
      <c r="G1151" s="9" t="s">
        <v>28</v>
      </c>
      <c r="H1151" s="9">
        <v>120</v>
      </c>
      <c r="I1151" s="5">
        <v>45</v>
      </c>
      <c r="J1151" s="5">
        <f t="shared" si="17"/>
        <v>5400</v>
      </c>
      <c r="K1151" s="9">
        <v>18</v>
      </c>
      <c r="L1151" s="9" t="s">
        <v>35</v>
      </c>
      <c r="M1151" s="9">
        <v>3</v>
      </c>
    </row>
    <row r="1152" spans="2:13" ht="15.6" thickTop="1" thickBot="1" x14ac:dyDescent="0.35">
      <c r="B1152" s="6">
        <v>1150</v>
      </c>
      <c r="C1152" s="7" t="s">
        <v>11</v>
      </c>
      <c r="D1152" s="18">
        <v>45522</v>
      </c>
      <c r="E1152" s="7" t="s">
        <v>14</v>
      </c>
      <c r="F1152" s="7" t="s">
        <v>25</v>
      </c>
      <c r="G1152" s="7" t="s">
        <v>31</v>
      </c>
      <c r="H1152" s="7">
        <v>84</v>
      </c>
      <c r="I1152" s="5">
        <v>225</v>
      </c>
      <c r="J1152" s="5">
        <f t="shared" si="17"/>
        <v>18900</v>
      </c>
      <c r="K1152" s="7">
        <v>14</v>
      </c>
      <c r="L1152" s="7" t="s">
        <v>35</v>
      </c>
      <c r="M1152" s="7">
        <v>3</v>
      </c>
    </row>
    <row r="1153" spans="2:13" ht="15.6" thickTop="1" thickBot="1" x14ac:dyDescent="0.35">
      <c r="B1153" s="8">
        <v>1151</v>
      </c>
      <c r="C1153" s="9" t="s">
        <v>10</v>
      </c>
      <c r="D1153" s="19">
        <v>45523</v>
      </c>
      <c r="E1153" s="9" t="s">
        <v>14</v>
      </c>
      <c r="F1153" s="9" t="s">
        <v>25</v>
      </c>
      <c r="G1153" s="9" t="s">
        <v>31</v>
      </c>
      <c r="H1153" s="9">
        <v>49</v>
      </c>
      <c r="I1153" s="5">
        <v>225</v>
      </c>
      <c r="J1153" s="5">
        <f t="shared" si="17"/>
        <v>11025</v>
      </c>
      <c r="K1153" s="9">
        <v>11</v>
      </c>
      <c r="L1153" s="9" t="s">
        <v>33</v>
      </c>
      <c r="M1153" s="9">
        <v>3</v>
      </c>
    </row>
    <row r="1154" spans="2:13" ht="15.6" thickTop="1" thickBot="1" x14ac:dyDescent="0.35">
      <c r="B1154" s="6">
        <v>1152</v>
      </c>
      <c r="C1154" s="7" t="s">
        <v>10</v>
      </c>
      <c r="D1154" s="18">
        <v>45524</v>
      </c>
      <c r="E1154" s="7" t="s">
        <v>15</v>
      </c>
      <c r="F1154" s="7" t="s">
        <v>25</v>
      </c>
      <c r="G1154" s="7" t="s">
        <v>31</v>
      </c>
      <c r="H1154" s="7">
        <v>249</v>
      </c>
      <c r="I1154" s="5">
        <v>135</v>
      </c>
      <c r="J1154" s="5">
        <f t="shared" si="17"/>
        <v>33615</v>
      </c>
      <c r="K1154" s="7">
        <v>16</v>
      </c>
      <c r="L1154" s="7" t="s">
        <v>34</v>
      </c>
      <c r="M1154" s="7">
        <v>2</v>
      </c>
    </row>
    <row r="1155" spans="2:13" ht="15.6" thickTop="1" thickBot="1" x14ac:dyDescent="0.35">
      <c r="B1155" s="8">
        <v>1153</v>
      </c>
      <c r="C1155" s="9" t="s">
        <v>11</v>
      </c>
      <c r="D1155" s="19">
        <v>45525</v>
      </c>
      <c r="E1155" s="9" t="s">
        <v>12</v>
      </c>
      <c r="F1155" s="9" t="s">
        <v>23</v>
      </c>
      <c r="G1155" s="9" t="s">
        <v>32</v>
      </c>
      <c r="H1155" s="9">
        <v>161</v>
      </c>
      <c r="I1155" s="5">
        <v>180</v>
      </c>
      <c r="J1155" s="5">
        <f t="shared" si="17"/>
        <v>28980</v>
      </c>
      <c r="K1155" s="9">
        <v>12</v>
      </c>
      <c r="L1155" s="9" t="s">
        <v>34</v>
      </c>
      <c r="M1155" s="9">
        <v>2</v>
      </c>
    </row>
    <row r="1156" spans="2:13" ht="15.6" thickTop="1" thickBot="1" x14ac:dyDescent="0.35">
      <c r="B1156" s="6">
        <v>1154</v>
      </c>
      <c r="C1156" s="7" t="s">
        <v>11</v>
      </c>
      <c r="D1156" s="18">
        <v>45526</v>
      </c>
      <c r="E1156" s="7" t="s">
        <v>16</v>
      </c>
      <c r="F1156" s="7" t="s">
        <v>26</v>
      </c>
      <c r="G1156" s="7" t="s">
        <v>28</v>
      </c>
      <c r="H1156" s="7">
        <v>124</v>
      </c>
      <c r="I1156" s="5">
        <v>45</v>
      </c>
      <c r="J1156" s="5">
        <f t="shared" ref="J1156:J1219" si="18">H1156*I1156</f>
        <v>5580</v>
      </c>
      <c r="K1156" s="7">
        <v>18</v>
      </c>
      <c r="L1156" s="7" t="s">
        <v>34</v>
      </c>
      <c r="M1156" s="7">
        <v>5</v>
      </c>
    </row>
    <row r="1157" spans="2:13" ht="15.6" thickTop="1" thickBot="1" x14ac:dyDescent="0.35">
      <c r="B1157" s="8">
        <v>1155</v>
      </c>
      <c r="C1157" s="9" t="s">
        <v>10</v>
      </c>
      <c r="D1157" s="19">
        <v>45527</v>
      </c>
      <c r="E1157" s="9" t="s">
        <v>17</v>
      </c>
      <c r="F1157" s="9" t="s">
        <v>24</v>
      </c>
      <c r="G1157" s="9" t="s">
        <v>28</v>
      </c>
      <c r="H1157" s="9">
        <v>64</v>
      </c>
      <c r="I1157" s="5">
        <v>180</v>
      </c>
      <c r="J1157" s="5">
        <f t="shared" si="18"/>
        <v>11520</v>
      </c>
      <c r="K1157" s="9">
        <v>20</v>
      </c>
      <c r="L1157" s="9" t="s">
        <v>33</v>
      </c>
      <c r="M1157" s="9"/>
    </row>
    <row r="1158" spans="2:13" ht="15.6" thickTop="1" thickBot="1" x14ac:dyDescent="0.35">
      <c r="B1158" s="6">
        <v>1156</v>
      </c>
      <c r="C1158" s="7" t="s">
        <v>11</v>
      </c>
      <c r="D1158" s="18">
        <v>45528</v>
      </c>
      <c r="E1158" s="7" t="s">
        <v>13</v>
      </c>
      <c r="F1158" s="7" t="s">
        <v>24</v>
      </c>
      <c r="G1158" s="7" t="s">
        <v>30</v>
      </c>
      <c r="H1158" s="7">
        <v>163</v>
      </c>
      <c r="I1158" s="5">
        <v>135</v>
      </c>
      <c r="J1158" s="5">
        <f t="shared" si="18"/>
        <v>22005</v>
      </c>
      <c r="K1158" s="7">
        <v>10</v>
      </c>
      <c r="L1158" s="7" t="s">
        <v>33</v>
      </c>
      <c r="M1158" s="7"/>
    </row>
    <row r="1159" spans="2:13" ht="15.6" thickTop="1" thickBot="1" x14ac:dyDescent="0.35">
      <c r="B1159" s="8">
        <v>1157</v>
      </c>
      <c r="C1159" s="9" t="s">
        <v>11</v>
      </c>
      <c r="D1159" s="19">
        <v>45529</v>
      </c>
      <c r="E1159" s="9" t="s">
        <v>18</v>
      </c>
      <c r="F1159" s="9" t="s">
        <v>27</v>
      </c>
      <c r="G1159" s="9" t="s">
        <v>31</v>
      </c>
      <c r="H1159" s="9">
        <v>154</v>
      </c>
      <c r="I1159" s="5">
        <v>90</v>
      </c>
      <c r="J1159" s="5">
        <f t="shared" si="18"/>
        <v>13860</v>
      </c>
      <c r="K1159" s="9">
        <v>10</v>
      </c>
      <c r="L1159" s="9" t="s">
        <v>33</v>
      </c>
      <c r="M1159" s="9">
        <v>3</v>
      </c>
    </row>
    <row r="1160" spans="2:13" ht="15.6" thickTop="1" thickBot="1" x14ac:dyDescent="0.35">
      <c r="B1160" s="6">
        <v>1158</v>
      </c>
      <c r="C1160" s="7" t="s">
        <v>10</v>
      </c>
      <c r="D1160" s="18">
        <v>45530</v>
      </c>
      <c r="E1160" s="7" t="s">
        <v>19</v>
      </c>
      <c r="F1160" s="7" t="s">
        <v>23</v>
      </c>
      <c r="G1160" s="7" t="s">
        <v>31</v>
      </c>
      <c r="H1160" s="7">
        <v>166</v>
      </c>
      <c r="I1160" s="5">
        <v>90</v>
      </c>
      <c r="J1160" s="5">
        <f t="shared" si="18"/>
        <v>14940</v>
      </c>
      <c r="K1160" s="7">
        <v>10</v>
      </c>
      <c r="L1160" s="7" t="s">
        <v>35</v>
      </c>
      <c r="M1160" s="7"/>
    </row>
    <row r="1161" spans="2:13" ht="15.6" thickTop="1" thickBot="1" x14ac:dyDescent="0.35">
      <c r="B1161" s="8">
        <v>1159</v>
      </c>
      <c r="C1161" s="9" t="s">
        <v>10</v>
      </c>
      <c r="D1161" s="19">
        <v>45531</v>
      </c>
      <c r="E1161" s="9" t="s">
        <v>17</v>
      </c>
      <c r="F1161" s="9" t="s">
        <v>24</v>
      </c>
      <c r="G1161" s="9" t="s">
        <v>31</v>
      </c>
      <c r="H1161" s="9">
        <v>76</v>
      </c>
      <c r="I1161" s="5">
        <v>135</v>
      </c>
      <c r="J1161" s="5">
        <f t="shared" si="18"/>
        <v>10260</v>
      </c>
      <c r="K1161" s="9">
        <v>14</v>
      </c>
      <c r="L1161" s="9" t="s">
        <v>33</v>
      </c>
      <c r="M1161" s="9"/>
    </row>
    <row r="1162" spans="2:13" ht="15.6" thickTop="1" thickBot="1" x14ac:dyDescent="0.35">
      <c r="B1162" s="6">
        <v>1160</v>
      </c>
      <c r="C1162" s="7" t="s">
        <v>11</v>
      </c>
      <c r="D1162" s="18">
        <v>45532</v>
      </c>
      <c r="E1162" s="7" t="s">
        <v>17</v>
      </c>
      <c r="F1162" s="7" t="s">
        <v>24</v>
      </c>
      <c r="G1162" s="7" t="s">
        <v>31</v>
      </c>
      <c r="H1162" s="7">
        <v>240</v>
      </c>
      <c r="I1162" s="5">
        <v>45</v>
      </c>
      <c r="J1162" s="5">
        <f t="shared" si="18"/>
        <v>10800</v>
      </c>
      <c r="K1162" s="7">
        <v>16</v>
      </c>
      <c r="L1162" s="7" t="s">
        <v>34</v>
      </c>
      <c r="M1162" s="7">
        <v>2</v>
      </c>
    </row>
    <row r="1163" spans="2:13" ht="15.6" thickTop="1" thickBot="1" x14ac:dyDescent="0.35">
      <c r="B1163" s="8">
        <v>1161</v>
      </c>
      <c r="C1163" s="9" t="s">
        <v>11</v>
      </c>
      <c r="D1163" s="19">
        <v>45533</v>
      </c>
      <c r="E1163" s="9" t="s">
        <v>13</v>
      </c>
      <c r="F1163" s="9" t="s">
        <v>24</v>
      </c>
      <c r="G1163" s="9" t="s">
        <v>31</v>
      </c>
      <c r="H1163" s="9">
        <v>208</v>
      </c>
      <c r="I1163" s="5">
        <v>225</v>
      </c>
      <c r="J1163" s="5">
        <f t="shared" si="18"/>
        <v>46800</v>
      </c>
      <c r="K1163" s="9">
        <v>17</v>
      </c>
      <c r="L1163" s="9" t="s">
        <v>35</v>
      </c>
      <c r="M1163" s="9">
        <v>4</v>
      </c>
    </row>
    <row r="1164" spans="2:13" ht="15.6" thickTop="1" thickBot="1" x14ac:dyDescent="0.35">
      <c r="B1164" s="6">
        <v>1162</v>
      </c>
      <c r="C1164" s="7" t="s">
        <v>10</v>
      </c>
      <c r="D1164" s="18">
        <v>45534</v>
      </c>
      <c r="E1164" s="7" t="s">
        <v>16</v>
      </c>
      <c r="F1164" s="7" t="s">
        <v>26</v>
      </c>
      <c r="G1164" s="7" t="s">
        <v>28</v>
      </c>
      <c r="H1164" s="7">
        <v>117</v>
      </c>
      <c r="I1164" s="5">
        <v>45</v>
      </c>
      <c r="J1164" s="5">
        <f t="shared" si="18"/>
        <v>5265</v>
      </c>
      <c r="K1164" s="7">
        <v>21</v>
      </c>
      <c r="L1164" s="7" t="s">
        <v>34</v>
      </c>
      <c r="M1164" s="7">
        <v>4</v>
      </c>
    </row>
    <row r="1165" spans="2:13" ht="15.6" thickTop="1" thickBot="1" x14ac:dyDescent="0.35">
      <c r="B1165" s="8">
        <v>1163</v>
      </c>
      <c r="C1165" s="9" t="s">
        <v>10</v>
      </c>
      <c r="D1165" s="19">
        <v>45535</v>
      </c>
      <c r="E1165" s="9" t="s">
        <v>18</v>
      </c>
      <c r="F1165" s="9" t="s">
        <v>27</v>
      </c>
      <c r="G1165" s="9" t="s">
        <v>29</v>
      </c>
      <c r="H1165" s="9">
        <v>137</v>
      </c>
      <c r="I1165" s="5">
        <v>180</v>
      </c>
      <c r="J1165" s="5">
        <f t="shared" si="18"/>
        <v>24660</v>
      </c>
      <c r="K1165" s="9">
        <v>11</v>
      </c>
      <c r="L1165" s="9" t="s">
        <v>35</v>
      </c>
      <c r="M1165" s="9">
        <v>2</v>
      </c>
    </row>
    <row r="1166" spans="2:13" ht="15.6" thickTop="1" thickBot="1" x14ac:dyDescent="0.35">
      <c r="B1166" s="6">
        <v>1164</v>
      </c>
      <c r="C1166" s="7" t="s">
        <v>11</v>
      </c>
      <c r="D1166" s="18">
        <v>45536</v>
      </c>
      <c r="E1166" s="7" t="s">
        <v>16</v>
      </c>
      <c r="F1166" s="7" t="s">
        <v>26</v>
      </c>
      <c r="G1166" s="7" t="s">
        <v>28</v>
      </c>
      <c r="H1166" s="7">
        <v>93</v>
      </c>
      <c r="I1166" s="5">
        <v>45</v>
      </c>
      <c r="J1166" s="5">
        <f t="shared" si="18"/>
        <v>4185</v>
      </c>
      <c r="K1166" s="7">
        <v>12</v>
      </c>
      <c r="L1166" s="7" t="s">
        <v>33</v>
      </c>
      <c r="M1166" s="7">
        <v>1</v>
      </c>
    </row>
    <row r="1167" spans="2:13" ht="15.6" thickTop="1" thickBot="1" x14ac:dyDescent="0.35">
      <c r="B1167" s="8">
        <v>1165</v>
      </c>
      <c r="C1167" s="9" t="s">
        <v>10</v>
      </c>
      <c r="D1167" s="19">
        <v>45537</v>
      </c>
      <c r="E1167" s="9" t="s">
        <v>12</v>
      </c>
      <c r="F1167" s="9" t="s">
        <v>23</v>
      </c>
      <c r="G1167" s="9" t="s">
        <v>32</v>
      </c>
      <c r="H1167" s="9">
        <v>160</v>
      </c>
      <c r="I1167" s="5">
        <v>180</v>
      </c>
      <c r="J1167" s="5">
        <f t="shared" si="18"/>
        <v>28800</v>
      </c>
      <c r="K1167" s="9">
        <v>15</v>
      </c>
      <c r="L1167" s="9" t="s">
        <v>35</v>
      </c>
      <c r="M1167" s="9"/>
    </row>
    <row r="1168" spans="2:13" ht="15.6" thickTop="1" thickBot="1" x14ac:dyDescent="0.35">
      <c r="B1168" s="6">
        <v>1166</v>
      </c>
      <c r="C1168" s="7" t="s">
        <v>10</v>
      </c>
      <c r="D1168" s="18">
        <v>45538</v>
      </c>
      <c r="E1168" s="7" t="s">
        <v>20</v>
      </c>
      <c r="F1168" s="7" t="s">
        <v>20</v>
      </c>
      <c r="G1168" s="7" t="s">
        <v>30</v>
      </c>
      <c r="H1168" s="7">
        <v>199</v>
      </c>
      <c r="I1168" s="5">
        <v>180</v>
      </c>
      <c r="J1168" s="5">
        <f t="shared" si="18"/>
        <v>35820</v>
      </c>
      <c r="K1168" s="7">
        <v>13</v>
      </c>
      <c r="L1168" s="7" t="s">
        <v>34</v>
      </c>
      <c r="M1168" s="7">
        <v>1</v>
      </c>
    </row>
    <row r="1169" spans="2:13" ht="15.6" thickTop="1" thickBot="1" x14ac:dyDescent="0.35">
      <c r="B1169" s="8">
        <v>1167</v>
      </c>
      <c r="C1169" s="9" t="s">
        <v>10</v>
      </c>
      <c r="D1169" s="19">
        <v>45539</v>
      </c>
      <c r="E1169" s="9" t="s">
        <v>19</v>
      </c>
      <c r="F1169" s="9" t="s">
        <v>23</v>
      </c>
      <c r="G1169" s="9" t="s">
        <v>31</v>
      </c>
      <c r="H1169" s="9">
        <v>168</v>
      </c>
      <c r="I1169" s="5">
        <v>45</v>
      </c>
      <c r="J1169" s="5">
        <f t="shared" si="18"/>
        <v>7560</v>
      </c>
      <c r="K1169" s="9">
        <v>23</v>
      </c>
      <c r="L1169" s="9" t="s">
        <v>34</v>
      </c>
      <c r="M1169" s="9">
        <v>5</v>
      </c>
    </row>
    <row r="1170" spans="2:13" ht="15.6" thickTop="1" thickBot="1" x14ac:dyDescent="0.35">
      <c r="B1170" s="6">
        <v>1168</v>
      </c>
      <c r="C1170" s="7" t="s">
        <v>10</v>
      </c>
      <c r="D1170" s="18">
        <v>45540</v>
      </c>
      <c r="E1170" s="7" t="s">
        <v>22</v>
      </c>
      <c r="F1170" s="7" t="s">
        <v>25</v>
      </c>
      <c r="G1170" s="7" t="s">
        <v>31</v>
      </c>
      <c r="H1170" s="7">
        <v>87</v>
      </c>
      <c r="I1170" s="5">
        <v>45</v>
      </c>
      <c r="J1170" s="5">
        <f t="shared" si="18"/>
        <v>3915</v>
      </c>
      <c r="K1170" s="7">
        <v>11</v>
      </c>
      <c r="L1170" s="7" t="s">
        <v>33</v>
      </c>
      <c r="M1170" s="7">
        <v>1</v>
      </c>
    </row>
    <row r="1171" spans="2:13" ht="15.6" thickTop="1" thickBot="1" x14ac:dyDescent="0.35">
      <c r="B1171" s="8">
        <v>1169</v>
      </c>
      <c r="C1171" s="9" t="s">
        <v>10</v>
      </c>
      <c r="D1171" s="19">
        <v>45541</v>
      </c>
      <c r="E1171" s="9" t="s">
        <v>18</v>
      </c>
      <c r="F1171" s="9" t="s">
        <v>27</v>
      </c>
      <c r="G1171" s="9" t="s">
        <v>30</v>
      </c>
      <c r="H1171" s="9">
        <v>156</v>
      </c>
      <c r="I1171" s="5">
        <v>225</v>
      </c>
      <c r="J1171" s="5">
        <f t="shared" si="18"/>
        <v>35100</v>
      </c>
      <c r="K1171" s="9">
        <v>14</v>
      </c>
      <c r="L1171" s="9" t="s">
        <v>34</v>
      </c>
      <c r="M1171" s="9">
        <v>4</v>
      </c>
    </row>
    <row r="1172" spans="2:13" ht="15.6" thickTop="1" thickBot="1" x14ac:dyDescent="0.35">
      <c r="B1172" s="6">
        <v>1170</v>
      </c>
      <c r="C1172" s="7" t="s">
        <v>11</v>
      </c>
      <c r="D1172" s="18">
        <v>45542</v>
      </c>
      <c r="E1172" s="7" t="s">
        <v>20</v>
      </c>
      <c r="F1172" s="7" t="s">
        <v>20</v>
      </c>
      <c r="G1172" s="7" t="s">
        <v>29</v>
      </c>
      <c r="H1172" s="7">
        <v>232</v>
      </c>
      <c r="I1172" s="5">
        <v>90</v>
      </c>
      <c r="J1172" s="5">
        <f t="shared" si="18"/>
        <v>20880</v>
      </c>
      <c r="K1172" s="7">
        <v>15</v>
      </c>
      <c r="L1172" s="7" t="s">
        <v>34</v>
      </c>
      <c r="M1172" s="7">
        <v>5</v>
      </c>
    </row>
    <row r="1173" spans="2:13" ht="15.6" thickTop="1" thickBot="1" x14ac:dyDescent="0.35">
      <c r="B1173" s="8">
        <v>1171</v>
      </c>
      <c r="C1173" s="9" t="s">
        <v>10</v>
      </c>
      <c r="D1173" s="19">
        <v>45543</v>
      </c>
      <c r="E1173" s="9" t="s">
        <v>18</v>
      </c>
      <c r="F1173" s="9" t="s">
        <v>27</v>
      </c>
      <c r="G1173" s="9" t="s">
        <v>29</v>
      </c>
      <c r="H1173" s="9">
        <v>151</v>
      </c>
      <c r="I1173" s="5">
        <v>45</v>
      </c>
      <c r="J1173" s="5">
        <f t="shared" si="18"/>
        <v>6795</v>
      </c>
      <c r="K1173" s="9">
        <v>19</v>
      </c>
      <c r="L1173" s="9" t="s">
        <v>35</v>
      </c>
      <c r="M1173" s="9">
        <v>3</v>
      </c>
    </row>
    <row r="1174" spans="2:13" ht="15.6" thickTop="1" thickBot="1" x14ac:dyDescent="0.35">
      <c r="B1174" s="6">
        <v>1172</v>
      </c>
      <c r="C1174" s="7" t="s">
        <v>11</v>
      </c>
      <c r="D1174" s="18">
        <v>45544</v>
      </c>
      <c r="E1174" s="7" t="s">
        <v>14</v>
      </c>
      <c r="F1174" s="7" t="s">
        <v>25</v>
      </c>
      <c r="G1174" s="7" t="s">
        <v>32</v>
      </c>
      <c r="H1174" s="7">
        <v>110</v>
      </c>
      <c r="I1174" s="5">
        <v>135</v>
      </c>
      <c r="J1174" s="5">
        <f t="shared" si="18"/>
        <v>14850</v>
      </c>
      <c r="K1174" s="7">
        <v>17</v>
      </c>
      <c r="L1174" s="7" t="s">
        <v>33</v>
      </c>
      <c r="M1174" s="7">
        <v>2</v>
      </c>
    </row>
    <row r="1175" spans="2:13" ht="15.6" thickTop="1" thickBot="1" x14ac:dyDescent="0.35">
      <c r="B1175" s="8">
        <v>1173</v>
      </c>
      <c r="C1175" s="9" t="s">
        <v>10</v>
      </c>
      <c r="D1175" s="19">
        <v>45545</v>
      </c>
      <c r="E1175" s="9" t="s">
        <v>17</v>
      </c>
      <c r="F1175" s="9" t="s">
        <v>24</v>
      </c>
      <c r="G1175" s="9" t="s">
        <v>29</v>
      </c>
      <c r="H1175" s="9">
        <v>100</v>
      </c>
      <c r="I1175" s="5">
        <v>225</v>
      </c>
      <c r="J1175" s="5">
        <f t="shared" si="18"/>
        <v>22500</v>
      </c>
      <c r="K1175" s="9">
        <v>23</v>
      </c>
      <c r="L1175" s="9" t="s">
        <v>33</v>
      </c>
      <c r="M1175" s="9"/>
    </row>
    <row r="1176" spans="2:13" ht="15.6" thickTop="1" thickBot="1" x14ac:dyDescent="0.35">
      <c r="B1176" s="6">
        <v>1174</v>
      </c>
      <c r="C1176" s="7" t="s">
        <v>11</v>
      </c>
      <c r="D1176" s="18">
        <v>45546</v>
      </c>
      <c r="E1176" s="7" t="s">
        <v>14</v>
      </c>
      <c r="F1176" s="7" t="s">
        <v>25</v>
      </c>
      <c r="G1176" s="7" t="s">
        <v>31</v>
      </c>
      <c r="H1176" s="7">
        <v>227</v>
      </c>
      <c r="I1176" s="5">
        <v>225</v>
      </c>
      <c r="J1176" s="5">
        <f t="shared" si="18"/>
        <v>51075</v>
      </c>
      <c r="K1176" s="7">
        <v>13</v>
      </c>
      <c r="L1176" s="7" t="s">
        <v>33</v>
      </c>
      <c r="M1176" s="7"/>
    </row>
    <row r="1177" spans="2:13" ht="15.6" thickTop="1" thickBot="1" x14ac:dyDescent="0.35">
      <c r="B1177" s="8">
        <v>1175</v>
      </c>
      <c r="C1177" s="9" t="s">
        <v>10</v>
      </c>
      <c r="D1177" s="19">
        <v>45547</v>
      </c>
      <c r="E1177" s="9" t="s">
        <v>15</v>
      </c>
      <c r="F1177" s="9" t="s">
        <v>25</v>
      </c>
      <c r="G1177" s="9" t="s">
        <v>31</v>
      </c>
      <c r="H1177" s="9">
        <v>154</v>
      </c>
      <c r="I1177" s="5">
        <v>90</v>
      </c>
      <c r="J1177" s="5">
        <f t="shared" si="18"/>
        <v>13860</v>
      </c>
      <c r="K1177" s="9">
        <v>15</v>
      </c>
      <c r="L1177" s="9" t="s">
        <v>34</v>
      </c>
      <c r="M1177" s="9">
        <v>1</v>
      </c>
    </row>
    <row r="1178" spans="2:13" ht="15.6" thickTop="1" thickBot="1" x14ac:dyDescent="0.35">
      <c r="B1178" s="6">
        <v>1176</v>
      </c>
      <c r="C1178" s="7" t="s">
        <v>11</v>
      </c>
      <c r="D1178" s="18">
        <v>45548</v>
      </c>
      <c r="E1178" s="7" t="s">
        <v>19</v>
      </c>
      <c r="F1178" s="7" t="s">
        <v>23</v>
      </c>
      <c r="G1178" s="7" t="s">
        <v>30</v>
      </c>
      <c r="H1178" s="7">
        <v>83</v>
      </c>
      <c r="I1178" s="5">
        <v>90</v>
      </c>
      <c r="J1178" s="5">
        <f t="shared" si="18"/>
        <v>7470</v>
      </c>
      <c r="K1178" s="7">
        <v>18</v>
      </c>
      <c r="L1178" s="7" t="s">
        <v>34</v>
      </c>
      <c r="M1178" s="7">
        <v>1</v>
      </c>
    </row>
    <row r="1179" spans="2:13" ht="15.6" thickTop="1" thickBot="1" x14ac:dyDescent="0.35">
      <c r="B1179" s="8">
        <v>1177</v>
      </c>
      <c r="C1179" s="9" t="s">
        <v>11</v>
      </c>
      <c r="D1179" s="19">
        <v>45443</v>
      </c>
      <c r="E1179" s="9" t="s">
        <v>13</v>
      </c>
      <c r="F1179" s="9" t="s">
        <v>24</v>
      </c>
      <c r="G1179" s="9" t="s">
        <v>31</v>
      </c>
      <c r="H1179" s="9">
        <v>45</v>
      </c>
      <c r="I1179" s="5">
        <v>90</v>
      </c>
      <c r="J1179" s="5">
        <f t="shared" si="18"/>
        <v>4050</v>
      </c>
      <c r="K1179" s="9">
        <v>11</v>
      </c>
      <c r="L1179" s="9" t="s">
        <v>35</v>
      </c>
      <c r="M1179" s="9">
        <v>5</v>
      </c>
    </row>
    <row r="1180" spans="2:13" ht="15.6" thickTop="1" thickBot="1" x14ac:dyDescent="0.35">
      <c r="B1180" s="6">
        <v>1178</v>
      </c>
      <c r="C1180" s="7" t="s">
        <v>10</v>
      </c>
      <c r="D1180" s="18">
        <v>45444</v>
      </c>
      <c r="E1180" s="7" t="s">
        <v>13</v>
      </c>
      <c r="F1180" s="7" t="s">
        <v>24</v>
      </c>
      <c r="G1180" s="7" t="s">
        <v>32</v>
      </c>
      <c r="H1180" s="7">
        <v>216</v>
      </c>
      <c r="I1180" s="5">
        <v>45</v>
      </c>
      <c r="J1180" s="5">
        <f t="shared" si="18"/>
        <v>9720</v>
      </c>
      <c r="K1180" s="7">
        <v>13</v>
      </c>
      <c r="L1180" s="7" t="s">
        <v>34</v>
      </c>
      <c r="M1180" s="7">
        <v>4</v>
      </c>
    </row>
    <row r="1181" spans="2:13" ht="15.6" thickTop="1" thickBot="1" x14ac:dyDescent="0.35">
      <c r="B1181" s="8">
        <v>1179</v>
      </c>
      <c r="C1181" s="9" t="s">
        <v>10</v>
      </c>
      <c r="D1181" s="19">
        <v>45445</v>
      </c>
      <c r="E1181" s="9" t="s">
        <v>19</v>
      </c>
      <c r="F1181" s="9" t="s">
        <v>23</v>
      </c>
      <c r="G1181" s="9" t="s">
        <v>32</v>
      </c>
      <c r="H1181" s="9">
        <v>199</v>
      </c>
      <c r="I1181" s="5">
        <v>180</v>
      </c>
      <c r="J1181" s="5">
        <f t="shared" si="18"/>
        <v>35820</v>
      </c>
      <c r="K1181" s="9">
        <v>12</v>
      </c>
      <c r="L1181" s="9" t="s">
        <v>34</v>
      </c>
      <c r="M1181" s="9">
        <v>2</v>
      </c>
    </row>
    <row r="1182" spans="2:13" ht="15.6" thickTop="1" thickBot="1" x14ac:dyDescent="0.35">
      <c r="B1182" s="6">
        <v>1180</v>
      </c>
      <c r="C1182" s="7" t="s">
        <v>10</v>
      </c>
      <c r="D1182" s="18">
        <v>45446</v>
      </c>
      <c r="E1182" s="7" t="s">
        <v>14</v>
      </c>
      <c r="F1182" s="7" t="s">
        <v>25</v>
      </c>
      <c r="G1182" s="7" t="s">
        <v>28</v>
      </c>
      <c r="H1182" s="7">
        <v>192</v>
      </c>
      <c r="I1182" s="5">
        <v>225</v>
      </c>
      <c r="J1182" s="5">
        <f t="shared" si="18"/>
        <v>43200</v>
      </c>
      <c r="K1182" s="7">
        <v>17</v>
      </c>
      <c r="L1182" s="7" t="s">
        <v>33</v>
      </c>
      <c r="M1182" s="7">
        <v>5</v>
      </c>
    </row>
    <row r="1183" spans="2:13" ht="15.6" thickTop="1" thickBot="1" x14ac:dyDescent="0.35">
      <c r="B1183" s="8">
        <v>1181</v>
      </c>
      <c r="C1183" s="9" t="s">
        <v>10</v>
      </c>
      <c r="D1183" s="19">
        <v>45447</v>
      </c>
      <c r="E1183" s="9" t="s">
        <v>21</v>
      </c>
      <c r="F1183" s="9" t="s">
        <v>26</v>
      </c>
      <c r="G1183" s="9" t="s">
        <v>32</v>
      </c>
      <c r="H1183" s="9">
        <v>198</v>
      </c>
      <c r="I1183" s="5">
        <v>45</v>
      </c>
      <c r="J1183" s="5">
        <f t="shared" si="18"/>
        <v>8910</v>
      </c>
      <c r="K1183" s="9">
        <v>17</v>
      </c>
      <c r="L1183" s="9" t="s">
        <v>34</v>
      </c>
      <c r="M1183" s="9">
        <v>4</v>
      </c>
    </row>
    <row r="1184" spans="2:13" ht="15.6" thickTop="1" thickBot="1" x14ac:dyDescent="0.35">
      <c r="B1184" s="6">
        <v>1182</v>
      </c>
      <c r="C1184" s="7" t="s">
        <v>10</v>
      </c>
      <c r="D1184" s="18">
        <v>45448</v>
      </c>
      <c r="E1184" s="7" t="s">
        <v>12</v>
      </c>
      <c r="F1184" s="7" t="s">
        <v>23</v>
      </c>
      <c r="G1184" s="7" t="s">
        <v>30</v>
      </c>
      <c r="H1184" s="7">
        <v>198</v>
      </c>
      <c r="I1184" s="5">
        <v>45</v>
      </c>
      <c r="J1184" s="5">
        <f t="shared" si="18"/>
        <v>8910</v>
      </c>
      <c r="K1184" s="7">
        <v>22</v>
      </c>
      <c r="L1184" s="7" t="s">
        <v>34</v>
      </c>
      <c r="M1184" s="7"/>
    </row>
    <row r="1185" spans="2:13" ht="15.6" thickTop="1" thickBot="1" x14ac:dyDescent="0.35">
      <c r="B1185" s="8">
        <v>1183</v>
      </c>
      <c r="C1185" s="9" t="s">
        <v>10</v>
      </c>
      <c r="D1185" s="19">
        <v>45449</v>
      </c>
      <c r="E1185" s="9" t="s">
        <v>15</v>
      </c>
      <c r="F1185" s="9" t="s">
        <v>25</v>
      </c>
      <c r="G1185" s="9" t="s">
        <v>30</v>
      </c>
      <c r="H1185" s="9">
        <v>248</v>
      </c>
      <c r="I1185" s="5">
        <v>225</v>
      </c>
      <c r="J1185" s="5">
        <f t="shared" si="18"/>
        <v>55800</v>
      </c>
      <c r="K1185" s="9">
        <v>12</v>
      </c>
      <c r="L1185" s="9" t="s">
        <v>34</v>
      </c>
      <c r="M1185" s="9">
        <v>1</v>
      </c>
    </row>
    <row r="1186" spans="2:13" ht="15.6" thickTop="1" thickBot="1" x14ac:dyDescent="0.35">
      <c r="B1186" s="6">
        <v>1184</v>
      </c>
      <c r="C1186" s="7" t="s">
        <v>10</v>
      </c>
      <c r="D1186" s="18">
        <v>45450</v>
      </c>
      <c r="E1186" s="7" t="s">
        <v>12</v>
      </c>
      <c r="F1186" s="7" t="s">
        <v>23</v>
      </c>
      <c r="G1186" s="7" t="s">
        <v>32</v>
      </c>
      <c r="H1186" s="7">
        <v>198</v>
      </c>
      <c r="I1186" s="5">
        <v>135</v>
      </c>
      <c r="J1186" s="5">
        <f t="shared" si="18"/>
        <v>26730</v>
      </c>
      <c r="K1186" s="7">
        <v>10</v>
      </c>
      <c r="L1186" s="7" t="s">
        <v>33</v>
      </c>
      <c r="M1186" s="7"/>
    </row>
    <row r="1187" spans="2:13" ht="15.6" thickTop="1" thickBot="1" x14ac:dyDescent="0.35">
      <c r="B1187" s="8">
        <v>1185</v>
      </c>
      <c r="C1187" s="9" t="s">
        <v>11</v>
      </c>
      <c r="D1187" s="19">
        <v>45451</v>
      </c>
      <c r="E1187" s="9" t="s">
        <v>21</v>
      </c>
      <c r="F1187" s="9" t="s">
        <v>26</v>
      </c>
      <c r="G1187" s="9" t="s">
        <v>28</v>
      </c>
      <c r="H1187" s="9">
        <v>112</v>
      </c>
      <c r="I1187" s="5">
        <v>90</v>
      </c>
      <c r="J1187" s="5">
        <f t="shared" si="18"/>
        <v>10080</v>
      </c>
      <c r="K1187" s="9">
        <v>18</v>
      </c>
      <c r="L1187" s="9" t="s">
        <v>33</v>
      </c>
      <c r="M1187" s="9">
        <v>2</v>
      </c>
    </row>
    <row r="1188" spans="2:13" ht="15.6" thickTop="1" thickBot="1" x14ac:dyDescent="0.35">
      <c r="B1188" s="6">
        <v>1186</v>
      </c>
      <c r="C1188" s="7" t="s">
        <v>11</v>
      </c>
      <c r="D1188" s="18">
        <v>45452</v>
      </c>
      <c r="E1188" s="7" t="s">
        <v>15</v>
      </c>
      <c r="F1188" s="7" t="s">
        <v>25</v>
      </c>
      <c r="G1188" s="7" t="s">
        <v>28</v>
      </c>
      <c r="H1188" s="7">
        <v>39</v>
      </c>
      <c r="I1188" s="5">
        <v>90</v>
      </c>
      <c r="J1188" s="5">
        <f t="shared" si="18"/>
        <v>3510</v>
      </c>
      <c r="K1188" s="7">
        <v>12</v>
      </c>
      <c r="L1188" s="7" t="s">
        <v>35</v>
      </c>
      <c r="M1188" s="7">
        <v>5</v>
      </c>
    </row>
    <row r="1189" spans="2:13" ht="15.6" thickTop="1" thickBot="1" x14ac:dyDescent="0.35">
      <c r="B1189" s="8">
        <v>1187</v>
      </c>
      <c r="C1189" s="9" t="s">
        <v>10</v>
      </c>
      <c r="D1189" s="19">
        <v>45453</v>
      </c>
      <c r="E1189" s="9" t="s">
        <v>17</v>
      </c>
      <c r="F1189" s="9" t="s">
        <v>24</v>
      </c>
      <c r="G1189" s="9" t="s">
        <v>31</v>
      </c>
      <c r="H1189" s="9">
        <v>187</v>
      </c>
      <c r="I1189" s="5">
        <v>45</v>
      </c>
      <c r="J1189" s="5">
        <f t="shared" si="18"/>
        <v>8415</v>
      </c>
      <c r="K1189" s="9">
        <v>12</v>
      </c>
      <c r="L1189" s="9" t="s">
        <v>34</v>
      </c>
      <c r="M1189" s="9">
        <v>2</v>
      </c>
    </row>
    <row r="1190" spans="2:13" ht="15.6" thickTop="1" thickBot="1" x14ac:dyDescent="0.35">
      <c r="B1190" s="6">
        <v>1188</v>
      </c>
      <c r="C1190" s="7" t="s">
        <v>11</v>
      </c>
      <c r="D1190" s="18">
        <v>45454</v>
      </c>
      <c r="E1190" s="7" t="s">
        <v>20</v>
      </c>
      <c r="F1190" s="7" t="s">
        <v>20</v>
      </c>
      <c r="G1190" s="7" t="s">
        <v>31</v>
      </c>
      <c r="H1190" s="7">
        <v>182</v>
      </c>
      <c r="I1190" s="5">
        <v>180</v>
      </c>
      <c r="J1190" s="5">
        <f t="shared" si="18"/>
        <v>32760</v>
      </c>
      <c r="K1190" s="7">
        <v>17</v>
      </c>
      <c r="L1190" s="7" t="s">
        <v>35</v>
      </c>
      <c r="M1190" s="7">
        <v>3</v>
      </c>
    </row>
    <row r="1191" spans="2:13" ht="15.6" thickTop="1" thickBot="1" x14ac:dyDescent="0.35">
      <c r="B1191" s="8">
        <v>1189</v>
      </c>
      <c r="C1191" s="9" t="s">
        <v>11</v>
      </c>
      <c r="D1191" s="19">
        <v>45455</v>
      </c>
      <c r="E1191" s="9" t="s">
        <v>18</v>
      </c>
      <c r="F1191" s="9" t="s">
        <v>27</v>
      </c>
      <c r="G1191" s="9" t="s">
        <v>29</v>
      </c>
      <c r="H1191" s="9">
        <v>31</v>
      </c>
      <c r="I1191" s="5">
        <v>90</v>
      </c>
      <c r="J1191" s="5">
        <f t="shared" si="18"/>
        <v>2790</v>
      </c>
      <c r="K1191" s="9">
        <v>18</v>
      </c>
      <c r="L1191" s="9" t="s">
        <v>35</v>
      </c>
      <c r="M1191" s="9">
        <v>5</v>
      </c>
    </row>
    <row r="1192" spans="2:13" ht="15.6" thickTop="1" thickBot="1" x14ac:dyDescent="0.35">
      <c r="B1192" s="6">
        <v>1190</v>
      </c>
      <c r="C1192" s="7" t="s">
        <v>11</v>
      </c>
      <c r="D1192" s="18">
        <v>45456</v>
      </c>
      <c r="E1192" s="7" t="s">
        <v>15</v>
      </c>
      <c r="F1192" s="7" t="s">
        <v>25</v>
      </c>
      <c r="G1192" s="7" t="s">
        <v>30</v>
      </c>
      <c r="H1192" s="7">
        <v>236</v>
      </c>
      <c r="I1192" s="5">
        <v>135</v>
      </c>
      <c r="J1192" s="5">
        <f t="shared" si="18"/>
        <v>31860</v>
      </c>
      <c r="K1192" s="7">
        <v>19</v>
      </c>
      <c r="L1192" s="7" t="s">
        <v>34</v>
      </c>
      <c r="M1192" s="7"/>
    </row>
    <row r="1193" spans="2:13" ht="15.6" thickTop="1" thickBot="1" x14ac:dyDescent="0.35">
      <c r="B1193" s="8">
        <v>1191</v>
      </c>
      <c r="C1193" s="9" t="s">
        <v>11</v>
      </c>
      <c r="D1193" s="19">
        <v>45457</v>
      </c>
      <c r="E1193" s="9" t="s">
        <v>17</v>
      </c>
      <c r="F1193" s="9" t="s">
        <v>24</v>
      </c>
      <c r="G1193" s="9" t="s">
        <v>32</v>
      </c>
      <c r="H1193" s="9">
        <v>129</v>
      </c>
      <c r="I1193" s="5">
        <v>225</v>
      </c>
      <c r="J1193" s="5">
        <f t="shared" si="18"/>
        <v>29025</v>
      </c>
      <c r="K1193" s="9">
        <v>8</v>
      </c>
      <c r="L1193" s="9" t="s">
        <v>33</v>
      </c>
      <c r="M1193" s="9"/>
    </row>
    <row r="1194" spans="2:13" ht="15.6" thickTop="1" thickBot="1" x14ac:dyDescent="0.35">
      <c r="B1194" s="6">
        <v>1192</v>
      </c>
      <c r="C1194" s="7" t="s">
        <v>11</v>
      </c>
      <c r="D1194" s="18">
        <v>45458</v>
      </c>
      <c r="E1194" s="7" t="s">
        <v>20</v>
      </c>
      <c r="F1194" s="7" t="s">
        <v>20</v>
      </c>
      <c r="G1194" s="7" t="s">
        <v>29</v>
      </c>
      <c r="H1194" s="7">
        <v>186</v>
      </c>
      <c r="I1194" s="5">
        <v>225</v>
      </c>
      <c r="J1194" s="5">
        <f t="shared" si="18"/>
        <v>41850</v>
      </c>
      <c r="K1194" s="7">
        <v>7</v>
      </c>
      <c r="L1194" s="7" t="s">
        <v>34</v>
      </c>
      <c r="M1194" s="7"/>
    </row>
    <row r="1195" spans="2:13" ht="15.6" thickTop="1" thickBot="1" x14ac:dyDescent="0.35">
      <c r="B1195" s="8">
        <v>1193</v>
      </c>
      <c r="C1195" s="9" t="s">
        <v>10</v>
      </c>
      <c r="D1195" s="19">
        <v>45459</v>
      </c>
      <c r="E1195" s="9" t="s">
        <v>16</v>
      </c>
      <c r="F1195" s="9" t="s">
        <v>26</v>
      </c>
      <c r="G1195" s="9" t="s">
        <v>29</v>
      </c>
      <c r="H1195" s="9">
        <v>226</v>
      </c>
      <c r="I1195" s="5">
        <v>225</v>
      </c>
      <c r="J1195" s="5">
        <f t="shared" si="18"/>
        <v>50850</v>
      </c>
      <c r="K1195" s="9">
        <v>13</v>
      </c>
      <c r="L1195" s="9" t="s">
        <v>33</v>
      </c>
      <c r="M1195" s="9">
        <v>3</v>
      </c>
    </row>
    <row r="1196" spans="2:13" ht="15.6" thickTop="1" thickBot="1" x14ac:dyDescent="0.35">
      <c r="B1196" s="6">
        <v>1194</v>
      </c>
      <c r="C1196" s="7" t="s">
        <v>11</v>
      </c>
      <c r="D1196" s="18">
        <v>45460</v>
      </c>
      <c r="E1196" s="7" t="s">
        <v>16</v>
      </c>
      <c r="F1196" s="7" t="s">
        <v>26</v>
      </c>
      <c r="G1196" s="7" t="s">
        <v>31</v>
      </c>
      <c r="H1196" s="7">
        <v>46</v>
      </c>
      <c r="I1196" s="5">
        <v>135</v>
      </c>
      <c r="J1196" s="5">
        <f t="shared" si="18"/>
        <v>6210</v>
      </c>
      <c r="K1196" s="7">
        <v>19</v>
      </c>
      <c r="L1196" s="7" t="s">
        <v>35</v>
      </c>
      <c r="M1196" s="7">
        <v>4</v>
      </c>
    </row>
    <row r="1197" spans="2:13" ht="15.6" thickTop="1" thickBot="1" x14ac:dyDescent="0.35">
      <c r="B1197" s="8">
        <v>1195</v>
      </c>
      <c r="C1197" s="9" t="s">
        <v>10</v>
      </c>
      <c r="D1197" s="19">
        <v>45461</v>
      </c>
      <c r="E1197" s="9" t="s">
        <v>16</v>
      </c>
      <c r="F1197" s="9" t="s">
        <v>26</v>
      </c>
      <c r="G1197" s="9" t="s">
        <v>28</v>
      </c>
      <c r="H1197" s="9">
        <v>224</v>
      </c>
      <c r="I1197" s="5">
        <v>180</v>
      </c>
      <c r="J1197" s="5">
        <f t="shared" si="18"/>
        <v>40320</v>
      </c>
      <c r="K1197" s="9">
        <v>23</v>
      </c>
      <c r="L1197" s="9" t="s">
        <v>35</v>
      </c>
      <c r="M1197" s="9">
        <v>3</v>
      </c>
    </row>
    <row r="1198" spans="2:13" ht="15.6" thickTop="1" thickBot="1" x14ac:dyDescent="0.35">
      <c r="B1198" s="6">
        <v>1196</v>
      </c>
      <c r="C1198" s="7" t="s">
        <v>10</v>
      </c>
      <c r="D1198" s="18">
        <v>45462</v>
      </c>
      <c r="E1198" s="7" t="s">
        <v>15</v>
      </c>
      <c r="F1198" s="7" t="s">
        <v>25</v>
      </c>
      <c r="G1198" s="7" t="s">
        <v>30</v>
      </c>
      <c r="H1198" s="7">
        <v>200</v>
      </c>
      <c r="I1198" s="5">
        <v>135</v>
      </c>
      <c r="J1198" s="5">
        <f t="shared" si="18"/>
        <v>27000</v>
      </c>
      <c r="K1198" s="7">
        <v>13</v>
      </c>
      <c r="L1198" s="7" t="s">
        <v>34</v>
      </c>
      <c r="M1198" s="7">
        <v>2</v>
      </c>
    </row>
    <row r="1199" spans="2:13" ht="15.6" thickTop="1" thickBot="1" x14ac:dyDescent="0.35">
      <c r="B1199" s="8">
        <v>1197</v>
      </c>
      <c r="C1199" s="9" t="s">
        <v>11</v>
      </c>
      <c r="D1199" s="19">
        <v>45463</v>
      </c>
      <c r="E1199" s="9" t="s">
        <v>20</v>
      </c>
      <c r="F1199" s="9" t="s">
        <v>20</v>
      </c>
      <c r="G1199" s="9" t="s">
        <v>30</v>
      </c>
      <c r="H1199" s="9">
        <v>155</v>
      </c>
      <c r="I1199" s="5">
        <v>225</v>
      </c>
      <c r="J1199" s="5">
        <f t="shared" si="18"/>
        <v>34875</v>
      </c>
      <c r="K1199" s="9">
        <v>17</v>
      </c>
      <c r="L1199" s="9" t="s">
        <v>34</v>
      </c>
      <c r="M1199" s="9">
        <v>2</v>
      </c>
    </row>
    <row r="1200" spans="2:13" ht="15.6" thickTop="1" thickBot="1" x14ac:dyDescent="0.35">
      <c r="B1200" s="6">
        <v>1198</v>
      </c>
      <c r="C1200" s="7" t="s">
        <v>10</v>
      </c>
      <c r="D1200" s="18">
        <v>45464</v>
      </c>
      <c r="E1200" s="7" t="s">
        <v>12</v>
      </c>
      <c r="F1200" s="7" t="s">
        <v>23</v>
      </c>
      <c r="G1200" s="7" t="s">
        <v>28</v>
      </c>
      <c r="H1200" s="7">
        <v>194</v>
      </c>
      <c r="I1200" s="5">
        <v>135</v>
      </c>
      <c r="J1200" s="5">
        <f t="shared" si="18"/>
        <v>26190</v>
      </c>
      <c r="K1200" s="7">
        <v>18</v>
      </c>
      <c r="L1200" s="7" t="s">
        <v>35</v>
      </c>
      <c r="M1200" s="7">
        <v>3</v>
      </c>
    </row>
    <row r="1201" spans="2:13" ht="15.6" thickTop="1" thickBot="1" x14ac:dyDescent="0.35">
      <c r="B1201" s="8">
        <v>1199</v>
      </c>
      <c r="C1201" s="9" t="s">
        <v>11</v>
      </c>
      <c r="D1201" s="19">
        <v>45465</v>
      </c>
      <c r="E1201" s="9" t="s">
        <v>20</v>
      </c>
      <c r="F1201" s="9" t="s">
        <v>20</v>
      </c>
      <c r="G1201" s="9" t="s">
        <v>32</v>
      </c>
      <c r="H1201" s="9">
        <v>204</v>
      </c>
      <c r="I1201" s="5">
        <v>45</v>
      </c>
      <c r="J1201" s="5">
        <f t="shared" si="18"/>
        <v>9180</v>
      </c>
      <c r="K1201" s="9">
        <v>8</v>
      </c>
      <c r="L1201" s="9" t="s">
        <v>35</v>
      </c>
      <c r="M1201" s="9">
        <v>5</v>
      </c>
    </row>
    <row r="1202" spans="2:13" ht="15.6" thickTop="1" thickBot="1" x14ac:dyDescent="0.35">
      <c r="B1202" s="6">
        <v>1200</v>
      </c>
      <c r="C1202" s="7" t="s">
        <v>11</v>
      </c>
      <c r="D1202" s="18">
        <v>45466</v>
      </c>
      <c r="E1202" s="7" t="s">
        <v>20</v>
      </c>
      <c r="F1202" s="7" t="s">
        <v>20</v>
      </c>
      <c r="G1202" s="7" t="s">
        <v>30</v>
      </c>
      <c r="H1202" s="7">
        <v>100</v>
      </c>
      <c r="I1202" s="5">
        <v>135</v>
      </c>
      <c r="J1202" s="5">
        <f t="shared" si="18"/>
        <v>13500</v>
      </c>
      <c r="K1202" s="7">
        <v>8</v>
      </c>
      <c r="L1202" s="7" t="s">
        <v>35</v>
      </c>
      <c r="M1202" s="7">
        <v>3</v>
      </c>
    </row>
    <row r="1203" spans="2:13" ht="15.6" thickTop="1" thickBot="1" x14ac:dyDescent="0.35">
      <c r="B1203" s="8">
        <v>1201</v>
      </c>
      <c r="C1203" s="9" t="s">
        <v>10</v>
      </c>
      <c r="D1203" s="19">
        <v>45467</v>
      </c>
      <c r="E1203" s="9" t="s">
        <v>20</v>
      </c>
      <c r="F1203" s="9" t="s">
        <v>20</v>
      </c>
      <c r="G1203" s="9" t="s">
        <v>32</v>
      </c>
      <c r="H1203" s="9">
        <v>249</v>
      </c>
      <c r="I1203" s="5">
        <v>45</v>
      </c>
      <c r="J1203" s="5">
        <f t="shared" si="18"/>
        <v>11205</v>
      </c>
      <c r="K1203" s="9">
        <v>18</v>
      </c>
      <c r="L1203" s="9" t="s">
        <v>33</v>
      </c>
      <c r="M1203" s="9">
        <v>5</v>
      </c>
    </row>
    <row r="1204" spans="2:13" ht="15.6" thickTop="1" thickBot="1" x14ac:dyDescent="0.35">
      <c r="B1204" s="6">
        <v>1202</v>
      </c>
      <c r="C1204" s="7" t="s">
        <v>11</v>
      </c>
      <c r="D1204" s="18">
        <v>45468</v>
      </c>
      <c r="E1204" s="7" t="s">
        <v>19</v>
      </c>
      <c r="F1204" s="7" t="s">
        <v>23</v>
      </c>
      <c r="G1204" s="7" t="s">
        <v>31</v>
      </c>
      <c r="H1204" s="7">
        <v>129</v>
      </c>
      <c r="I1204" s="5">
        <v>180</v>
      </c>
      <c r="J1204" s="5">
        <f t="shared" si="18"/>
        <v>23220</v>
      </c>
      <c r="K1204" s="7">
        <v>10</v>
      </c>
      <c r="L1204" s="7" t="s">
        <v>34</v>
      </c>
      <c r="M1204" s="7">
        <v>3</v>
      </c>
    </row>
    <row r="1205" spans="2:13" ht="15.6" thickTop="1" thickBot="1" x14ac:dyDescent="0.35">
      <c r="B1205" s="8">
        <v>1203</v>
      </c>
      <c r="C1205" s="9" t="s">
        <v>11</v>
      </c>
      <c r="D1205" s="19">
        <v>45469</v>
      </c>
      <c r="E1205" s="9" t="s">
        <v>18</v>
      </c>
      <c r="F1205" s="9" t="s">
        <v>27</v>
      </c>
      <c r="G1205" s="9" t="s">
        <v>30</v>
      </c>
      <c r="H1205" s="9">
        <v>85</v>
      </c>
      <c r="I1205" s="5">
        <v>135</v>
      </c>
      <c r="J1205" s="5">
        <f t="shared" si="18"/>
        <v>11475</v>
      </c>
      <c r="K1205" s="9">
        <v>14</v>
      </c>
      <c r="L1205" s="9" t="s">
        <v>34</v>
      </c>
      <c r="M1205" s="9">
        <v>1</v>
      </c>
    </row>
    <row r="1206" spans="2:13" ht="15.6" thickTop="1" thickBot="1" x14ac:dyDescent="0.35">
      <c r="B1206" s="6">
        <v>1204</v>
      </c>
      <c r="C1206" s="7" t="s">
        <v>10</v>
      </c>
      <c r="D1206" s="18">
        <v>45470</v>
      </c>
      <c r="E1206" s="7" t="s">
        <v>15</v>
      </c>
      <c r="F1206" s="7" t="s">
        <v>25</v>
      </c>
      <c r="G1206" s="7" t="s">
        <v>32</v>
      </c>
      <c r="H1206" s="7">
        <v>35</v>
      </c>
      <c r="I1206" s="5">
        <v>45</v>
      </c>
      <c r="J1206" s="5">
        <f t="shared" si="18"/>
        <v>1575</v>
      </c>
      <c r="K1206" s="7">
        <v>11</v>
      </c>
      <c r="L1206" s="7" t="s">
        <v>33</v>
      </c>
      <c r="M1206" s="7">
        <v>4</v>
      </c>
    </row>
    <row r="1207" spans="2:13" ht="15.6" thickTop="1" thickBot="1" x14ac:dyDescent="0.35">
      <c r="B1207" s="8">
        <v>1205</v>
      </c>
      <c r="C1207" s="9" t="s">
        <v>10</v>
      </c>
      <c r="D1207" s="19">
        <v>45471</v>
      </c>
      <c r="E1207" s="9" t="s">
        <v>16</v>
      </c>
      <c r="F1207" s="9" t="s">
        <v>26</v>
      </c>
      <c r="G1207" s="9" t="s">
        <v>30</v>
      </c>
      <c r="H1207" s="9">
        <v>223</v>
      </c>
      <c r="I1207" s="5">
        <v>180</v>
      </c>
      <c r="J1207" s="5">
        <f t="shared" si="18"/>
        <v>40140</v>
      </c>
      <c r="K1207" s="9">
        <v>21</v>
      </c>
      <c r="L1207" s="9" t="s">
        <v>33</v>
      </c>
      <c r="M1207" s="9">
        <v>3</v>
      </c>
    </row>
    <row r="1208" spans="2:13" ht="15.6" thickTop="1" thickBot="1" x14ac:dyDescent="0.35">
      <c r="B1208" s="6">
        <v>1206</v>
      </c>
      <c r="C1208" s="7" t="s">
        <v>10</v>
      </c>
      <c r="D1208" s="18">
        <v>45472</v>
      </c>
      <c r="E1208" s="7" t="s">
        <v>14</v>
      </c>
      <c r="F1208" s="7" t="s">
        <v>25</v>
      </c>
      <c r="G1208" s="7" t="s">
        <v>29</v>
      </c>
      <c r="H1208" s="7">
        <v>136</v>
      </c>
      <c r="I1208" s="5">
        <v>90</v>
      </c>
      <c r="J1208" s="5">
        <f t="shared" si="18"/>
        <v>12240</v>
      </c>
      <c r="K1208" s="7">
        <v>11</v>
      </c>
      <c r="L1208" s="7" t="s">
        <v>34</v>
      </c>
      <c r="M1208" s="7">
        <v>4</v>
      </c>
    </row>
    <row r="1209" spans="2:13" ht="15.6" thickTop="1" thickBot="1" x14ac:dyDescent="0.35">
      <c r="B1209" s="8">
        <v>1207</v>
      </c>
      <c r="C1209" s="9" t="s">
        <v>11</v>
      </c>
      <c r="D1209" s="19">
        <v>45473</v>
      </c>
      <c r="E1209" s="9" t="s">
        <v>21</v>
      </c>
      <c r="F1209" s="9" t="s">
        <v>26</v>
      </c>
      <c r="G1209" s="9" t="s">
        <v>31</v>
      </c>
      <c r="H1209" s="9">
        <v>119</v>
      </c>
      <c r="I1209" s="5">
        <v>180</v>
      </c>
      <c r="J1209" s="5">
        <f t="shared" si="18"/>
        <v>21420</v>
      </c>
      <c r="K1209" s="9">
        <v>14</v>
      </c>
      <c r="L1209" s="9" t="s">
        <v>34</v>
      </c>
      <c r="M1209" s="9">
        <v>1</v>
      </c>
    </row>
    <row r="1210" spans="2:13" ht="15.6" thickTop="1" thickBot="1" x14ac:dyDescent="0.35">
      <c r="B1210" s="6">
        <v>1208</v>
      </c>
      <c r="C1210" s="7" t="s">
        <v>11</v>
      </c>
      <c r="D1210" s="18">
        <v>45474</v>
      </c>
      <c r="E1210" s="7" t="s">
        <v>21</v>
      </c>
      <c r="F1210" s="7" t="s">
        <v>26</v>
      </c>
      <c r="G1210" s="7" t="s">
        <v>32</v>
      </c>
      <c r="H1210" s="7">
        <v>44</v>
      </c>
      <c r="I1210" s="5">
        <v>180</v>
      </c>
      <c r="J1210" s="5">
        <f t="shared" si="18"/>
        <v>7920</v>
      </c>
      <c r="K1210" s="7">
        <v>15</v>
      </c>
      <c r="L1210" s="7" t="s">
        <v>34</v>
      </c>
      <c r="M1210" s="7"/>
    </row>
    <row r="1211" spans="2:13" ht="15.6" thickTop="1" thickBot="1" x14ac:dyDescent="0.35">
      <c r="B1211" s="8">
        <v>1209</v>
      </c>
      <c r="C1211" s="9" t="s">
        <v>11</v>
      </c>
      <c r="D1211" s="19">
        <v>45475</v>
      </c>
      <c r="E1211" s="9" t="s">
        <v>21</v>
      </c>
      <c r="F1211" s="9" t="s">
        <v>26</v>
      </c>
      <c r="G1211" s="9" t="s">
        <v>28</v>
      </c>
      <c r="H1211" s="9">
        <v>230</v>
      </c>
      <c r="I1211" s="5">
        <v>45</v>
      </c>
      <c r="J1211" s="5">
        <f t="shared" si="18"/>
        <v>10350</v>
      </c>
      <c r="K1211" s="9">
        <v>14</v>
      </c>
      <c r="L1211" s="9" t="s">
        <v>35</v>
      </c>
      <c r="M1211" s="9">
        <v>4</v>
      </c>
    </row>
    <row r="1212" spans="2:13" ht="15.6" thickTop="1" thickBot="1" x14ac:dyDescent="0.35">
      <c r="B1212" s="6">
        <v>1210</v>
      </c>
      <c r="C1212" s="7" t="s">
        <v>10</v>
      </c>
      <c r="D1212" s="18">
        <v>45476</v>
      </c>
      <c r="E1212" s="7" t="s">
        <v>14</v>
      </c>
      <c r="F1212" s="7" t="s">
        <v>25</v>
      </c>
      <c r="G1212" s="7" t="s">
        <v>32</v>
      </c>
      <c r="H1212" s="7">
        <v>35</v>
      </c>
      <c r="I1212" s="5">
        <v>90</v>
      </c>
      <c r="J1212" s="5">
        <f t="shared" si="18"/>
        <v>3150</v>
      </c>
      <c r="K1212" s="7">
        <v>19</v>
      </c>
      <c r="L1212" s="7" t="s">
        <v>35</v>
      </c>
      <c r="M1212" s="7">
        <v>3</v>
      </c>
    </row>
    <row r="1213" spans="2:13" ht="15.6" thickTop="1" thickBot="1" x14ac:dyDescent="0.35">
      <c r="B1213" s="8">
        <v>1211</v>
      </c>
      <c r="C1213" s="9" t="s">
        <v>10</v>
      </c>
      <c r="D1213" s="19">
        <v>45477</v>
      </c>
      <c r="E1213" s="9" t="s">
        <v>20</v>
      </c>
      <c r="F1213" s="9" t="s">
        <v>20</v>
      </c>
      <c r="G1213" s="9" t="s">
        <v>30</v>
      </c>
      <c r="H1213" s="9">
        <v>228</v>
      </c>
      <c r="I1213" s="5">
        <v>45</v>
      </c>
      <c r="J1213" s="5">
        <f t="shared" si="18"/>
        <v>10260</v>
      </c>
      <c r="K1213" s="9">
        <v>21</v>
      </c>
      <c r="L1213" s="9" t="s">
        <v>35</v>
      </c>
      <c r="M1213" s="9">
        <v>2</v>
      </c>
    </row>
    <row r="1214" spans="2:13" ht="15.6" thickTop="1" thickBot="1" x14ac:dyDescent="0.35">
      <c r="B1214" s="6">
        <v>1212</v>
      </c>
      <c r="C1214" s="7" t="s">
        <v>11</v>
      </c>
      <c r="D1214" s="18">
        <v>45478</v>
      </c>
      <c r="E1214" s="7" t="s">
        <v>18</v>
      </c>
      <c r="F1214" s="7" t="s">
        <v>27</v>
      </c>
      <c r="G1214" s="7" t="s">
        <v>29</v>
      </c>
      <c r="H1214" s="7">
        <v>100</v>
      </c>
      <c r="I1214" s="5">
        <v>225</v>
      </c>
      <c r="J1214" s="5">
        <f t="shared" si="18"/>
        <v>22500</v>
      </c>
      <c r="K1214" s="7">
        <v>14</v>
      </c>
      <c r="L1214" s="7" t="s">
        <v>35</v>
      </c>
      <c r="M1214" s="7">
        <v>2</v>
      </c>
    </row>
    <row r="1215" spans="2:13" ht="15.6" thickTop="1" thickBot="1" x14ac:dyDescent="0.35">
      <c r="B1215" s="8">
        <v>1213</v>
      </c>
      <c r="C1215" s="9" t="s">
        <v>10</v>
      </c>
      <c r="D1215" s="19">
        <v>45479</v>
      </c>
      <c r="E1215" s="9" t="s">
        <v>12</v>
      </c>
      <c r="F1215" s="9" t="s">
        <v>23</v>
      </c>
      <c r="G1215" s="9" t="s">
        <v>31</v>
      </c>
      <c r="H1215" s="9">
        <v>47</v>
      </c>
      <c r="I1215" s="5">
        <v>135</v>
      </c>
      <c r="J1215" s="5">
        <f t="shared" si="18"/>
        <v>6345</v>
      </c>
      <c r="K1215" s="9">
        <v>21</v>
      </c>
      <c r="L1215" s="9" t="s">
        <v>35</v>
      </c>
      <c r="M1215" s="9">
        <v>3</v>
      </c>
    </row>
    <row r="1216" spans="2:13" ht="15.6" thickTop="1" thickBot="1" x14ac:dyDescent="0.35">
      <c r="B1216" s="6">
        <v>1214</v>
      </c>
      <c r="C1216" s="7" t="s">
        <v>10</v>
      </c>
      <c r="D1216" s="18">
        <v>45480</v>
      </c>
      <c r="E1216" s="7" t="s">
        <v>12</v>
      </c>
      <c r="F1216" s="7" t="s">
        <v>23</v>
      </c>
      <c r="G1216" s="7" t="s">
        <v>29</v>
      </c>
      <c r="H1216" s="7">
        <v>194</v>
      </c>
      <c r="I1216" s="5">
        <v>90</v>
      </c>
      <c r="J1216" s="5">
        <f t="shared" si="18"/>
        <v>17460</v>
      </c>
      <c r="K1216" s="7">
        <v>16</v>
      </c>
      <c r="L1216" s="7" t="s">
        <v>33</v>
      </c>
      <c r="M1216" s="7"/>
    </row>
    <row r="1217" spans="2:13" ht="15.6" thickTop="1" thickBot="1" x14ac:dyDescent="0.35">
      <c r="B1217" s="8">
        <v>1215</v>
      </c>
      <c r="C1217" s="9" t="s">
        <v>11</v>
      </c>
      <c r="D1217" s="19">
        <v>45383</v>
      </c>
      <c r="E1217" s="9" t="s">
        <v>13</v>
      </c>
      <c r="F1217" s="9" t="s">
        <v>24</v>
      </c>
      <c r="G1217" s="9" t="s">
        <v>31</v>
      </c>
      <c r="H1217" s="9">
        <v>215</v>
      </c>
      <c r="I1217" s="5">
        <v>45</v>
      </c>
      <c r="J1217" s="5">
        <f t="shared" si="18"/>
        <v>9675</v>
      </c>
      <c r="K1217" s="9">
        <v>8</v>
      </c>
      <c r="L1217" s="9" t="s">
        <v>33</v>
      </c>
      <c r="M1217" s="9">
        <v>1</v>
      </c>
    </row>
    <row r="1218" spans="2:13" ht="15.6" thickTop="1" thickBot="1" x14ac:dyDescent="0.35">
      <c r="B1218" s="6">
        <v>1216</v>
      </c>
      <c r="C1218" s="7" t="s">
        <v>11</v>
      </c>
      <c r="D1218" s="18">
        <v>45384</v>
      </c>
      <c r="E1218" s="7" t="s">
        <v>22</v>
      </c>
      <c r="F1218" s="7" t="s">
        <v>25</v>
      </c>
      <c r="G1218" s="7" t="s">
        <v>31</v>
      </c>
      <c r="H1218" s="7">
        <v>156</v>
      </c>
      <c r="I1218" s="5">
        <v>180</v>
      </c>
      <c r="J1218" s="5">
        <f t="shared" si="18"/>
        <v>28080</v>
      </c>
      <c r="K1218" s="7">
        <v>17</v>
      </c>
      <c r="L1218" s="7" t="s">
        <v>35</v>
      </c>
      <c r="M1218" s="7">
        <v>3</v>
      </c>
    </row>
    <row r="1219" spans="2:13" ht="15.6" thickTop="1" thickBot="1" x14ac:dyDescent="0.35">
      <c r="B1219" s="8">
        <v>1217</v>
      </c>
      <c r="C1219" s="9" t="s">
        <v>11</v>
      </c>
      <c r="D1219" s="19">
        <v>45385</v>
      </c>
      <c r="E1219" s="9" t="s">
        <v>18</v>
      </c>
      <c r="F1219" s="9" t="s">
        <v>27</v>
      </c>
      <c r="G1219" s="9" t="s">
        <v>32</v>
      </c>
      <c r="H1219" s="9">
        <v>42</v>
      </c>
      <c r="I1219" s="5">
        <v>225</v>
      </c>
      <c r="J1219" s="5">
        <f t="shared" si="18"/>
        <v>9450</v>
      </c>
      <c r="K1219" s="9">
        <v>14</v>
      </c>
      <c r="L1219" s="9" t="s">
        <v>35</v>
      </c>
      <c r="M1219" s="9">
        <v>5</v>
      </c>
    </row>
    <row r="1220" spans="2:13" ht="15.6" thickTop="1" thickBot="1" x14ac:dyDescent="0.35">
      <c r="B1220" s="6">
        <v>1218</v>
      </c>
      <c r="C1220" s="7" t="s">
        <v>11</v>
      </c>
      <c r="D1220" s="18">
        <v>45386</v>
      </c>
      <c r="E1220" s="7" t="s">
        <v>15</v>
      </c>
      <c r="F1220" s="7" t="s">
        <v>25</v>
      </c>
      <c r="G1220" s="7" t="s">
        <v>32</v>
      </c>
      <c r="H1220" s="7">
        <v>132</v>
      </c>
      <c r="I1220" s="5">
        <v>225</v>
      </c>
      <c r="J1220" s="5">
        <f t="shared" ref="J1220:J1283" si="19">H1220*I1220</f>
        <v>29700</v>
      </c>
      <c r="K1220" s="7">
        <v>16</v>
      </c>
      <c r="L1220" s="7" t="s">
        <v>35</v>
      </c>
      <c r="M1220" s="7">
        <v>3</v>
      </c>
    </row>
    <row r="1221" spans="2:13" ht="15.6" thickTop="1" thickBot="1" x14ac:dyDescent="0.35">
      <c r="B1221" s="8">
        <v>1219</v>
      </c>
      <c r="C1221" s="9" t="s">
        <v>10</v>
      </c>
      <c r="D1221" s="19">
        <v>45387</v>
      </c>
      <c r="E1221" s="9" t="s">
        <v>21</v>
      </c>
      <c r="F1221" s="9" t="s">
        <v>26</v>
      </c>
      <c r="G1221" s="9" t="s">
        <v>31</v>
      </c>
      <c r="H1221" s="9">
        <v>102</v>
      </c>
      <c r="I1221" s="5">
        <v>180</v>
      </c>
      <c r="J1221" s="5">
        <f t="shared" si="19"/>
        <v>18360</v>
      </c>
      <c r="K1221" s="9">
        <v>16</v>
      </c>
      <c r="L1221" s="9" t="s">
        <v>34</v>
      </c>
      <c r="M1221" s="9">
        <v>4</v>
      </c>
    </row>
    <row r="1222" spans="2:13" ht="15.6" thickTop="1" thickBot="1" x14ac:dyDescent="0.35">
      <c r="B1222" s="6">
        <v>1220</v>
      </c>
      <c r="C1222" s="7" t="s">
        <v>11</v>
      </c>
      <c r="D1222" s="18">
        <v>45388</v>
      </c>
      <c r="E1222" s="7" t="s">
        <v>14</v>
      </c>
      <c r="F1222" s="7" t="s">
        <v>25</v>
      </c>
      <c r="G1222" s="7" t="s">
        <v>31</v>
      </c>
      <c r="H1222" s="7">
        <v>48</v>
      </c>
      <c r="I1222" s="5">
        <v>135</v>
      </c>
      <c r="J1222" s="5">
        <f t="shared" si="19"/>
        <v>6480</v>
      </c>
      <c r="K1222" s="7">
        <v>14</v>
      </c>
      <c r="L1222" s="7" t="s">
        <v>34</v>
      </c>
      <c r="M1222" s="7">
        <v>2</v>
      </c>
    </row>
    <row r="1223" spans="2:13" ht="15.6" thickTop="1" thickBot="1" x14ac:dyDescent="0.35">
      <c r="B1223" s="8">
        <v>1221</v>
      </c>
      <c r="C1223" s="9" t="s">
        <v>10</v>
      </c>
      <c r="D1223" s="19">
        <v>45389</v>
      </c>
      <c r="E1223" s="9" t="s">
        <v>19</v>
      </c>
      <c r="F1223" s="9" t="s">
        <v>23</v>
      </c>
      <c r="G1223" s="9" t="s">
        <v>30</v>
      </c>
      <c r="H1223" s="9">
        <v>229</v>
      </c>
      <c r="I1223" s="5">
        <v>135</v>
      </c>
      <c r="J1223" s="5">
        <f t="shared" si="19"/>
        <v>30915</v>
      </c>
      <c r="K1223" s="9">
        <v>12</v>
      </c>
      <c r="L1223" s="9" t="s">
        <v>34</v>
      </c>
      <c r="M1223" s="9">
        <v>5</v>
      </c>
    </row>
    <row r="1224" spans="2:13" ht="15.6" thickTop="1" thickBot="1" x14ac:dyDescent="0.35">
      <c r="B1224" s="6">
        <v>1222</v>
      </c>
      <c r="C1224" s="7" t="s">
        <v>10</v>
      </c>
      <c r="D1224" s="18">
        <v>45390</v>
      </c>
      <c r="E1224" s="7" t="s">
        <v>12</v>
      </c>
      <c r="F1224" s="7" t="s">
        <v>23</v>
      </c>
      <c r="G1224" s="7" t="s">
        <v>32</v>
      </c>
      <c r="H1224" s="7">
        <v>52</v>
      </c>
      <c r="I1224" s="5">
        <v>90</v>
      </c>
      <c r="J1224" s="5">
        <f t="shared" si="19"/>
        <v>4680</v>
      </c>
      <c r="K1224" s="7">
        <v>25</v>
      </c>
      <c r="L1224" s="7" t="s">
        <v>35</v>
      </c>
      <c r="M1224" s="7">
        <v>5</v>
      </c>
    </row>
    <row r="1225" spans="2:13" ht="15.6" thickTop="1" thickBot="1" x14ac:dyDescent="0.35">
      <c r="B1225" s="8">
        <v>1223</v>
      </c>
      <c r="C1225" s="9" t="s">
        <v>11</v>
      </c>
      <c r="D1225" s="19">
        <v>45391</v>
      </c>
      <c r="E1225" s="9" t="s">
        <v>13</v>
      </c>
      <c r="F1225" s="9" t="s">
        <v>24</v>
      </c>
      <c r="G1225" s="9" t="s">
        <v>31</v>
      </c>
      <c r="H1225" s="9">
        <v>112</v>
      </c>
      <c r="I1225" s="5">
        <v>45</v>
      </c>
      <c r="J1225" s="5">
        <f t="shared" si="19"/>
        <v>5040</v>
      </c>
      <c r="K1225" s="9">
        <v>18</v>
      </c>
      <c r="L1225" s="9" t="s">
        <v>34</v>
      </c>
      <c r="M1225" s="9">
        <v>3</v>
      </c>
    </row>
    <row r="1226" spans="2:13" ht="15.6" thickTop="1" thickBot="1" x14ac:dyDescent="0.35">
      <c r="B1226" s="6">
        <v>1224</v>
      </c>
      <c r="C1226" s="7" t="s">
        <v>10</v>
      </c>
      <c r="D1226" s="18">
        <v>45392</v>
      </c>
      <c r="E1226" s="7" t="s">
        <v>22</v>
      </c>
      <c r="F1226" s="7" t="s">
        <v>25</v>
      </c>
      <c r="G1226" s="7" t="s">
        <v>32</v>
      </c>
      <c r="H1226" s="7">
        <v>59</v>
      </c>
      <c r="I1226" s="5">
        <v>180</v>
      </c>
      <c r="J1226" s="5">
        <f t="shared" si="19"/>
        <v>10620</v>
      </c>
      <c r="K1226" s="7">
        <v>14</v>
      </c>
      <c r="L1226" s="7" t="s">
        <v>35</v>
      </c>
      <c r="M1226" s="7">
        <v>2</v>
      </c>
    </row>
    <row r="1227" spans="2:13" ht="15.6" thickTop="1" thickBot="1" x14ac:dyDescent="0.35">
      <c r="B1227" s="8">
        <v>1225</v>
      </c>
      <c r="C1227" s="9" t="s">
        <v>11</v>
      </c>
      <c r="D1227" s="19">
        <v>45393</v>
      </c>
      <c r="E1227" s="9" t="s">
        <v>13</v>
      </c>
      <c r="F1227" s="9" t="s">
        <v>24</v>
      </c>
      <c r="G1227" s="9" t="s">
        <v>28</v>
      </c>
      <c r="H1227" s="9">
        <v>162</v>
      </c>
      <c r="I1227" s="5">
        <v>90</v>
      </c>
      <c r="J1227" s="5">
        <f t="shared" si="19"/>
        <v>14580</v>
      </c>
      <c r="K1227" s="9">
        <v>10</v>
      </c>
      <c r="L1227" s="9" t="s">
        <v>34</v>
      </c>
      <c r="M1227" s="9"/>
    </row>
    <row r="1228" spans="2:13" ht="15.6" thickTop="1" thickBot="1" x14ac:dyDescent="0.35">
      <c r="B1228" s="6">
        <v>1226</v>
      </c>
      <c r="C1228" s="7" t="s">
        <v>10</v>
      </c>
      <c r="D1228" s="18">
        <v>45394</v>
      </c>
      <c r="E1228" s="7" t="s">
        <v>13</v>
      </c>
      <c r="F1228" s="7" t="s">
        <v>24</v>
      </c>
      <c r="G1228" s="7" t="s">
        <v>30</v>
      </c>
      <c r="H1228" s="7">
        <v>184</v>
      </c>
      <c r="I1228" s="5">
        <v>135</v>
      </c>
      <c r="J1228" s="5">
        <f t="shared" si="19"/>
        <v>24840</v>
      </c>
      <c r="K1228" s="7">
        <v>18</v>
      </c>
      <c r="L1228" s="7" t="s">
        <v>35</v>
      </c>
      <c r="M1228" s="7">
        <v>1</v>
      </c>
    </row>
    <row r="1229" spans="2:13" ht="15.6" thickTop="1" thickBot="1" x14ac:dyDescent="0.35">
      <c r="B1229" s="8">
        <v>1227</v>
      </c>
      <c r="C1229" s="9" t="s">
        <v>11</v>
      </c>
      <c r="D1229" s="19">
        <v>45395</v>
      </c>
      <c r="E1229" s="9" t="s">
        <v>19</v>
      </c>
      <c r="F1229" s="9" t="s">
        <v>23</v>
      </c>
      <c r="G1229" s="9" t="s">
        <v>31</v>
      </c>
      <c r="H1229" s="9">
        <v>113</v>
      </c>
      <c r="I1229" s="5">
        <v>180</v>
      </c>
      <c r="J1229" s="5">
        <f t="shared" si="19"/>
        <v>20340</v>
      </c>
      <c r="K1229" s="9">
        <v>11</v>
      </c>
      <c r="L1229" s="9" t="s">
        <v>35</v>
      </c>
      <c r="M1229" s="9"/>
    </row>
    <row r="1230" spans="2:13" ht="15.6" thickTop="1" thickBot="1" x14ac:dyDescent="0.35">
      <c r="B1230" s="6">
        <v>1228</v>
      </c>
      <c r="C1230" s="7" t="s">
        <v>10</v>
      </c>
      <c r="D1230" s="18">
        <v>45396</v>
      </c>
      <c r="E1230" s="7" t="s">
        <v>14</v>
      </c>
      <c r="F1230" s="7" t="s">
        <v>25</v>
      </c>
      <c r="G1230" s="7" t="s">
        <v>30</v>
      </c>
      <c r="H1230" s="7">
        <v>158</v>
      </c>
      <c r="I1230" s="5">
        <v>180</v>
      </c>
      <c r="J1230" s="5">
        <f t="shared" si="19"/>
        <v>28440</v>
      </c>
      <c r="K1230" s="7">
        <v>12</v>
      </c>
      <c r="L1230" s="7" t="s">
        <v>34</v>
      </c>
      <c r="M1230" s="7">
        <v>3</v>
      </c>
    </row>
    <row r="1231" spans="2:13" ht="15.6" thickTop="1" thickBot="1" x14ac:dyDescent="0.35">
      <c r="B1231" s="8">
        <v>1229</v>
      </c>
      <c r="C1231" s="9" t="s">
        <v>10</v>
      </c>
      <c r="D1231" s="19">
        <v>45397</v>
      </c>
      <c r="E1231" s="9" t="s">
        <v>18</v>
      </c>
      <c r="F1231" s="9" t="s">
        <v>27</v>
      </c>
      <c r="G1231" s="9" t="s">
        <v>29</v>
      </c>
      <c r="H1231" s="9">
        <v>189</v>
      </c>
      <c r="I1231" s="5">
        <v>225</v>
      </c>
      <c r="J1231" s="5">
        <f t="shared" si="19"/>
        <v>42525</v>
      </c>
      <c r="K1231" s="9">
        <v>22</v>
      </c>
      <c r="L1231" s="9" t="s">
        <v>34</v>
      </c>
      <c r="M1231" s="9">
        <v>4</v>
      </c>
    </row>
    <row r="1232" spans="2:13" ht="15.6" thickTop="1" thickBot="1" x14ac:dyDescent="0.35">
      <c r="B1232" s="6">
        <v>1230</v>
      </c>
      <c r="C1232" s="7" t="s">
        <v>11</v>
      </c>
      <c r="D1232" s="18">
        <v>45398</v>
      </c>
      <c r="E1232" s="7" t="s">
        <v>16</v>
      </c>
      <c r="F1232" s="7" t="s">
        <v>26</v>
      </c>
      <c r="G1232" s="7" t="s">
        <v>30</v>
      </c>
      <c r="H1232" s="7">
        <v>98</v>
      </c>
      <c r="I1232" s="5">
        <v>225</v>
      </c>
      <c r="J1232" s="5">
        <f t="shared" si="19"/>
        <v>22050</v>
      </c>
      <c r="K1232" s="7">
        <v>19</v>
      </c>
      <c r="L1232" s="7" t="s">
        <v>35</v>
      </c>
      <c r="M1232" s="7"/>
    </row>
    <row r="1233" spans="2:13" ht="15.6" thickTop="1" thickBot="1" x14ac:dyDescent="0.35">
      <c r="B1233" s="8">
        <v>1231</v>
      </c>
      <c r="C1233" s="9" t="s">
        <v>10</v>
      </c>
      <c r="D1233" s="19">
        <v>45399</v>
      </c>
      <c r="E1233" s="9" t="s">
        <v>14</v>
      </c>
      <c r="F1233" s="9" t="s">
        <v>25</v>
      </c>
      <c r="G1233" s="9" t="s">
        <v>32</v>
      </c>
      <c r="H1233" s="9">
        <v>162</v>
      </c>
      <c r="I1233" s="5">
        <v>90</v>
      </c>
      <c r="J1233" s="5">
        <f t="shared" si="19"/>
        <v>14580</v>
      </c>
      <c r="K1233" s="9">
        <v>13</v>
      </c>
      <c r="L1233" s="9" t="s">
        <v>33</v>
      </c>
      <c r="M1233" s="9">
        <v>4</v>
      </c>
    </row>
    <row r="1234" spans="2:13" ht="15.6" thickTop="1" thickBot="1" x14ac:dyDescent="0.35">
      <c r="B1234" s="6">
        <v>1232</v>
      </c>
      <c r="C1234" s="7" t="s">
        <v>11</v>
      </c>
      <c r="D1234" s="18">
        <v>45400</v>
      </c>
      <c r="E1234" s="7" t="s">
        <v>14</v>
      </c>
      <c r="F1234" s="7" t="s">
        <v>25</v>
      </c>
      <c r="G1234" s="7" t="s">
        <v>30</v>
      </c>
      <c r="H1234" s="7">
        <v>56</v>
      </c>
      <c r="I1234" s="5">
        <v>45</v>
      </c>
      <c r="J1234" s="5">
        <f t="shared" si="19"/>
        <v>2520</v>
      </c>
      <c r="K1234" s="7">
        <v>20</v>
      </c>
      <c r="L1234" s="7" t="s">
        <v>35</v>
      </c>
      <c r="M1234" s="7">
        <v>4</v>
      </c>
    </row>
    <row r="1235" spans="2:13" ht="15.6" thickTop="1" thickBot="1" x14ac:dyDescent="0.35">
      <c r="B1235" s="8">
        <v>1233</v>
      </c>
      <c r="C1235" s="9" t="s">
        <v>10</v>
      </c>
      <c r="D1235" s="19">
        <v>45401</v>
      </c>
      <c r="E1235" s="9" t="s">
        <v>14</v>
      </c>
      <c r="F1235" s="9" t="s">
        <v>25</v>
      </c>
      <c r="G1235" s="9" t="s">
        <v>31</v>
      </c>
      <c r="H1235" s="9">
        <v>197</v>
      </c>
      <c r="I1235" s="5">
        <v>135</v>
      </c>
      <c r="J1235" s="5">
        <f t="shared" si="19"/>
        <v>26595</v>
      </c>
      <c r="K1235" s="9">
        <v>22</v>
      </c>
      <c r="L1235" s="9" t="s">
        <v>35</v>
      </c>
      <c r="M1235" s="9">
        <v>2</v>
      </c>
    </row>
    <row r="1236" spans="2:13" ht="15.6" thickTop="1" thickBot="1" x14ac:dyDescent="0.35">
      <c r="B1236" s="6">
        <v>1234</v>
      </c>
      <c r="C1236" s="7" t="s">
        <v>10</v>
      </c>
      <c r="D1236" s="18">
        <v>45402</v>
      </c>
      <c r="E1236" s="7" t="s">
        <v>20</v>
      </c>
      <c r="F1236" s="7" t="s">
        <v>20</v>
      </c>
      <c r="G1236" s="7" t="s">
        <v>28</v>
      </c>
      <c r="H1236" s="7">
        <v>38</v>
      </c>
      <c r="I1236" s="5">
        <v>180</v>
      </c>
      <c r="J1236" s="5">
        <f t="shared" si="19"/>
        <v>6840</v>
      </c>
      <c r="K1236" s="7">
        <v>12</v>
      </c>
      <c r="L1236" s="7" t="s">
        <v>34</v>
      </c>
      <c r="M1236" s="7"/>
    </row>
    <row r="1237" spans="2:13" ht="15.6" thickTop="1" thickBot="1" x14ac:dyDescent="0.35">
      <c r="B1237" s="8">
        <v>1235</v>
      </c>
      <c r="C1237" s="9" t="s">
        <v>11</v>
      </c>
      <c r="D1237" s="19">
        <v>45403</v>
      </c>
      <c r="E1237" s="9" t="s">
        <v>19</v>
      </c>
      <c r="F1237" s="9" t="s">
        <v>23</v>
      </c>
      <c r="G1237" s="9" t="s">
        <v>29</v>
      </c>
      <c r="H1237" s="9">
        <v>91</v>
      </c>
      <c r="I1237" s="5">
        <v>90</v>
      </c>
      <c r="J1237" s="5">
        <f t="shared" si="19"/>
        <v>8190</v>
      </c>
      <c r="K1237" s="9">
        <v>10</v>
      </c>
      <c r="L1237" s="9" t="s">
        <v>35</v>
      </c>
      <c r="M1237" s="9">
        <v>2</v>
      </c>
    </row>
    <row r="1238" spans="2:13" ht="15.6" thickTop="1" thickBot="1" x14ac:dyDescent="0.35">
      <c r="B1238" s="6">
        <v>1236</v>
      </c>
      <c r="C1238" s="7" t="s">
        <v>10</v>
      </c>
      <c r="D1238" s="18">
        <v>45404</v>
      </c>
      <c r="E1238" s="7" t="s">
        <v>14</v>
      </c>
      <c r="F1238" s="7" t="s">
        <v>25</v>
      </c>
      <c r="G1238" s="7" t="s">
        <v>30</v>
      </c>
      <c r="H1238" s="7">
        <v>245</v>
      </c>
      <c r="I1238" s="5">
        <v>180</v>
      </c>
      <c r="J1238" s="5">
        <f t="shared" si="19"/>
        <v>44100</v>
      </c>
      <c r="K1238" s="7">
        <v>19</v>
      </c>
      <c r="L1238" s="7" t="s">
        <v>35</v>
      </c>
      <c r="M1238" s="7"/>
    </row>
    <row r="1239" spans="2:13" ht="15.6" thickTop="1" thickBot="1" x14ac:dyDescent="0.35">
      <c r="B1239" s="8">
        <v>1237</v>
      </c>
      <c r="C1239" s="9" t="s">
        <v>10</v>
      </c>
      <c r="D1239" s="19">
        <v>45405</v>
      </c>
      <c r="E1239" s="9" t="s">
        <v>12</v>
      </c>
      <c r="F1239" s="9" t="s">
        <v>23</v>
      </c>
      <c r="G1239" s="9" t="s">
        <v>32</v>
      </c>
      <c r="H1239" s="9">
        <v>68</v>
      </c>
      <c r="I1239" s="5">
        <v>90</v>
      </c>
      <c r="J1239" s="5">
        <f t="shared" si="19"/>
        <v>6120</v>
      </c>
      <c r="K1239" s="9">
        <v>21</v>
      </c>
      <c r="L1239" s="9" t="s">
        <v>35</v>
      </c>
      <c r="M1239" s="9"/>
    </row>
    <row r="1240" spans="2:13" ht="15.6" thickTop="1" thickBot="1" x14ac:dyDescent="0.35">
      <c r="B1240" s="6">
        <v>1238</v>
      </c>
      <c r="C1240" s="7" t="s">
        <v>10</v>
      </c>
      <c r="D1240" s="18">
        <v>45406</v>
      </c>
      <c r="E1240" s="7" t="s">
        <v>19</v>
      </c>
      <c r="F1240" s="7" t="s">
        <v>23</v>
      </c>
      <c r="G1240" s="7" t="s">
        <v>31</v>
      </c>
      <c r="H1240" s="7">
        <v>194</v>
      </c>
      <c r="I1240" s="5">
        <v>45</v>
      </c>
      <c r="J1240" s="5">
        <f t="shared" si="19"/>
        <v>8730</v>
      </c>
      <c r="K1240" s="7">
        <v>16</v>
      </c>
      <c r="L1240" s="7" t="s">
        <v>35</v>
      </c>
      <c r="M1240" s="7">
        <v>3</v>
      </c>
    </row>
    <row r="1241" spans="2:13" ht="15.6" thickTop="1" thickBot="1" x14ac:dyDescent="0.35">
      <c r="B1241" s="8">
        <v>1239</v>
      </c>
      <c r="C1241" s="9" t="s">
        <v>11</v>
      </c>
      <c r="D1241" s="19">
        <v>45407</v>
      </c>
      <c r="E1241" s="9" t="s">
        <v>18</v>
      </c>
      <c r="F1241" s="9" t="s">
        <v>27</v>
      </c>
      <c r="G1241" s="9" t="s">
        <v>32</v>
      </c>
      <c r="H1241" s="9">
        <v>216</v>
      </c>
      <c r="I1241" s="5">
        <v>45</v>
      </c>
      <c r="J1241" s="5">
        <f t="shared" si="19"/>
        <v>9720</v>
      </c>
      <c r="K1241" s="9">
        <v>9</v>
      </c>
      <c r="L1241" s="9" t="s">
        <v>35</v>
      </c>
      <c r="M1241" s="9"/>
    </row>
    <row r="1242" spans="2:13" ht="15.6" thickTop="1" thickBot="1" x14ac:dyDescent="0.35">
      <c r="B1242" s="6">
        <v>1240</v>
      </c>
      <c r="C1242" s="7" t="s">
        <v>11</v>
      </c>
      <c r="D1242" s="18">
        <v>45408</v>
      </c>
      <c r="E1242" s="7" t="s">
        <v>13</v>
      </c>
      <c r="F1242" s="7" t="s">
        <v>24</v>
      </c>
      <c r="G1242" s="7" t="s">
        <v>29</v>
      </c>
      <c r="H1242" s="7">
        <v>42</v>
      </c>
      <c r="I1242" s="5">
        <v>45</v>
      </c>
      <c r="J1242" s="5">
        <f t="shared" si="19"/>
        <v>1890</v>
      </c>
      <c r="K1242" s="7">
        <v>17</v>
      </c>
      <c r="L1242" s="7" t="s">
        <v>34</v>
      </c>
      <c r="M1242" s="7">
        <v>4</v>
      </c>
    </row>
    <row r="1243" spans="2:13" ht="15.6" thickTop="1" thickBot="1" x14ac:dyDescent="0.35">
      <c r="B1243" s="8">
        <v>1241</v>
      </c>
      <c r="C1243" s="9" t="s">
        <v>10</v>
      </c>
      <c r="D1243" s="19">
        <v>45409</v>
      </c>
      <c r="E1243" s="9" t="s">
        <v>17</v>
      </c>
      <c r="F1243" s="9" t="s">
        <v>24</v>
      </c>
      <c r="G1243" s="9" t="s">
        <v>32</v>
      </c>
      <c r="H1243" s="9">
        <v>215</v>
      </c>
      <c r="I1243" s="5">
        <v>135</v>
      </c>
      <c r="J1243" s="5">
        <f t="shared" si="19"/>
        <v>29025</v>
      </c>
      <c r="K1243" s="9">
        <v>21</v>
      </c>
      <c r="L1243" s="9" t="s">
        <v>34</v>
      </c>
      <c r="M1243" s="9">
        <v>5</v>
      </c>
    </row>
    <row r="1244" spans="2:13" ht="15.6" thickTop="1" thickBot="1" x14ac:dyDescent="0.35">
      <c r="B1244" s="6">
        <v>1242</v>
      </c>
      <c r="C1244" s="7" t="s">
        <v>10</v>
      </c>
      <c r="D1244" s="18">
        <v>45410</v>
      </c>
      <c r="E1244" s="7" t="s">
        <v>22</v>
      </c>
      <c r="F1244" s="7" t="s">
        <v>25</v>
      </c>
      <c r="G1244" s="7" t="s">
        <v>29</v>
      </c>
      <c r="H1244" s="7">
        <v>64</v>
      </c>
      <c r="I1244" s="5">
        <v>135</v>
      </c>
      <c r="J1244" s="5">
        <f t="shared" si="19"/>
        <v>8640</v>
      </c>
      <c r="K1244" s="7">
        <v>12</v>
      </c>
      <c r="L1244" s="7" t="s">
        <v>34</v>
      </c>
      <c r="M1244" s="7">
        <v>3</v>
      </c>
    </row>
    <row r="1245" spans="2:13" ht="15.6" thickTop="1" thickBot="1" x14ac:dyDescent="0.35">
      <c r="B1245" s="8">
        <v>1243</v>
      </c>
      <c r="C1245" s="9" t="s">
        <v>11</v>
      </c>
      <c r="D1245" s="19">
        <v>45411</v>
      </c>
      <c r="E1245" s="9" t="s">
        <v>16</v>
      </c>
      <c r="F1245" s="9" t="s">
        <v>26</v>
      </c>
      <c r="G1245" s="9" t="s">
        <v>29</v>
      </c>
      <c r="H1245" s="9">
        <v>42</v>
      </c>
      <c r="I1245" s="5">
        <v>225</v>
      </c>
      <c r="J1245" s="5">
        <f t="shared" si="19"/>
        <v>9450</v>
      </c>
      <c r="K1245" s="9">
        <v>15</v>
      </c>
      <c r="L1245" s="9" t="s">
        <v>35</v>
      </c>
      <c r="M1245" s="9">
        <v>5</v>
      </c>
    </row>
    <row r="1246" spans="2:13" ht="15.6" thickTop="1" thickBot="1" x14ac:dyDescent="0.35">
      <c r="B1246" s="6">
        <v>1244</v>
      </c>
      <c r="C1246" s="7" t="s">
        <v>11</v>
      </c>
      <c r="D1246" s="18">
        <v>45412</v>
      </c>
      <c r="E1246" s="7" t="s">
        <v>17</v>
      </c>
      <c r="F1246" s="7" t="s">
        <v>24</v>
      </c>
      <c r="G1246" s="7" t="s">
        <v>29</v>
      </c>
      <c r="H1246" s="7">
        <v>198</v>
      </c>
      <c r="I1246" s="5">
        <v>135</v>
      </c>
      <c r="J1246" s="5">
        <f t="shared" si="19"/>
        <v>26730</v>
      </c>
      <c r="K1246" s="7">
        <v>9</v>
      </c>
      <c r="L1246" s="7" t="s">
        <v>35</v>
      </c>
      <c r="M1246" s="7">
        <v>4</v>
      </c>
    </row>
    <row r="1247" spans="2:13" ht="15.6" thickTop="1" thickBot="1" x14ac:dyDescent="0.35">
      <c r="B1247" s="8">
        <v>1245</v>
      </c>
      <c r="C1247" s="9" t="s">
        <v>11</v>
      </c>
      <c r="D1247" s="19">
        <v>45413</v>
      </c>
      <c r="E1247" s="9" t="s">
        <v>16</v>
      </c>
      <c r="F1247" s="9" t="s">
        <v>26</v>
      </c>
      <c r="G1247" s="9" t="s">
        <v>28</v>
      </c>
      <c r="H1247" s="9">
        <v>129</v>
      </c>
      <c r="I1247" s="5">
        <v>225</v>
      </c>
      <c r="J1247" s="5">
        <f t="shared" si="19"/>
        <v>29025</v>
      </c>
      <c r="K1247" s="9">
        <v>12</v>
      </c>
      <c r="L1247" s="9" t="s">
        <v>33</v>
      </c>
      <c r="M1247" s="9">
        <v>4</v>
      </c>
    </row>
    <row r="1248" spans="2:13" ht="15.6" thickTop="1" thickBot="1" x14ac:dyDescent="0.35">
      <c r="B1248" s="6">
        <v>1246</v>
      </c>
      <c r="C1248" s="7" t="s">
        <v>10</v>
      </c>
      <c r="D1248" s="18">
        <v>45414</v>
      </c>
      <c r="E1248" s="7" t="s">
        <v>12</v>
      </c>
      <c r="F1248" s="7" t="s">
        <v>23</v>
      </c>
      <c r="G1248" s="7" t="s">
        <v>31</v>
      </c>
      <c r="H1248" s="7">
        <v>216</v>
      </c>
      <c r="I1248" s="5">
        <v>180</v>
      </c>
      <c r="J1248" s="5">
        <f t="shared" si="19"/>
        <v>38880</v>
      </c>
      <c r="K1248" s="7">
        <v>12</v>
      </c>
      <c r="L1248" s="7" t="s">
        <v>34</v>
      </c>
      <c r="M1248" s="7"/>
    </row>
    <row r="1249" spans="2:13" ht="15.6" thickTop="1" thickBot="1" x14ac:dyDescent="0.35">
      <c r="B1249" s="8">
        <v>1247</v>
      </c>
      <c r="C1249" s="9" t="s">
        <v>10</v>
      </c>
      <c r="D1249" s="19">
        <v>45415</v>
      </c>
      <c r="E1249" s="9" t="s">
        <v>19</v>
      </c>
      <c r="F1249" s="9" t="s">
        <v>23</v>
      </c>
      <c r="G1249" s="9" t="s">
        <v>30</v>
      </c>
      <c r="H1249" s="9">
        <v>146</v>
      </c>
      <c r="I1249" s="5">
        <v>135</v>
      </c>
      <c r="J1249" s="5">
        <f t="shared" si="19"/>
        <v>19710</v>
      </c>
      <c r="K1249" s="9">
        <v>18</v>
      </c>
      <c r="L1249" s="9" t="s">
        <v>34</v>
      </c>
      <c r="M1249" s="9">
        <v>1</v>
      </c>
    </row>
    <row r="1250" spans="2:13" ht="15.6" thickTop="1" thickBot="1" x14ac:dyDescent="0.35">
      <c r="B1250" s="6">
        <v>1248</v>
      </c>
      <c r="C1250" s="7" t="s">
        <v>11</v>
      </c>
      <c r="D1250" s="18">
        <v>45416</v>
      </c>
      <c r="E1250" s="7" t="s">
        <v>21</v>
      </c>
      <c r="F1250" s="7" t="s">
        <v>26</v>
      </c>
      <c r="G1250" s="7" t="s">
        <v>28</v>
      </c>
      <c r="H1250" s="7">
        <v>90</v>
      </c>
      <c r="I1250" s="5">
        <v>45</v>
      </c>
      <c r="J1250" s="5">
        <f t="shared" si="19"/>
        <v>4050</v>
      </c>
      <c r="K1250" s="7">
        <v>19</v>
      </c>
      <c r="L1250" s="7" t="s">
        <v>34</v>
      </c>
      <c r="M1250" s="7">
        <v>3</v>
      </c>
    </row>
    <row r="1251" spans="2:13" ht="15.6" thickTop="1" thickBot="1" x14ac:dyDescent="0.35">
      <c r="B1251" s="8">
        <v>1249</v>
      </c>
      <c r="C1251" s="9" t="s">
        <v>10</v>
      </c>
      <c r="D1251" s="19">
        <v>45417</v>
      </c>
      <c r="E1251" s="9" t="s">
        <v>15</v>
      </c>
      <c r="F1251" s="9" t="s">
        <v>25</v>
      </c>
      <c r="G1251" s="9" t="s">
        <v>30</v>
      </c>
      <c r="H1251" s="9">
        <v>42</v>
      </c>
      <c r="I1251" s="5">
        <v>135</v>
      </c>
      <c r="J1251" s="5">
        <f t="shared" si="19"/>
        <v>5670</v>
      </c>
      <c r="K1251" s="9">
        <v>20</v>
      </c>
      <c r="L1251" s="9" t="s">
        <v>35</v>
      </c>
      <c r="M1251" s="9">
        <v>4</v>
      </c>
    </row>
    <row r="1252" spans="2:13" ht="15.6" thickTop="1" thickBot="1" x14ac:dyDescent="0.35">
      <c r="B1252" s="6">
        <v>1250</v>
      </c>
      <c r="C1252" s="7" t="s">
        <v>11</v>
      </c>
      <c r="D1252" s="18">
        <v>45418</v>
      </c>
      <c r="E1252" s="7" t="s">
        <v>13</v>
      </c>
      <c r="F1252" s="7" t="s">
        <v>24</v>
      </c>
      <c r="G1252" s="7" t="s">
        <v>28</v>
      </c>
      <c r="H1252" s="7">
        <v>58</v>
      </c>
      <c r="I1252" s="5">
        <v>225</v>
      </c>
      <c r="J1252" s="5">
        <f t="shared" si="19"/>
        <v>13050</v>
      </c>
      <c r="K1252" s="7">
        <v>16</v>
      </c>
      <c r="L1252" s="7" t="s">
        <v>34</v>
      </c>
      <c r="M1252" s="7"/>
    </row>
    <row r="1253" spans="2:13" ht="15.6" thickTop="1" thickBot="1" x14ac:dyDescent="0.35">
      <c r="B1253" s="8">
        <v>1251</v>
      </c>
      <c r="C1253" s="9" t="s">
        <v>11</v>
      </c>
      <c r="D1253" s="19">
        <v>45419</v>
      </c>
      <c r="E1253" s="9" t="s">
        <v>16</v>
      </c>
      <c r="F1253" s="9" t="s">
        <v>26</v>
      </c>
      <c r="G1253" s="9" t="s">
        <v>31</v>
      </c>
      <c r="H1253" s="9">
        <v>139</v>
      </c>
      <c r="I1253" s="5">
        <v>90</v>
      </c>
      <c r="J1253" s="5">
        <f t="shared" si="19"/>
        <v>12510</v>
      </c>
      <c r="K1253" s="9">
        <v>12</v>
      </c>
      <c r="L1253" s="9" t="s">
        <v>33</v>
      </c>
      <c r="M1253" s="9">
        <v>4</v>
      </c>
    </row>
    <row r="1254" spans="2:13" ht="15.6" thickTop="1" thickBot="1" x14ac:dyDescent="0.35">
      <c r="B1254" s="6">
        <v>1252</v>
      </c>
      <c r="C1254" s="7" t="s">
        <v>10</v>
      </c>
      <c r="D1254" s="18">
        <v>45420</v>
      </c>
      <c r="E1254" s="7" t="s">
        <v>21</v>
      </c>
      <c r="F1254" s="7" t="s">
        <v>26</v>
      </c>
      <c r="G1254" s="7" t="s">
        <v>32</v>
      </c>
      <c r="H1254" s="7">
        <v>250</v>
      </c>
      <c r="I1254" s="5">
        <v>45</v>
      </c>
      <c r="J1254" s="5">
        <f t="shared" si="19"/>
        <v>11250</v>
      </c>
      <c r="K1254" s="7">
        <v>12</v>
      </c>
      <c r="L1254" s="7" t="s">
        <v>33</v>
      </c>
      <c r="M1254" s="7"/>
    </row>
    <row r="1255" spans="2:13" ht="15.6" thickTop="1" thickBot="1" x14ac:dyDescent="0.35">
      <c r="B1255" s="8">
        <v>1253</v>
      </c>
      <c r="C1255" s="9" t="s">
        <v>10</v>
      </c>
      <c r="D1255" s="19">
        <v>45421</v>
      </c>
      <c r="E1255" s="9" t="s">
        <v>20</v>
      </c>
      <c r="F1255" s="9" t="s">
        <v>20</v>
      </c>
      <c r="G1255" s="9" t="s">
        <v>32</v>
      </c>
      <c r="H1255" s="9">
        <v>137</v>
      </c>
      <c r="I1255" s="5">
        <v>180</v>
      </c>
      <c r="J1255" s="5">
        <f t="shared" si="19"/>
        <v>24660</v>
      </c>
      <c r="K1255" s="9">
        <v>18</v>
      </c>
      <c r="L1255" s="9" t="s">
        <v>34</v>
      </c>
      <c r="M1255" s="9">
        <v>1</v>
      </c>
    </row>
    <row r="1256" spans="2:13" ht="15.6" thickTop="1" thickBot="1" x14ac:dyDescent="0.35">
      <c r="B1256" s="6">
        <v>1254</v>
      </c>
      <c r="C1256" s="7" t="s">
        <v>11</v>
      </c>
      <c r="D1256" s="18">
        <v>45422</v>
      </c>
      <c r="E1256" s="7" t="s">
        <v>15</v>
      </c>
      <c r="F1256" s="7" t="s">
        <v>25</v>
      </c>
      <c r="G1256" s="7" t="s">
        <v>29</v>
      </c>
      <c r="H1256" s="7">
        <v>83</v>
      </c>
      <c r="I1256" s="5">
        <v>90</v>
      </c>
      <c r="J1256" s="5">
        <f t="shared" si="19"/>
        <v>7470</v>
      </c>
      <c r="K1256" s="7">
        <v>11</v>
      </c>
      <c r="L1256" s="7" t="s">
        <v>35</v>
      </c>
      <c r="M1256" s="7">
        <v>3</v>
      </c>
    </row>
    <row r="1257" spans="2:13" ht="15.6" thickTop="1" thickBot="1" x14ac:dyDescent="0.35">
      <c r="B1257" s="8">
        <v>1255</v>
      </c>
      <c r="C1257" s="9" t="s">
        <v>11</v>
      </c>
      <c r="D1257" s="19">
        <v>45423</v>
      </c>
      <c r="E1257" s="9" t="s">
        <v>18</v>
      </c>
      <c r="F1257" s="9" t="s">
        <v>27</v>
      </c>
      <c r="G1257" s="9" t="s">
        <v>30</v>
      </c>
      <c r="H1257" s="9">
        <v>138</v>
      </c>
      <c r="I1257" s="5">
        <v>45</v>
      </c>
      <c r="J1257" s="5">
        <f t="shared" si="19"/>
        <v>6210</v>
      </c>
      <c r="K1257" s="9">
        <v>13</v>
      </c>
      <c r="L1257" s="9" t="s">
        <v>34</v>
      </c>
      <c r="M1257" s="9">
        <v>4</v>
      </c>
    </row>
    <row r="1258" spans="2:13" ht="15.6" thickTop="1" thickBot="1" x14ac:dyDescent="0.35">
      <c r="B1258" s="6">
        <v>1256</v>
      </c>
      <c r="C1258" s="7" t="s">
        <v>10</v>
      </c>
      <c r="D1258" s="18">
        <v>45424</v>
      </c>
      <c r="E1258" s="7" t="s">
        <v>16</v>
      </c>
      <c r="F1258" s="7" t="s">
        <v>26</v>
      </c>
      <c r="G1258" s="7" t="s">
        <v>28</v>
      </c>
      <c r="H1258" s="7">
        <v>56</v>
      </c>
      <c r="I1258" s="5">
        <v>180</v>
      </c>
      <c r="J1258" s="5">
        <f t="shared" si="19"/>
        <v>10080</v>
      </c>
      <c r="K1258" s="7">
        <v>17</v>
      </c>
      <c r="L1258" s="7" t="s">
        <v>34</v>
      </c>
      <c r="M1258" s="7">
        <v>4</v>
      </c>
    </row>
    <row r="1259" spans="2:13" ht="15.6" thickTop="1" thickBot="1" x14ac:dyDescent="0.35">
      <c r="B1259" s="8">
        <v>1257</v>
      </c>
      <c r="C1259" s="9" t="s">
        <v>11</v>
      </c>
      <c r="D1259" s="19">
        <v>45425</v>
      </c>
      <c r="E1259" s="9" t="s">
        <v>21</v>
      </c>
      <c r="F1259" s="9" t="s">
        <v>26</v>
      </c>
      <c r="G1259" s="9" t="s">
        <v>29</v>
      </c>
      <c r="H1259" s="9">
        <v>67</v>
      </c>
      <c r="I1259" s="5">
        <v>225</v>
      </c>
      <c r="J1259" s="5">
        <f t="shared" si="19"/>
        <v>15075</v>
      </c>
      <c r="K1259" s="9">
        <v>20</v>
      </c>
      <c r="L1259" s="9" t="s">
        <v>35</v>
      </c>
      <c r="M1259" s="9">
        <v>1</v>
      </c>
    </row>
    <row r="1260" spans="2:13" ht="15.6" thickTop="1" thickBot="1" x14ac:dyDescent="0.35">
      <c r="B1260" s="6">
        <v>1258</v>
      </c>
      <c r="C1260" s="7" t="s">
        <v>10</v>
      </c>
      <c r="D1260" s="18">
        <v>45426</v>
      </c>
      <c r="E1260" s="7" t="s">
        <v>12</v>
      </c>
      <c r="F1260" s="7" t="s">
        <v>23</v>
      </c>
      <c r="G1260" s="7" t="s">
        <v>28</v>
      </c>
      <c r="H1260" s="7">
        <v>228</v>
      </c>
      <c r="I1260" s="5">
        <v>90</v>
      </c>
      <c r="J1260" s="5">
        <f t="shared" si="19"/>
        <v>20520</v>
      </c>
      <c r="K1260" s="7">
        <v>23</v>
      </c>
      <c r="L1260" s="7" t="s">
        <v>33</v>
      </c>
      <c r="M1260" s="7">
        <v>3</v>
      </c>
    </row>
    <row r="1261" spans="2:13" ht="15.6" thickTop="1" thickBot="1" x14ac:dyDescent="0.35">
      <c r="B1261" s="8">
        <v>1259</v>
      </c>
      <c r="C1261" s="9" t="s">
        <v>10</v>
      </c>
      <c r="D1261" s="19">
        <v>45427</v>
      </c>
      <c r="E1261" s="9" t="s">
        <v>13</v>
      </c>
      <c r="F1261" s="9" t="s">
        <v>24</v>
      </c>
      <c r="G1261" s="9" t="s">
        <v>29</v>
      </c>
      <c r="H1261" s="9">
        <v>45</v>
      </c>
      <c r="I1261" s="5">
        <v>225</v>
      </c>
      <c r="J1261" s="5">
        <f t="shared" si="19"/>
        <v>10125</v>
      </c>
      <c r="K1261" s="9">
        <v>12</v>
      </c>
      <c r="L1261" s="9" t="s">
        <v>33</v>
      </c>
      <c r="M1261" s="9">
        <v>2</v>
      </c>
    </row>
    <row r="1262" spans="2:13" ht="15.6" thickTop="1" thickBot="1" x14ac:dyDescent="0.35">
      <c r="B1262" s="6">
        <v>1260</v>
      </c>
      <c r="C1262" s="7" t="s">
        <v>10</v>
      </c>
      <c r="D1262" s="18">
        <v>45428</v>
      </c>
      <c r="E1262" s="7" t="s">
        <v>17</v>
      </c>
      <c r="F1262" s="7" t="s">
        <v>24</v>
      </c>
      <c r="G1262" s="7" t="s">
        <v>28</v>
      </c>
      <c r="H1262" s="7">
        <v>203</v>
      </c>
      <c r="I1262" s="5">
        <v>180</v>
      </c>
      <c r="J1262" s="5">
        <f t="shared" si="19"/>
        <v>36540</v>
      </c>
      <c r="K1262" s="7">
        <v>14</v>
      </c>
      <c r="L1262" s="7" t="s">
        <v>35</v>
      </c>
      <c r="M1262" s="7">
        <v>2</v>
      </c>
    </row>
    <row r="1263" spans="2:13" ht="15.6" thickTop="1" thickBot="1" x14ac:dyDescent="0.35">
      <c r="B1263" s="8">
        <v>1261</v>
      </c>
      <c r="C1263" s="9" t="s">
        <v>11</v>
      </c>
      <c r="D1263" s="19">
        <v>45429</v>
      </c>
      <c r="E1263" s="9" t="s">
        <v>17</v>
      </c>
      <c r="F1263" s="9" t="s">
        <v>24</v>
      </c>
      <c r="G1263" s="9" t="s">
        <v>30</v>
      </c>
      <c r="H1263" s="9">
        <v>69</v>
      </c>
      <c r="I1263" s="5">
        <v>45</v>
      </c>
      <c r="J1263" s="5">
        <f t="shared" si="19"/>
        <v>3105</v>
      </c>
      <c r="K1263" s="9">
        <v>13</v>
      </c>
      <c r="L1263" s="9" t="s">
        <v>34</v>
      </c>
      <c r="M1263" s="9">
        <v>2</v>
      </c>
    </row>
    <row r="1264" spans="2:13" ht="15.6" thickTop="1" thickBot="1" x14ac:dyDescent="0.35">
      <c r="B1264" s="6">
        <v>1262</v>
      </c>
      <c r="C1264" s="7" t="s">
        <v>11</v>
      </c>
      <c r="D1264" s="18">
        <v>45430</v>
      </c>
      <c r="E1264" s="7" t="s">
        <v>17</v>
      </c>
      <c r="F1264" s="7" t="s">
        <v>24</v>
      </c>
      <c r="G1264" s="7" t="s">
        <v>30</v>
      </c>
      <c r="H1264" s="7">
        <v>97</v>
      </c>
      <c r="I1264" s="5">
        <v>90</v>
      </c>
      <c r="J1264" s="5">
        <f t="shared" si="19"/>
        <v>8730</v>
      </c>
      <c r="K1264" s="7">
        <v>10</v>
      </c>
      <c r="L1264" s="7" t="s">
        <v>34</v>
      </c>
      <c r="M1264" s="7">
        <v>3</v>
      </c>
    </row>
    <row r="1265" spans="2:13" ht="15.6" thickTop="1" thickBot="1" x14ac:dyDescent="0.35">
      <c r="B1265" s="8">
        <v>1263</v>
      </c>
      <c r="C1265" s="9" t="s">
        <v>11</v>
      </c>
      <c r="D1265" s="19">
        <v>45431</v>
      </c>
      <c r="E1265" s="9" t="s">
        <v>18</v>
      </c>
      <c r="F1265" s="9" t="s">
        <v>27</v>
      </c>
      <c r="G1265" s="9" t="s">
        <v>30</v>
      </c>
      <c r="H1265" s="9">
        <v>62</v>
      </c>
      <c r="I1265" s="5">
        <v>90</v>
      </c>
      <c r="J1265" s="5">
        <f t="shared" si="19"/>
        <v>5580</v>
      </c>
      <c r="K1265" s="9">
        <v>9</v>
      </c>
      <c r="L1265" s="9" t="s">
        <v>35</v>
      </c>
      <c r="M1265" s="9">
        <v>1</v>
      </c>
    </row>
    <row r="1266" spans="2:13" ht="15.6" thickTop="1" thickBot="1" x14ac:dyDescent="0.35">
      <c r="B1266" s="6">
        <v>1264</v>
      </c>
      <c r="C1266" s="7" t="s">
        <v>10</v>
      </c>
      <c r="D1266" s="18">
        <v>45432</v>
      </c>
      <c r="E1266" s="7" t="s">
        <v>13</v>
      </c>
      <c r="F1266" s="7" t="s">
        <v>24</v>
      </c>
      <c r="G1266" s="7" t="s">
        <v>28</v>
      </c>
      <c r="H1266" s="7">
        <v>199</v>
      </c>
      <c r="I1266" s="5">
        <v>45</v>
      </c>
      <c r="J1266" s="5">
        <f t="shared" si="19"/>
        <v>8955</v>
      </c>
      <c r="K1266" s="7">
        <v>19</v>
      </c>
      <c r="L1266" s="7" t="s">
        <v>34</v>
      </c>
      <c r="M1266" s="7"/>
    </row>
    <row r="1267" spans="2:13" ht="15.6" thickTop="1" thickBot="1" x14ac:dyDescent="0.35">
      <c r="B1267" s="8">
        <v>1265</v>
      </c>
      <c r="C1267" s="9" t="s">
        <v>11</v>
      </c>
      <c r="D1267" s="19">
        <v>45433</v>
      </c>
      <c r="E1267" s="9" t="s">
        <v>14</v>
      </c>
      <c r="F1267" s="9" t="s">
        <v>25</v>
      </c>
      <c r="G1267" s="9" t="s">
        <v>29</v>
      </c>
      <c r="H1267" s="9">
        <v>81</v>
      </c>
      <c r="I1267" s="5">
        <v>225</v>
      </c>
      <c r="J1267" s="5">
        <f t="shared" si="19"/>
        <v>18225</v>
      </c>
      <c r="K1267" s="9">
        <v>7</v>
      </c>
      <c r="L1267" s="9" t="s">
        <v>33</v>
      </c>
      <c r="M1267" s="9">
        <v>1</v>
      </c>
    </row>
    <row r="1268" spans="2:13" ht="15.6" thickTop="1" thickBot="1" x14ac:dyDescent="0.35">
      <c r="B1268" s="6">
        <v>1266</v>
      </c>
      <c r="C1268" s="7" t="s">
        <v>11</v>
      </c>
      <c r="D1268" s="18">
        <v>45434</v>
      </c>
      <c r="E1268" s="7" t="s">
        <v>21</v>
      </c>
      <c r="F1268" s="7" t="s">
        <v>26</v>
      </c>
      <c r="G1268" s="7" t="s">
        <v>28</v>
      </c>
      <c r="H1268" s="7">
        <v>196</v>
      </c>
      <c r="I1268" s="5">
        <v>225</v>
      </c>
      <c r="J1268" s="5">
        <f t="shared" si="19"/>
        <v>44100</v>
      </c>
      <c r="K1268" s="7">
        <v>13</v>
      </c>
      <c r="L1268" s="7" t="s">
        <v>34</v>
      </c>
      <c r="M1268" s="7">
        <v>1</v>
      </c>
    </row>
    <row r="1269" spans="2:13" ht="15.6" thickTop="1" thickBot="1" x14ac:dyDescent="0.35">
      <c r="B1269" s="8">
        <v>1267</v>
      </c>
      <c r="C1269" s="9" t="s">
        <v>10</v>
      </c>
      <c r="D1269" s="19">
        <v>45435</v>
      </c>
      <c r="E1269" s="9" t="s">
        <v>14</v>
      </c>
      <c r="F1269" s="9" t="s">
        <v>25</v>
      </c>
      <c r="G1269" s="9" t="s">
        <v>28</v>
      </c>
      <c r="H1269" s="9">
        <v>179</v>
      </c>
      <c r="I1269" s="5">
        <v>180</v>
      </c>
      <c r="J1269" s="5">
        <f t="shared" si="19"/>
        <v>32220</v>
      </c>
      <c r="K1269" s="9">
        <v>11</v>
      </c>
      <c r="L1269" s="9" t="s">
        <v>33</v>
      </c>
      <c r="M1269" s="9">
        <v>1</v>
      </c>
    </row>
    <row r="1270" spans="2:13" ht="15.6" thickTop="1" thickBot="1" x14ac:dyDescent="0.35">
      <c r="B1270" s="6">
        <v>1268</v>
      </c>
      <c r="C1270" s="7" t="s">
        <v>10</v>
      </c>
      <c r="D1270" s="18">
        <v>45436</v>
      </c>
      <c r="E1270" s="7" t="s">
        <v>14</v>
      </c>
      <c r="F1270" s="7" t="s">
        <v>25</v>
      </c>
      <c r="G1270" s="7" t="s">
        <v>31</v>
      </c>
      <c r="H1270" s="7">
        <v>93</v>
      </c>
      <c r="I1270" s="5">
        <v>135</v>
      </c>
      <c r="J1270" s="5">
        <f t="shared" si="19"/>
        <v>12555</v>
      </c>
      <c r="K1270" s="7">
        <v>21</v>
      </c>
      <c r="L1270" s="7" t="s">
        <v>34</v>
      </c>
      <c r="M1270" s="7">
        <v>5</v>
      </c>
    </row>
    <row r="1271" spans="2:13" ht="15.6" thickTop="1" thickBot="1" x14ac:dyDescent="0.35">
      <c r="B1271" s="8">
        <v>1269</v>
      </c>
      <c r="C1271" s="9" t="s">
        <v>10</v>
      </c>
      <c r="D1271" s="19">
        <v>45437</v>
      </c>
      <c r="E1271" s="9" t="s">
        <v>14</v>
      </c>
      <c r="F1271" s="9" t="s">
        <v>25</v>
      </c>
      <c r="G1271" s="9" t="s">
        <v>29</v>
      </c>
      <c r="H1271" s="9">
        <v>37</v>
      </c>
      <c r="I1271" s="5">
        <v>225</v>
      </c>
      <c r="J1271" s="5">
        <f t="shared" si="19"/>
        <v>8325</v>
      </c>
      <c r="K1271" s="9">
        <v>25</v>
      </c>
      <c r="L1271" s="9" t="s">
        <v>35</v>
      </c>
      <c r="M1271" s="9">
        <v>5</v>
      </c>
    </row>
    <row r="1272" spans="2:13" ht="15.6" thickTop="1" thickBot="1" x14ac:dyDescent="0.35">
      <c r="B1272" s="6">
        <v>1270</v>
      </c>
      <c r="C1272" s="7" t="s">
        <v>10</v>
      </c>
      <c r="D1272" s="18">
        <v>45438</v>
      </c>
      <c r="E1272" s="7" t="s">
        <v>22</v>
      </c>
      <c r="F1272" s="7" t="s">
        <v>25</v>
      </c>
      <c r="G1272" s="7" t="s">
        <v>32</v>
      </c>
      <c r="H1272" s="7">
        <v>43</v>
      </c>
      <c r="I1272" s="5">
        <v>90</v>
      </c>
      <c r="J1272" s="5">
        <f t="shared" si="19"/>
        <v>3870</v>
      </c>
      <c r="K1272" s="7">
        <v>13</v>
      </c>
      <c r="L1272" s="7" t="s">
        <v>35</v>
      </c>
      <c r="M1272" s="7">
        <v>1</v>
      </c>
    </row>
    <row r="1273" spans="2:13" ht="15.6" thickTop="1" thickBot="1" x14ac:dyDescent="0.35">
      <c r="B1273" s="8">
        <v>1271</v>
      </c>
      <c r="C1273" s="9" t="s">
        <v>11</v>
      </c>
      <c r="D1273" s="19">
        <v>45439</v>
      </c>
      <c r="E1273" s="9" t="s">
        <v>20</v>
      </c>
      <c r="F1273" s="9" t="s">
        <v>20</v>
      </c>
      <c r="G1273" s="9" t="s">
        <v>31</v>
      </c>
      <c r="H1273" s="9">
        <v>219</v>
      </c>
      <c r="I1273" s="5">
        <v>135</v>
      </c>
      <c r="J1273" s="5">
        <f t="shared" si="19"/>
        <v>29565</v>
      </c>
      <c r="K1273" s="9">
        <v>15</v>
      </c>
      <c r="L1273" s="9" t="s">
        <v>33</v>
      </c>
      <c r="M1273" s="9">
        <v>2</v>
      </c>
    </row>
    <row r="1274" spans="2:13" ht="15.6" thickTop="1" thickBot="1" x14ac:dyDescent="0.35">
      <c r="B1274" s="6">
        <v>1272</v>
      </c>
      <c r="C1274" s="7" t="s">
        <v>10</v>
      </c>
      <c r="D1274" s="18">
        <v>45440</v>
      </c>
      <c r="E1274" s="7" t="s">
        <v>12</v>
      </c>
      <c r="F1274" s="7" t="s">
        <v>23</v>
      </c>
      <c r="G1274" s="7" t="s">
        <v>31</v>
      </c>
      <c r="H1274" s="7">
        <v>217</v>
      </c>
      <c r="I1274" s="5">
        <v>90</v>
      </c>
      <c r="J1274" s="5">
        <f t="shared" si="19"/>
        <v>19530</v>
      </c>
      <c r="K1274" s="7">
        <v>12</v>
      </c>
      <c r="L1274" s="7" t="s">
        <v>35</v>
      </c>
      <c r="M1274" s="7">
        <v>1</v>
      </c>
    </row>
    <row r="1275" spans="2:13" ht="15.6" thickTop="1" thickBot="1" x14ac:dyDescent="0.35">
      <c r="B1275" s="8">
        <v>1273</v>
      </c>
      <c r="C1275" s="9" t="s">
        <v>10</v>
      </c>
      <c r="D1275" s="19">
        <v>45441</v>
      </c>
      <c r="E1275" s="9" t="s">
        <v>16</v>
      </c>
      <c r="F1275" s="9" t="s">
        <v>26</v>
      </c>
      <c r="G1275" s="9" t="s">
        <v>32</v>
      </c>
      <c r="H1275" s="9">
        <v>63</v>
      </c>
      <c r="I1275" s="5">
        <v>225</v>
      </c>
      <c r="J1275" s="5">
        <f t="shared" si="19"/>
        <v>14175</v>
      </c>
      <c r="K1275" s="9">
        <v>17</v>
      </c>
      <c r="L1275" s="9" t="s">
        <v>35</v>
      </c>
      <c r="M1275" s="9">
        <v>5</v>
      </c>
    </row>
    <row r="1276" spans="2:13" ht="15.6" thickTop="1" thickBot="1" x14ac:dyDescent="0.35">
      <c r="B1276" s="6">
        <v>1274</v>
      </c>
      <c r="C1276" s="7" t="s">
        <v>11</v>
      </c>
      <c r="D1276" s="18">
        <v>45442</v>
      </c>
      <c r="E1276" s="7" t="s">
        <v>22</v>
      </c>
      <c r="F1276" s="7" t="s">
        <v>25</v>
      </c>
      <c r="G1276" s="7" t="s">
        <v>30</v>
      </c>
      <c r="H1276" s="7">
        <v>46</v>
      </c>
      <c r="I1276" s="5">
        <v>90</v>
      </c>
      <c r="J1276" s="5">
        <f t="shared" si="19"/>
        <v>4140</v>
      </c>
      <c r="K1276" s="7">
        <v>11</v>
      </c>
      <c r="L1276" s="7" t="s">
        <v>33</v>
      </c>
      <c r="M1276" s="7">
        <v>5</v>
      </c>
    </row>
    <row r="1277" spans="2:13" ht="15.6" thickTop="1" thickBot="1" x14ac:dyDescent="0.35">
      <c r="B1277" s="8">
        <v>1275</v>
      </c>
      <c r="C1277" s="9" t="s">
        <v>10</v>
      </c>
      <c r="D1277" s="19">
        <v>45443</v>
      </c>
      <c r="E1277" s="9" t="s">
        <v>22</v>
      </c>
      <c r="F1277" s="9" t="s">
        <v>25</v>
      </c>
      <c r="G1277" s="9" t="s">
        <v>32</v>
      </c>
      <c r="H1277" s="9">
        <v>62</v>
      </c>
      <c r="I1277" s="5">
        <v>180</v>
      </c>
      <c r="J1277" s="5">
        <f t="shared" si="19"/>
        <v>11160</v>
      </c>
      <c r="K1277" s="9">
        <v>14</v>
      </c>
      <c r="L1277" s="9" t="s">
        <v>33</v>
      </c>
      <c r="M1277" s="9"/>
    </row>
    <row r="1278" spans="2:13" ht="15.6" thickTop="1" thickBot="1" x14ac:dyDescent="0.35">
      <c r="B1278" s="6">
        <v>1276</v>
      </c>
      <c r="C1278" s="7" t="s">
        <v>10</v>
      </c>
      <c r="D1278" s="18">
        <v>45444</v>
      </c>
      <c r="E1278" s="7" t="s">
        <v>18</v>
      </c>
      <c r="F1278" s="7" t="s">
        <v>27</v>
      </c>
      <c r="G1278" s="7" t="s">
        <v>28</v>
      </c>
      <c r="H1278" s="7">
        <v>123</v>
      </c>
      <c r="I1278" s="5">
        <v>45</v>
      </c>
      <c r="J1278" s="5">
        <f t="shared" si="19"/>
        <v>5535</v>
      </c>
      <c r="K1278" s="7">
        <v>10</v>
      </c>
      <c r="L1278" s="7" t="s">
        <v>35</v>
      </c>
      <c r="M1278" s="7">
        <v>5</v>
      </c>
    </row>
    <row r="1279" spans="2:13" ht="15.6" thickTop="1" thickBot="1" x14ac:dyDescent="0.35">
      <c r="B1279" s="8">
        <v>1277</v>
      </c>
      <c r="C1279" s="9" t="s">
        <v>11</v>
      </c>
      <c r="D1279" s="19">
        <v>45445</v>
      </c>
      <c r="E1279" s="9" t="s">
        <v>16</v>
      </c>
      <c r="F1279" s="9" t="s">
        <v>26</v>
      </c>
      <c r="G1279" s="9" t="s">
        <v>31</v>
      </c>
      <c r="H1279" s="9">
        <v>54</v>
      </c>
      <c r="I1279" s="5">
        <v>45</v>
      </c>
      <c r="J1279" s="5">
        <f t="shared" si="19"/>
        <v>2430</v>
      </c>
      <c r="K1279" s="9">
        <v>13</v>
      </c>
      <c r="L1279" s="9" t="s">
        <v>33</v>
      </c>
      <c r="M1279" s="9">
        <v>4</v>
      </c>
    </row>
    <row r="1280" spans="2:13" ht="15.6" thickTop="1" thickBot="1" x14ac:dyDescent="0.35">
      <c r="B1280" s="6">
        <v>1278</v>
      </c>
      <c r="C1280" s="7" t="s">
        <v>10</v>
      </c>
      <c r="D1280" s="18">
        <v>45446</v>
      </c>
      <c r="E1280" s="7" t="s">
        <v>19</v>
      </c>
      <c r="F1280" s="7" t="s">
        <v>23</v>
      </c>
      <c r="G1280" s="7" t="s">
        <v>29</v>
      </c>
      <c r="H1280" s="7">
        <v>85</v>
      </c>
      <c r="I1280" s="5">
        <v>90</v>
      </c>
      <c r="J1280" s="5">
        <f t="shared" si="19"/>
        <v>7650</v>
      </c>
      <c r="K1280" s="7">
        <v>12</v>
      </c>
      <c r="L1280" s="7" t="s">
        <v>35</v>
      </c>
      <c r="M1280" s="7">
        <v>5</v>
      </c>
    </row>
    <row r="1281" spans="2:13" ht="15.6" thickTop="1" thickBot="1" x14ac:dyDescent="0.35">
      <c r="B1281" s="8">
        <v>1279</v>
      </c>
      <c r="C1281" s="9" t="s">
        <v>11</v>
      </c>
      <c r="D1281" s="19">
        <v>45447</v>
      </c>
      <c r="E1281" s="9" t="s">
        <v>18</v>
      </c>
      <c r="F1281" s="9" t="s">
        <v>27</v>
      </c>
      <c r="G1281" s="9" t="s">
        <v>29</v>
      </c>
      <c r="H1281" s="9">
        <v>125</v>
      </c>
      <c r="I1281" s="5">
        <v>180</v>
      </c>
      <c r="J1281" s="5">
        <f t="shared" si="19"/>
        <v>22500</v>
      </c>
      <c r="K1281" s="9">
        <v>16</v>
      </c>
      <c r="L1281" s="9" t="s">
        <v>34</v>
      </c>
      <c r="M1281" s="9">
        <v>2</v>
      </c>
    </row>
    <row r="1282" spans="2:13" ht="15.6" thickTop="1" thickBot="1" x14ac:dyDescent="0.35">
      <c r="B1282" s="6">
        <v>1280</v>
      </c>
      <c r="C1282" s="7" t="s">
        <v>10</v>
      </c>
      <c r="D1282" s="18">
        <v>45448</v>
      </c>
      <c r="E1282" s="7" t="s">
        <v>14</v>
      </c>
      <c r="F1282" s="7" t="s">
        <v>25</v>
      </c>
      <c r="G1282" s="7" t="s">
        <v>28</v>
      </c>
      <c r="H1282" s="7">
        <v>229</v>
      </c>
      <c r="I1282" s="5">
        <v>90</v>
      </c>
      <c r="J1282" s="5">
        <f t="shared" si="19"/>
        <v>20610</v>
      </c>
      <c r="K1282" s="7">
        <v>12</v>
      </c>
      <c r="L1282" s="7" t="s">
        <v>34</v>
      </c>
      <c r="M1282" s="7"/>
    </row>
    <row r="1283" spans="2:13" ht="15.6" thickTop="1" thickBot="1" x14ac:dyDescent="0.35">
      <c r="B1283" s="8">
        <v>1281</v>
      </c>
      <c r="C1283" s="9" t="s">
        <v>10</v>
      </c>
      <c r="D1283" s="19">
        <v>45449</v>
      </c>
      <c r="E1283" s="9" t="s">
        <v>15</v>
      </c>
      <c r="F1283" s="9" t="s">
        <v>25</v>
      </c>
      <c r="G1283" s="9" t="s">
        <v>30</v>
      </c>
      <c r="H1283" s="9">
        <v>70</v>
      </c>
      <c r="I1283" s="5">
        <v>90</v>
      </c>
      <c r="J1283" s="5">
        <f t="shared" si="19"/>
        <v>6300</v>
      </c>
      <c r="K1283" s="9">
        <v>14</v>
      </c>
      <c r="L1283" s="9" t="s">
        <v>33</v>
      </c>
      <c r="M1283" s="9">
        <v>5</v>
      </c>
    </row>
    <row r="1284" spans="2:13" ht="15.6" thickTop="1" thickBot="1" x14ac:dyDescent="0.35">
      <c r="B1284" s="6">
        <v>1282</v>
      </c>
      <c r="C1284" s="7" t="s">
        <v>10</v>
      </c>
      <c r="D1284" s="18">
        <v>45450</v>
      </c>
      <c r="E1284" s="7" t="s">
        <v>15</v>
      </c>
      <c r="F1284" s="7" t="s">
        <v>25</v>
      </c>
      <c r="G1284" s="7" t="s">
        <v>30</v>
      </c>
      <c r="H1284" s="7">
        <v>141</v>
      </c>
      <c r="I1284" s="5">
        <v>180</v>
      </c>
      <c r="J1284" s="5">
        <f t="shared" ref="J1284:J1347" si="20">H1284*I1284</f>
        <v>25380</v>
      </c>
      <c r="K1284" s="7">
        <v>10</v>
      </c>
      <c r="L1284" s="7" t="s">
        <v>33</v>
      </c>
      <c r="M1284" s="7">
        <v>5</v>
      </c>
    </row>
    <row r="1285" spans="2:13" ht="15.6" thickTop="1" thickBot="1" x14ac:dyDescent="0.35">
      <c r="B1285" s="8">
        <v>1283</v>
      </c>
      <c r="C1285" s="9" t="s">
        <v>10</v>
      </c>
      <c r="D1285" s="19">
        <v>45451</v>
      </c>
      <c r="E1285" s="9" t="s">
        <v>12</v>
      </c>
      <c r="F1285" s="9" t="s">
        <v>23</v>
      </c>
      <c r="G1285" s="9" t="s">
        <v>32</v>
      </c>
      <c r="H1285" s="9">
        <v>135</v>
      </c>
      <c r="I1285" s="5">
        <v>180</v>
      </c>
      <c r="J1285" s="5">
        <f t="shared" si="20"/>
        <v>24300</v>
      </c>
      <c r="K1285" s="9">
        <v>23</v>
      </c>
      <c r="L1285" s="9" t="s">
        <v>35</v>
      </c>
      <c r="M1285" s="9"/>
    </row>
    <row r="1286" spans="2:13" ht="15.6" thickTop="1" thickBot="1" x14ac:dyDescent="0.35">
      <c r="B1286" s="6">
        <v>1284</v>
      </c>
      <c r="C1286" s="7" t="s">
        <v>10</v>
      </c>
      <c r="D1286" s="18">
        <v>45452</v>
      </c>
      <c r="E1286" s="7" t="s">
        <v>17</v>
      </c>
      <c r="F1286" s="7" t="s">
        <v>24</v>
      </c>
      <c r="G1286" s="7" t="s">
        <v>28</v>
      </c>
      <c r="H1286" s="7">
        <v>149</v>
      </c>
      <c r="I1286" s="5">
        <v>135</v>
      </c>
      <c r="J1286" s="5">
        <f t="shared" si="20"/>
        <v>20115</v>
      </c>
      <c r="K1286" s="7">
        <v>14</v>
      </c>
      <c r="L1286" s="7" t="s">
        <v>34</v>
      </c>
      <c r="M1286" s="7">
        <v>3</v>
      </c>
    </row>
    <row r="1287" spans="2:13" ht="15.6" thickTop="1" thickBot="1" x14ac:dyDescent="0.35">
      <c r="B1287" s="8">
        <v>1285</v>
      </c>
      <c r="C1287" s="9" t="s">
        <v>11</v>
      </c>
      <c r="D1287" s="19">
        <v>45453</v>
      </c>
      <c r="E1287" s="9" t="s">
        <v>15</v>
      </c>
      <c r="F1287" s="9" t="s">
        <v>25</v>
      </c>
      <c r="G1287" s="9" t="s">
        <v>29</v>
      </c>
      <c r="H1287" s="9">
        <v>58</v>
      </c>
      <c r="I1287" s="5">
        <v>135</v>
      </c>
      <c r="J1287" s="5">
        <f t="shared" si="20"/>
        <v>7830</v>
      </c>
      <c r="K1287" s="9">
        <v>20</v>
      </c>
      <c r="L1287" s="9" t="s">
        <v>35</v>
      </c>
      <c r="M1287" s="9">
        <v>4</v>
      </c>
    </row>
    <row r="1288" spans="2:13" ht="15.6" thickTop="1" thickBot="1" x14ac:dyDescent="0.35">
      <c r="B1288" s="6">
        <v>1286</v>
      </c>
      <c r="C1288" s="7" t="s">
        <v>10</v>
      </c>
      <c r="D1288" s="18">
        <v>45454</v>
      </c>
      <c r="E1288" s="7" t="s">
        <v>13</v>
      </c>
      <c r="F1288" s="7" t="s">
        <v>24</v>
      </c>
      <c r="G1288" s="7" t="s">
        <v>30</v>
      </c>
      <c r="H1288" s="7">
        <v>227</v>
      </c>
      <c r="I1288" s="5">
        <v>45</v>
      </c>
      <c r="J1288" s="5">
        <f t="shared" si="20"/>
        <v>10215</v>
      </c>
      <c r="K1288" s="7">
        <v>19</v>
      </c>
      <c r="L1288" s="7" t="s">
        <v>33</v>
      </c>
      <c r="M1288" s="7">
        <v>3</v>
      </c>
    </row>
    <row r="1289" spans="2:13" ht="15.6" thickTop="1" thickBot="1" x14ac:dyDescent="0.35">
      <c r="B1289" s="8">
        <v>1287</v>
      </c>
      <c r="C1289" s="9" t="s">
        <v>10</v>
      </c>
      <c r="D1289" s="19">
        <v>45455</v>
      </c>
      <c r="E1289" s="9" t="s">
        <v>12</v>
      </c>
      <c r="F1289" s="9" t="s">
        <v>23</v>
      </c>
      <c r="G1289" s="9" t="s">
        <v>30</v>
      </c>
      <c r="H1289" s="9">
        <v>141</v>
      </c>
      <c r="I1289" s="5">
        <v>135</v>
      </c>
      <c r="J1289" s="5">
        <f t="shared" si="20"/>
        <v>19035</v>
      </c>
      <c r="K1289" s="9">
        <v>12</v>
      </c>
      <c r="L1289" s="9" t="s">
        <v>35</v>
      </c>
      <c r="M1289" s="9">
        <v>4</v>
      </c>
    </row>
    <row r="1290" spans="2:13" ht="15.6" thickTop="1" thickBot="1" x14ac:dyDescent="0.35">
      <c r="B1290" s="6">
        <v>1288</v>
      </c>
      <c r="C1290" s="7" t="s">
        <v>11</v>
      </c>
      <c r="D1290" s="18">
        <v>45456</v>
      </c>
      <c r="E1290" s="7" t="s">
        <v>12</v>
      </c>
      <c r="F1290" s="7" t="s">
        <v>23</v>
      </c>
      <c r="G1290" s="7" t="s">
        <v>28</v>
      </c>
      <c r="H1290" s="7">
        <v>81</v>
      </c>
      <c r="I1290" s="5">
        <v>45</v>
      </c>
      <c r="J1290" s="5">
        <f t="shared" si="20"/>
        <v>3645</v>
      </c>
      <c r="K1290" s="7">
        <v>19</v>
      </c>
      <c r="L1290" s="7" t="s">
        <v>34</v>
      </c>
      <c r="M1290" s="7">
        <v>5</v>
      </c>
    </row>
    <row r="1291" spans="2:13" ht="15.6" thickTop="1" thickBot="1" x14ac:dyDescent="0.35">
      <c r="B1291" s="8">
        <v>1289</v>
      </c>
      <c r="C1291" s="9" t="s">
        <v>10</v>
      </c>
      <c r="D1291" s="19">
        <v>45457</v>
      </c>
      <c r="E1291" s="9" t="s">
        <v>15</v>
      </c>
      <c r="F1291" s="9" t="s">
        <v>25</v>
      </c>
      <c r="G1291" s="9" t="s">
        <v>28</v>
      </c>
      <c r="H1291" s="9">
        <v>134</v>
      </c>
      <c r="I1291" s="5">
        <v>45</v>
      </c>
      <c r="J1291" s="5">
        <f t="shared" si="20"/>
        <v>6030</v>
      </c>
      <c r="K1291" s="9">
        <v>24</v>
      </c>
      <c r="L1291" s="9" t="s">
        <v>33</v>
      </c>
      <c r="M1291" s="9">
        <v>3</v>
      </c>
    </row>
    <row r="1292" spans="2:13" ht="15.6" thickTop="1" thickBot="1" x14ac:dyDescent="0.35">
      <c r="B1292" s="6">
        <v>1290</v>
      </c>
      <c r="C1292" s="7" t="s">
        <v>10</v>
      </c>
      <c r="D1292" s="18">
        <v>45458</v>
      </c>
      <c r="E1292" s="7" t="s">
        <v>15</v>
      </c>
      <c r="F1292" s="7" t="s">
        <v>25</v>
      </c>
      <c r="G1292" s="7" t="s">
        <v>31</v>
      </c>
      <c r="H1292" s="7">
        <v>69</v>
      </c>
      <c r="I1292" s="5">
        <v>45</v>
      </c>
      <c r="J1292" s="5">
        <f t="shared" si="20"/>
        <v>3105</v>
      </c>
      <c r="K1292" s="7">
        <v>24</v>
      </c>
      <c r="L1292" s="7" t="s">
        <v>35</v>
      </c>
      <c r="M1292" s="7">
        <v>5</v>
      </c>
    </row>
    <row r="1293" spans="2:13" ht="15.6" thickTop="1" thickBot="1" x14ac:dyDescent="0.35">
      <c r="B1293" s="8">
        <v>1291</v>
      </c>
      <c r="C1293" s="9" t="s">
        <v>10</v>
      </c>
      <c r="D1293" s="19">
        <v>45459</v>
      </c>
      <c r="E1293" s="9" t="s">
        <v>18</v>
      </c>
      <c r="F1293" s="9" t="s">
        <v>27</v>
      </c>
      <c r="G1293" s="9" t="s">
        <v>32</v>
      </c>
      <c r="H1293" s="9">
        <v>183</v>
      </c>
      <c r="I1293" s="5">
        <v>45</v>
      </c>
      <c r="J1293" s="5">
        <f t="shared" si="20"/>
        <v>8235</v>
      </c>
      <c r="K1293" s="9">
        <v>21</v>
      </c>
      <c r="L1293" s="9" t="s">
        <v>33</v>
      </c>
      <c r="M1293" s="9">
        <v>4</v>
      </c>
    </row>
    <row r="1294" spans="2:13" ht="15.6" thickTop="1" thickBot="1" x14ac:dyDescent="0.35">
      <c r="B1294" s="6">
        <v>1292</v>
      </c>
      <c r="C1294" s="7" t="s">
        <v>10</v>
      </c>
      <c r="D1294" s="18">
        <v>45460</v>
      </c>
      <c r="E1294" s="7" t="s">
        <v>13</v>
      </c>
      <c r="F1294" s="7" t="s">
        <v>24</v>
      </c>
      <c r="G1294" s="7" t="s">
        <v>31</v>
      </c>
      <c r="H1294" s="7">
        <v>84</v>
      </c>
      <c r="I1294" s="5">
        <v>180</v>
      </c>
      <c r="J1294" s="5">
        <f t="shared" si="20"/>
        <v>15120</v>
      </c>
      <c r="K1294" s="7">
        <v>25</v>
      </c>
      <c r="L1294" s="7" t="s">
        <v>34</v>
      </c>
      <c r="M1294" s="7">
        <v>3</v>
      </c>
    </row>
    <row r="1295" spans="2:13" ht="15.6" thickTop="1" thickBot="1" x14ac:dyDescent="0.35">
      <c r="B1295" s="8">
        <v>1293</v>
      </c>
      <c r="C1295" s="9" t="s">
        <v>10</v>
      </c>
      <c r="D1295" s="19">
        <v>45461</v>
      </c>
      <c r="E1295" s="9" t="s">
        <v>22</v>
      </c>
      <c r="F1295" s="9" t="s">
        <v>25</v>
      </c>
      <c r="G1295" s="9" t="s">
        <v>29</v>
      </c>
      <c r="H1295" s="9">
        <v>249</v>
      </c>
      <c r="I1295" s="5">
        <v>135</v>
      </c>
      <c r="J1295" s="5">
        <f t="shared" si="20"/>
        <v>33615</v>
      </c>
      <c r="K1295" s="9">
        <v>14</v>
      </c>
      <c r="L1295" s="9" t="s">
        <v>33</v>
      </c>
      <c r="M1295" s="9">
        <v>3</v>
      </c>
    </row>
    <row r="1296" spans="2:13" ht="15.6" thickTop="1" thickBot="1" x14ac:dyDescent="0.35">
      <c r="B1296" s="6">
        <v>1294</v>
      </c>
      <c r="C1296" s="7" t="s">
        <v>11</v>
      </c>
      <c r="D1296" s="18">
        <v>45462</v>
      </c>
      <c r="E1296" s="7" t="s">
        <v>20</v>
      </c>
      <c r="F1296" s="7" t="s">
        <v>20</v>
      </c>
      <c r="G1296" s="7" t="s">
        <v>30</v>
      </c>
      <c r="H1296" s="7">
        <v>229</v>
      </c>
      <c r="I1296" s="5">
        <v>225</v>
      </c>
      <c r="J1296" s="5">
        <f t="shared" si="20"/>
        <v>51525</v>
      </c>
      <c r="K1296" s="7">
        <v>17</v>
      </c>
      <c r="L1296" s="7" t="s">
        <v>33</v>
      </c>
      <c r="M1296" s="7">
        <v>2</v>
      </c>
    </row>
    <row r="1297" spans="2:13" ht="15.6" thickTop="1" thickBot="1" x14ac:dyDescent="0.35">
      <c r="B1297" s="8">
        <v>1295</v>
      </c>
      <c r="C1297" s="9" t="s">
        <v>10</v>
      </c>
      <c r="D1297" s="19">
        <v>45463</v>
      </c>
      <c r="E1297" s="9" t="s">
        <v>16</v>
      </c>
      <c r="F1297" s="9" t="s">
        <v>26</v>
      </c>
      <c r="G1297" s="9" t="s">
        <v>29</v>
      </c>
      <c r="H1297" s="9">
        <v>44</v>
      </c>
      <c r="I1297" s="5">
        <v>180</v>
      </c>
      <c r="J1297" s="5">
        <f t="shared" si="20"/>
        <v>7920</v>
      </c>
      <c r="K1297" s="9">
        <v>12</v>
      </c>
      <c r="L1297" s="9" t="s">
        <v>33</v>
      </c>
      <c r="M1297" s="9">
        <v>4</v>
      </c>
    </row>
    <row r="1298" spans="2:13" ht="15.6" thickTop="1" thickBot="1" x14ac:dyDescent="0.35">
      <c r="B1298" s="6">
        <v>1296</v>
      </c>
      <c r="C1298" s="7" t="s">
        <v>10</v>
      </c>
      <c r="D1298" s="18">
        <v>45464</v>
      </c>
      <c r="E1298" s="7" t="s">
        <v>12</v>
      </c>
      <c r="F1298" s="7" t="s">
        <v>23</v>
      </c>
      <c r="G1298" s="7" t="s">
        <v>32</v>
      </c>
      <c r="H1298" s="7">
        <v>198</v>
      </c>
      <c r="I1298" s="5">
        <v>135</v>
      </c>
      <c r="J1298" s="5">
        <f t="shared" si="20"/>
        <v>26730</v>
      </c>
      <c r="K1298" s="7">
        <v>10</v>
      </c>
      <c r="L1298" s="7" t="s">
        <v>33</v>
      </c>
      <c r="M1298" s="7"/>
    </row>
    <row r="1299" spans="2:13" ht="15.6" thickTop="1" thickBot="1" x14ac:dyDescent="0.35">
      <c r="B1299" s="8">
        <v>1297</v>
      </c>
      <c r="C1299" s="9" t="s">
        <v>11</v>
      </c>
      <c r="D1299" s="19">
        <v>45465</v>
      </c>
      <c r="E1299" s="9" t="s">
        <v>21</v>
      </c>
      <c r="F1299" s="9" t="s">
        <v>26</v>
      </c>
      <c r="G1299" s="9" t="s">
        <v>28</v>
      </c>
      <c r="H1299" s="9">
        <v>112</v>
      </c>
      <c r="I1299" s="5">
        <v>90</v>
      </c>
      <c r="J1299" s="5">
        <f t="shared" si="20"/>
        <v>10080</v>
      </c>
      <c r="K1299" s="9">
        <v>18</v>
      </c>
      <c r="L1299" s="9" t="s">
        <v>33</v>
      </c>
      <c r="M1299" s="9">
        <v>2</v>
      </c>
    </row>
    <row r="1300" spans="2:13" ht="15.6" thickTop="1" thickBot="1" x14ac:dyDescent="0.35">
      <c r="B1300" s="6">
        <v>1298</v>
      </c>
      <c r="C1300" s="7" t="s">
        <v>11</v>
      </c>
      <c r="D1300" s="18">
        <v>45466</v>
      </c>
      <c r="E1300" s="7" t="s">
        <v>15</v>
      </c>
      <c r="F1300" s="7" t="s">
        <v>25</v>
      </c>
      <c r="G1300" s="7" t="s">
        <v>28</v>
      </c>
      <c r="H1300" s="7">
        <v>39</v>
      </c>
      <c r="I1300" s="5">
        <v>90</v>
      </c>
      <c r="J1300" s="5">
        <f t="shared" si="20"/>
        <v>3510</v>
      </c>
      <c r="K1300" s="7">
        <v>12</v>
      </c>
      <c r="L1300" s="7" t="s">
        <v>35</v>
      </c>
      <c r="M1300" s="7">
        <v>5</v>
      </c>
    </row>
    <row r="1301" spans="2:13" ht="15.6" thickTop="1" thickBot="1" x14ac:dyDescent="0.35">
      <c r="B1301" s="8">
        <v>1299</v>
      </c>
      <c r="C1301" s="9" t="s">
        <v>10</v>
      </c>
      <c r="D1301" s="19">
        <v>45467</v>
      </c>
      <c r="E1301" s="9" t="s">
        <v>17</v>
      </c>
      <c r="F1301" s="9" t="s">
        <v>24</v>
      </c>
      <c r="G1301" s="9" t="s">
        <v>31</v>
      </c>
      <c r="H1301" s="9">
        <v>187</v>
      </c>
      <c r="I1301" s="5">
        <v>45</v>
      </c>
      <c r="J1301" s="5">
        <f t="shared" si="20"/>
        <v>8415</v>
      </c>
      <c r="K1301" s="9">
        <v>12</v>
      </c>
      <c r="L1301" s="9" t="s">
        <v>34</v>
      </c>
      <c r="M1301" s="9">
        <v>2</v>
      </c>
    </row>
    <row r="1302" spans="2:13" ht="15.6" thickTop="1" thickBot="1" x14ac:dyDescent="0.35">
      <c r="B1302" s="6">
        <v>1300</v>
      </c>
      <c r="C1302" s="7" t="s">
        <v>11</v>
      </c>
      <c r="D1302" s="18">
        <v>45468</v>
      </c>
      <c r="E1302" s="7" t="s">
        <v>20</v>
      </c>
      <c r="F1302" s="7" t="s">
        <v>20</v>
      </c>
      <c r="G1302" s="7" t="s">
        <v>31</v>
      </c>
      <c r="H1302" s="7">
        <v>182</v>
      </c>
      <c r="I1302" s="5">
        <v>180</v>
      </c>
      <c r="J1302" s="5">
        <f t="shared" si="20"/>
        <v>32760</v>
      </c>
      <c r="K1302" s="7">
        <v>17</v>
      </c>
      <c r="L1302" s="7" t="s">
        <v>35</v>
      </c>
      <c r="M1302" s="7">
        <v>3</v>
      </c>
    </row>
    <row r="1303" spans="2:13" ht="15.6" thickTop="1" thickBot="1" x14ac:dyDescent="0.35">
      <c r="B1303" s="8">
        <v>1301</v>
      </c>
      <c r="C1303" s="9" t="s">
        <v>11</v>
      </c>
      <c r="D1303" s="19">
        <v>45469</v>
      </c>
      <c r="E1303" s="9" t="s">
        <v>18</v>
      </c>
      <c r="F1303" s="9" t="s">
        <v>27</v>
      </c>
      <c r="G1303" s="9" t="s">
        <v>29</v>
      </c>
      <c r="H1303" s="9">
        <v>31</v>
      </c>
      <c r="I1303" s="5">
        <v>90</v>
      </c>
      <c r="J1303" s="5">
        <f t="shared" si="20"/>
        <v>2790</v>
      </c>
      <c r="K1303" s="9">
        <v>18</v>
      </c>
      <c r="L1303" s="9" t="s">
        <v>35</v>
      </c>
      <c r="M1303" s="9">
        <v>5</v>
      </c>
    </row>
    <row r="1304" spans="2:13" ht="15.6" thickTop="1" thickBot="1" x14ac:dyDescent="0.35">
      <c r="B1304" s="6">
        <v>1302</v>
      </c>
      <c r="C1304" s="7" t="s">
        <v>11</v>
      </c>
      <c r="D1304" s="18">
        <v>45470</v>
      </c>
      <c r="E1304" s="7" t="s">
        <v>15</v>
      </c>
      <c r="F1304" s="7" t="s">
        <v>25</v>
      </c>
      <c r="G1304" s="7" t="s">
        <v>30</v>
      </c>
      <c r="H1304" s="7">
        <v>236</v>
      </c>
      <c r="I1304" s="5">
        <v>135</v>
      </c>
      <c r="J1304" s="5">
        <f t="shared" si="20"/>
        <v>31860</v>
      </c>
      <c r="K1304" s="7">
        <v>19</v>
      </c>
      <c r="L1304" s="7" t="s">
        <v>34</v>
      </c>
      <c r="M1304" s="7"/>
    </row>
    <row r="1305" spans="2:13" ht="15.6" thickTop="1" thickBot="1" x14ac:dyDescent="0.35">
      <c r="B1305" s="8">
        <v>1303</v>
      </c>
      <c r="C1305" s="9" t="s">
        <v>11</v>
      </c>
      <c r="D1305" s="19">
        <v>45471</v>
      </c>
      <c r="E1305" s="9" t="s">
        <v>17</v>
      </c>
      <c r="F1305" s="9" t="s">
        <v>24</v>
      </c>
      <c r="G1305" s="9" t="s">
        <v>32</v>
      </c>
      <c r="H1305" s="9">
        <v>129</v>
      </c>
      <c r="I1305" s="5">
        <v>225</v>
      </c>
      <c r="J1305" s="5">
        <f t="shared" si="20"/>
        <v>29025</v>
      </c>
      <c r="K1305" s="9">
        <v>8</v>
      </c>
      <c r="L1305" s="9" t="s">
        <v>33</v>
      </c>
      <c r="M1305" s="9"/>
    </row>
    <row r="1306" spans="2:13" ht="15.6" thickTop="1" thickBot="1" x14ac:dyDescent="0.35">
      <c r="B1306" s="6">
        <v>1304</v>
      </c>
      <c r="C1306" s="7" t="s">
        <v>11</v>
      </c>
      <c r="D1306" s="18">
        <v>45472</v>
      </c>
      <c r="E1306" s="7" t="s">
        <v>20</v>
      </c>
      <c r="F1306" s="7" t="s">
        <v>20</v>
      </c>
      <c r="G1306" s="7" t="s">
        <v>29</v>
      </c>
      <c r="H1306" s="7">
        <v>186</v>
      </c>
      <c r="I1306" s="5">
        <v>225</v>
      </c>
      <c r="J1306" s="5">
        <f t="shared" si="20"/>
        <v>41850</v>
      </c>
      <c r="K1306" s="7">
        <v>7</v>
      </c>
      <c r="L1306" s="7" t="s">
        <v>34</v>
      </c>
      <c r="M1306" s="7"/>
    </row>
    <row r="1307" spans="2:13" ht="15.6" thickTop="1" thickBot="1" x14ac:dyDescent="0.35">
      <c r="B1307" s="8">
        <v>1305</v>
      </c>
      <c r="C1307" s="9" t="s">
        <v>10</v>
      </c>
      <c r="D1307" s="19">
        <v>45473</v>
      </c>
      <c r="E1307" s="9" t="s">
        <v>16</v>
      </c>
      <c r="F1307" s="9" t="s">
        <v>26</v>
      </c>
      <c r="G1307" s="9" t="s">
        <v>29</v>
      </c>
      <c r="H1307" s="9">
        <v>226</v>
      </c>
      <c r="I1307" s="5">
        <v>225</v>
      </c>
      <c r="J1307" s="5">
        <f t="shared" si="20"/>
        <v>50850</v>
      </c>
      <c r="K1307" s="9">
        <v>13</v>
      </c>
      <c r="L1307" s="9" t="s">
        <v>33</v>
      </c>
      <c r="M1307" s="9">
        <v>3</v>
      </c>
    </row>
    <row r="1308" spans="2:13" ht="15.6" thickTop="1" thickBot="1" x14ac:dyDescent="0.35">
      <c r="B1308" s="6">
        <v>1306</v>
      </c>
      <c r="C1308" s="7" t="s">
        <v>11</v>
      </c>
      <c r="D1308" s="18">
        <v>45474</v>
      </c>
      <c r="E1308" s="7" t="s">
        <v>16</v>
      </c>
      <c r="F1308" s="7" t="s">
        <v>26</v>
      </c>
      <c r="G1308" s="7" t="s">
        <v>31</v>
      </c>
      <c r="H1308" s="7">
        <v>46</v>
      </c>
      <c r="I1308" s="5">
        <v>135</v>
      </c>
      <c r="J1308" s="5">
        <f t="shared" si="20"/>
        <v>6210</v>
      </c>
      <c r="K1308" s="7">
        <v>19</v>
      </c>
      <c r="L1308" s="7" t="s">
        <v>35</v>
      </c>
      <c r="M1308" s="7">
        <v>4</v>
      </c>
    </row>
    <row r="1309" spans="2:13" ht="15.6" thickTop="1" thickBot="1" x14ac:dyDescent="0.35">
      <c r="B1309" s="8">
        <v>1307</v>
      </c>
      <c r="C1309" s="9" t="s">
        <v>10</v>
      </c>
      <c r="D1309" s="19">
        <v>45475</v>
      </c>
      <c r="E1309" s="9" t="s">
        <v>16</v>
      </c>
      <c r="F1309" s="9" t="s">
        <v>26</v>
      </c>
      <c r="G1309" s="9" t="s">
        <v>28</v>
      </c>
      <c r="H1309" s="9">
        <v>224</v>
      </c>
      <c r="I1309" s="5">
        <v>180</v>
      </c>
      <c r="J1309" s="5">
        <f t="shared" si="20"/>
        <v>40320</v>
      </c>
      <c r="K1309" s="9">
        <v>23</v>
      </c>
      <c r="L1309" s="9" t="s">
        <v>35</v>
      </c>
      <c r="M1309" s="9">
        <v>3</v>
      </c>
    </row>
    <row r="1310" spans="2:13" ht="15.6" thickTop="1" thickBot="1" x14ac:dyDescent="0.35">
      <c r="B1310" s="6">
        <v>1308</v>
      </c>
      <c r="C1310" s="7" t="s">
        <v>10</v>
      </c>
      <c r="D1310" s="18">
        <v>45476</v>
      </c>
      <c r="E1310" s="7" t="s">
        <v>15</v>
      </c>
      <c r="F1310" s="7" t="s">
        <v>25</v>
      </c>
      <c r="G1310" s="7" t="s">
        <v>30</v>
      </c>
      <c r="H1310" s="7">
        <v>200</v>
      </c>
      <c r="I1310" s="5">
        <v>135</v>
      </c>
      <c r="J1310" s="5">
        <f t="shared" si="20"/>
        <v>27000</v>
      </c>
      <c r="K1310" s="7">
        <v>13</v>
      </c>
      <c r="L1310" s="7" t="s">
        <v>34</v>
      </c>
      <c r="M1310" s="7">
        <v>2</v>
      </c>
    </row>
    <row r="1311" spans="2:13" ht="15.6" thickTop="1" thickBot="1" x14ac:dyDescent="0.35">
      <c r="B1311" s="8">
        <v>1309</v>
      </c>
      <c r="C1311" s="9" t="s">
        <v>11</v>
      </c>
      <c r="D1311" s="19">
        <v>45477</v>
      </c>
      <c r="E1311" s="9" t="s">
        <v>20</v>
      </c>
      <c r="F1311" s="9" t="s">
        <v>20</v>
      </c>
      <c r="G1311" s="9" t="s">
        <v>30</v>
      </c>
      <c r="H1311" s="9">
        <v>155</v>
      </c>
      <c r="I1311" s="5">
        <v>225</v>
      </c>
      <c r="J1311" s="5">
        <f t="shared" si="20"/>
        <v>34875</v>
      </c>
      <c r="K1311" s="9">
        <v>17</v>
      </c>
      <c r="L1311" s="9" t="s">
        <v>34</v>
      </c>
      <c r="M1311" s="9">
        <v>2</v>
      </c>
    </row>
    <row r="1312" spans="2:13" ht="15.6" thickTop="1" thickBot="1" x14ac:dyDescent="0.35">
      <c r="B1312" s="6">
        <v>1310</v>
      </c>
      <c r="C1312" s="7" t="s">
        <v>10</v>
      </c>
      <c r="D1312" s="18">
        <v>45478</v>
      </c>
      <c r="E1312" s="7" t="s">
        <v>12</v>
      </c>
      <c r="F1312" s="7" t="s">
        <v>23</v>
      </c>
      <c r="G1312" s="7" t="s">
        <v>28</v>
      </c>
      <c r="H1312" s="7">
        <v>194</v>
      </c>
      <c r="I1312" s="5">
        <v>135</v>
      </c>
      <c r="J1312" s="5">
        <f t="shared" si="20"/>
        <v>26190</v>
      </c>
      <c r="K1312" s="7">
        <v>18</v>
      </c>
      <c r="L1312" s="7" t="s">
        <v>35</v>
      </c>
      <c r="M1312" s="7">
        <v>3</v>
      </c>
    </row>
    <row r="1313" spans="2:13" ht="15.6" thickTop="1" thickBot="1" x14ac:dyDescent="0.35">
      <c r="B1313" s="8">
        <v>1311</v>
      </c>
      <c r="C1313" s="9" t="s">
        <v>11</v>
      </c>
      <c r="D1313" s="19">
        <v>45479</v>
      </c>
      <c r="E1313" s="9" t="s">
        <v>20</v>
      </c>
      <c r="F1313" s="9" t="s">
        <v>20</v>
      </c>
      <c r="G1313" s="9" t="s">
        <v>32</v>
      </c>
      <c r="H1313" s="9">
        <v>204</v>
      </c>
      <c r="I1313" s="5">
        <v>45</v>
      </c>
      <c r="J1313" s="5">
        <f t="shared" si="20"/>
        <v>9180</v>
      </c>
      <c r="K1313" s="9">
        <v>8</v>
      </c>
      <c r="L1313" s="9" t="s">
        <v>35</v>
      </c>
      <c r="M1313" s="9">
        <v>5</v>
      </c>
    </row>
    <row r="1314" spans="2:13" ht="15.6" thickTop="1" thickBot="1" x14ac:dyDescent="0.35">
      <c r="B1314" s="6">
        <v>1312</v>
      </c>
      <c r="C1314" s="7" t="s">
        <v>10</v>
      </c>
      <c r="D1314" s="18">
        <v>45480</v>
      </c>
      <c r="E1314" s="7" t="s">
        <v>19</v>
      </c>
      <c r="F1314" s="7" t="s">
        <v>23</v>
      </c>
      <c r="G1314" s="7" t="s">
        <v>30</v>
      </c>
      <c r="H1314" s="7">
        <v>150</v>
      </c>
      <c r="I1314" s="5">
        <v>90</v>
      </c>
      <c r="J1314" s="5">
        <f t="shared" si="20"/>
        <v>13500</v>
      </c>
      <c r="K1314" s="7">
        <v>15</v>
      </c>
      <c r="L1314" s="7" t="s">
        <v>34</v>
      </c>
      <c r="M1314" s="7">
        <v>3</v>
      </c>
    </row>
    <row r="1315" spans="2:13" ht="15.6" thickTop="1" thickBot="1" x14ac:dyDescent="0.35">
      <c r="B1315" s="8">
        <v>1313</v>
      </c>
      <c r="C1315" s="9" t="s">
        <v>11</v>
      </c>
      <c r="D1315" s="19">
        <v>45481</v>
      </c>
      <c r="E1315" s="9" t="s">
        <v>20</v>
      </c>
      <c r="F1315" s="9" t="s">
        <v>20</v>
      </c>
      <c r="G1315" s="9" t="s">
        <v>29</v>
      </c>
      <c r="H1315" s="9">
        <v>97</v>
      </c>
      <c r="I1315" s="5">
        <v>45</v>
      </c>
      <c r="J1315" s="5">
        <f t="shared" si="20"/>
        <v>4365</v>
      </c>
      <c r="K1315" s="9">
        <v>18</v>
      </c>
      <c r="L1315" s="9" t="s">
        <v>35</v>
      </c>
      <c r="M1315" s="9">
        <v>1</v>
      </c>
    </row>
    <row r="1316" spans="2:13" ht="15.6" thickTop="1" thickBot="1" x14ac:dyDescent="0.35">
      <c r="B1316" s="6">
        <v>1314</v>
      </c>
      <c r="C1316" s="7" t="s">
        <v>10</v>
      </c>
      <c r="D1316" s="18">
        <v>45482</v>
      </c>
      <c r="E1316" s="7" t="s">
        <v>19</v>
      </c>
      <c r="F1316" s="7" t="s">
        <v>23</v>
      </c>
      <c r="G1316" s="7" t="s">
        <v>31</v>
      </c>
      <c r="H1316" s="7">
        <v>215</v>
      </c>
      <c r="I1316" s="5">
        <v>45</v>
      </c>
      <c r="J1316" s="5">
        <f t="shared" si="20"/>
        <v>9675</v>
      </c>
      <c r="K1316" s="7">
        <v>19</v>
      </c>
      <c r="L1316" s="7" t="s">
        <v>33</v>
      </c>
      <c r="M1316" s="7">
        <v>1</v>
      </c>
    </row>
    <row r="1317" spans="2:13" ht="15.6" thickTop="1" thickBot="1" x14ac:dyDescent="0.35">
      <c r="B1317" s="8">
        <v>1315</v>
      </c>
      <c r="C1317" s="9" t="s">
        <v>10</v>
      </c>
      <c r="D1317" s="19">
        <v>45483</v>
      </c>
      <c r="E1317" s="9" t="s">
        <v>17</v>
      </c>
      <c r="F1317" s="9" t="s">
        <v>24</v>
      </c>
      <c r="G1317" s="9" t="s">
        <v>30</v>
      </c>
      <c r="H1317" s="9">
        <v>174</v>
      </c>
      <c r="I1317" s="5">
        <v>45</v>
      </c>
      <c r="J1317" s="5">
        <f t="shared" si="20"/>
        <v>7830</v>
      </c>
      <c r="K1317" s="9">
        <v>14</v>
      </c>
      <c r="L1317" s="9" t="s">
        <v>34</v>
      </c>
      <c r="M1317" s="9">
        <v>1</v>
      </c>
    </row>
    <row r="1318" spans="2:13" ht="15.6" thickTop="1" thickBot="1" x14ac:dyDescent="0.35">
      <c r="B1318" s="6">
        <v>1316</v>
      </c>
      <c r="C1318" s="7" t="s">
        <v>10</v>
      </c>
      <c r="D1318" s="18">
        <v>45484</v>
      </c>
      <c r="E1318" s="7" t="s">
        <v>21</v>
      </c>
      <c r="F1318" s="7" t="s">
        <v>26</v>
      </c>
      <c r="G1318" s="7" t="s">
        <v>32</v>
      </c>
      <c r="H1318" s="7">
        <v>143</v>
      </c>
      <c r="I1318" s="5">
        <v>225</v>
      </c>
      <c r="J1318" s="5">
        <f t="shared" si="20"/>
        <v>32175</v>
      </c>
      <c r="K1318" s="7">
        <v>16</v>
      </c>
      <c r="L1318" s="7" t="s">
        <v>33</v>
      </c>
      <c r="M1318" s="7">
        <v>2</v>
      </c>
    </row>
    <row r="1319" spans="2:13" ht="15.6" thickTop="1" thickBot="1" x14ac:dyDescent="0.35">
      <c r="B1319" s="8">
        <v>1317</v>
      </c>
      <c r="C1319" s="9" t="s">
        <v>11</v>
      </c>
      <c r="D1319" s="19">
        <v>45485</v>
      </c>
      <c r="E1319" s="9" t="s">
        <v>18</v>
      </c>
      <c r="F1319" s="9" t="s">
        <v>27</v>
      </c>
      <c r="G1319" s="9" t="s">
        <v>30</v>
      </c>
      <c r="H1319" s="9">
        <v>124</v>
      </c>
      <c r="I1319" s="5">
        <v>180</v>
      </c>
      <c r="J1319" s="5">
        <f t="shared" si="20"/>
        <v>22320</v>
      </c>
      <c r="K1319" s="9">
        <v>20</v>
      </c>
      <c r="L1319" s="9" t="s">
        <v>35</v>
      </c>
      <c r="M1319" s="9">
        <v>1</v>
      </c>
    </row>
    <row r="1320" spans="2:13" ht="15.6" thickTop="1" thickBot="1" x14ac:dyDescent="0.35">
      <c r="B1320" s="6">
        <v>1318</v>
      </c>
      <c r="C1320" s="7" t="s">
        <v>10</v>
      </c>
      <c r="D1320" s="18">
        <v>45486</v>
      </c>
      <c r="E1320" s="7" t="s">
        <v>17</v>
      </c>
      <c r="F1320" s="7" t="s">
        <v>24</v>
      </c>
      <c r="G1320" s="7" t="s">
        <v>30</v>
      </c>
      <c r="H1320" s="7">
        <v>96</v>
      </c>
      <c r="I1320" s="5">
        <v>225</v>
      </c>
      <c r="J1320" s="5">
        <f t="shared" si="20"/>
        <v>21600</v>
      </c>
      <c r="K1320" s="7">
        <v>15</v>
      </c>
      <c r="L1320" s="7" t="s">
        <v>34</v>
      </c>
      <c r="M1320" s="7">
        <v>3</v>
      </c>
    </row>
    <row r="1321" spans="2:13" ht="15.6" thickTop="1" thickBot="1" x14ac:dyDescent="0.35">
      <c r="B1321" s="8">
        <v>1319</v>
      </c>
      <c r="C1321" s="9" t="s">
        <v>10</v>
      </c>
      <c r="D1321" s="19">
        <v>45487</v>
      </c>
      <c r="E1321" s="9" t="s">
        <v>14</v>
      </c>
      <c r="F1321" s="9" t="s">
        <v>25</v>
      </c>
      <c r="G1321" s="9" t="s">
        <v>32</v>
      </c>
      <c r="H1321" s="9">
        <v>207</v>
      </c>
      <c r="I1321" s="5">
        <v>135</v>
      </c>
      <c r="J1321" s="5">
        <f t="shared" si="20"/>
        <v>27945</v>
      </c>
      <c r="K1321" s="9">
        <v>17</v>
      </c>
      <c r="L1321" s="9" t="s">
        <v>35</v>
      </c>
      <c r="M1321" s="9"/>
    </row>
    <row r="1322" spans="2:13" ht="15.6" thickTop="1" thickBot="1" x14ac:dyDescent="0.35">
      <c r="B1322" s="6">
        <v>1320</v>
      </c>
      <c r="C1322" s="7" t="s">
        <v>10</v>
      </c>
      <c r="D1322" s="18">
        <v>45488</v>
      </c>
      <c r="E1322" s="7" t="s">
        <v>12</v>
      </c>
      <c r="F1322" s="7" t="s">
        <v>23</v>
      </c>
      <c r="G1322" s="7" t="s">
        <v>31</v>
      </c>
      <c r="H1322" s="7">
        <v>241</v>
      </c>
      <c r="I1322" s="5">
        <v>45</v>
      </c>
      <c r="J1322" s="5">
        <f t="shared" si="20"/>
        <v>10845</v>
      </c>
      <c r="K1322" s="7">
        <v>18</v>
      </c>
      <c r="L1322" s="7" t="s">
        <v>34</v>
      </c>
      <c r="M1322" s="7">
        <v>1</v>
      </c>
    </row>
    <row r="1323" spans="2:13" ht="15.6" thickTop="1" thickBot="1" x14ac:dyDescent="0.35">
      <c r="B1323" s="8">
        <v>1321</v>
      </c>
      <c r="C1323" s="9" t="s">
        <v>10</v>
      </c>
      <c r="D1323" s="19">
        <v>45489</v>
      </c>
      <c r="E1323" s="9" t="s">
        <v>22</v>
      </c>
      <c r="F1323" s="9" t="s">
        <v>25</v>
      </c>
      <c r="G1323" s="9" t="s">
        <v>28</v>
      </c>
      <c r="H1323" s="9">
        <v>213</v>
      </c>
      <c r="I1323" s="5">
        <v>45</v>
      </c>
      <c r="J1323" s="5">
        <f t="shared" si="20"/>
        <v>9585</v>
      </c>
      <c r="K1323" s="9">
        <v>23</v>
      </c>
      <c r="L1323" s="9" t="s">
        <v>33</v>
      </c>
      <c r="M1323" s="9">
        <v>1</v>
      </c>
    </row>
    <row r="1324" spans="2:13" ht="15.6" thickTop="1" thickBot="1" x14ac:dyDescent="0.35">
      <c r="B1324" s="6">
        <v>1322</v>
      </c>
      <c r="C1324" s="7" t="s">
        <v>10</v>
      </c>
      <c r="D1324" s="18">
        <v>45490</v>
      </c>
      <c r="E1324" s="7" t="s">
        <v>12</v>
      </c>
      <c r="F1324" s="7" t="s">
        <v>23</v>
      </c>
      <c r="G1324" s="7" t="s">
        <v>30</v>
      </c>
      <c r="H1324" s="7">
        <v>218</v>
      </c>
      <c r="I1324" s="5">
        <v>135</v>
      </c>
      <c r="J1324" s="5">
        <f t="shared" si="20"/>
        <v>29430</v>
      </c>
      <c r="K1324" s="7">
        <v>11</v>
      </c>
      <c r="L1324" s="7" t="s">
        <v>35</v>
      </c>
      <c r="M1324" s="7">
        <v>5</v>
      </c>
    </row>
    <row r="1325" spans="2:13" ht="15.6" thickTop="1" thickBot="1" x14ac:dyDescent="0.35">
      <c r="B1325" s="8">
        <v>1323</v>
      </c>
      <c r="C1325" s="9" t="s">
        <v>10</v>
      </c>
      <c r="D1325" s="19">
        <v>45491</v>
      </c>
      <c r="E1325" s="9" t="s">
        <v>16</v>
      </c>
      <c r="F1325" s="9" t="s">
        <v>26</v>
      </c>
      <c r="G1325" s="9" t="s">
        <v>32</v>
      </c>
      <c r="H1325" s="9">
        <v>69</v>
      </c>
      <c r="I1325" s="5">
        <v>225</v>
      </c>
      <c r="J1325" s="5">
        <f t="shared" si="20"/>
        <v>15525</v>
      </c>
      <c r="K1325" s="9">
        <v>20</v>
      </c>
      <c r="L1325" s="9" t="s">
        <v>33</v>
      </c>
      <c r="M1325" s="9">
        <v>1</v>
      </c>
    </row>
    <row r="1326" spans="2:13" ht="15.6" thickTop="1" thickBot="1" x14ac:dyDescent="0.35">
      <c r="B1326" s="6">
        <v>1324</v>
      </c>
      <c r="C1326" s="7" t="s">
        <v>11</v>
      </c>
      <c r="D1326" s="18">
        <v>45492</v>
      </c>
      <c r="E1326" s="7" t="s">
        <v>13</v>
      </c>
      <c r="F1326" s="7" t="s">
        <v>24</v>
      </c>
      <c r="G1326" s="7" t="s">
        <v>28</v>
      </c>
      <c r="H1326" s="7">
        <v>206</v>
      </c>
      <c r="I1326" s="5">
        <v>45</v>
      </c>
      <c r="J1326" s="5">
        <f t="shared" si="20"/>
        <v>9270</v>
      </c>
      <c r="K1326" s="7">
        <v>12</v>
      </c>
      <c r="L1326" s="7" t="s">
        <v>34</v>
      </c>
      <c r="M1326" s="7"/>
    </row>
    <row r="1327" spans="2:13" ht="15.6" thickTop="1" thickBot="1" x14ac:dyDescent="0.35">
      <c r="B1327" s="8">
        <v>1325</v>
      </c>
      <c r="C1327" s="9" t="s">
        <v>10</v>
      </c>
      <c r="D1327" s="19">
        <v>45493</v>
      </c>
      <c r="E1327" s="9" t="s">
        <v>14</v>
      </c>
      <c r="F1327" s="9" t="s">
        <v>25</v>
      </c>
      <c r="G1327" s="9" t="s">
        <v>29</v>
      </c>
      <c r="H1327" s="9">
        <v>45</v>
      </c>
      <c r="I1327" s="5">
        <v>45</v>
      </c>
      <c r="J1327" s="5">
        <f t="shared" si="20"/>
        <v>2025</v>
      </c>
      <c r="K1327" s="9">
        <v>18</v>
      </c>
      <c r="L1327" s="9" t="s">
        <v>34</v>
      </c>
      <c r="M1327" s="9">
        <v>1</v>
      </c>
    </row>
    <row r="1328" spans="2:13" ht="15.6" thickTop="1" thickBot="1" x14ac:dyDescent="0.35">
      <c r="B1328" s="6">
        <v>1326</v>
      </c>
      <c r="C1328" s="7" t="s">
        <v>11</v>
      </c>
      <c r="D1328" s="18">
        <v>45494</v>
      </c>
      <c r="E1328" s="7" t="s">
        <v>15</v>
      </c>
      <c r="F1328" s="7" t="s">
        <v>25</v>
      </c>
      <c r="G1328" s="7" t="s">
        <v>30</v>
      </c>
      <c r="H1328" s="7">
        <v>61</v>
      </c>
      <c r="I1328" s="5">
        <v>90</v>
      </c>
      <c r="J1328" s="5">
        <f t="shared" si="20"/>
        <v>5490</v>
      </c>
      <c r="K1328" s="7">
        <v>19</v>
      </c>
      <c r="L1328" s="7" t="s">
        <v>35</v>
      </c>
      <c r="M1328" s="7">
        <v>1</v>
      </c>
    </row>
    <row r="1329" spans="2:13" ht="15.6" thickTop="1" thickBot="1" x14ac:dyDescent="0.35">
      <c r="B1329" s="8">
        <v>1327</v>
      </c>
      <c r="C1329" s="9" t="s">
        <v>10</v>
      </c>
      <c r="D1329" s="19">
        <v>45495</v>
      </c>
      <c r="E1329" s="9" t="s">
        <v>20</v>
      </c>
      <c r="F1329" s="9" t="s">
        <v>20</v>
      </c>
      <c r="G1329" s="9" t="s">
        <v>28</v>
      </c>
      <c r="H1329" s="9">
        <v>161</v>
      </c>
      <c r="I1329" s="5">
        <v>135</v>
      </c>
      <c r="J1329" s="5">
        <f t="shared" si="20"/>
        <v>21735</v>
      </c>
      <c r="K1329" s="9">
        <v>22</v>
      </c>
      <c r="L1329" s="9" t="s">
        <v>34</v>
      </c>
      <c r="M1329" s="9"/>
    </row>
    <row r="1330" spans="2:13" ht="15.6" thickTop="1" thickBot="1" x14ac:dyDescent="0.35">
      <c r="B1330" s="6">
        <v>1328</v>
      </c>
      <c r="C1330" s="7" t="s">
        <v>10</v>
      </c>
      <c r="D1330" s="18">
        <v>45496</v>
      </c>
      <c r="E1330" s="7" t="s">
        <v>18</v>
      </c>
      <c r="F1330" s="7" t="s">
        <v>27</v>
      </c>
      <c r="G1330" s="7" t="s">
        <v>30</v>
      </c>
      <c r="H1330" s="7">
        <v>93</v>
      </c>
      <c r="I1330" s="5">
        <v>90</v>
      </c>
      <c r="J1330" s="5">
        <f t="shared" si="20"/>
        <v>8370</v>
      </c>
      <c r="K1330" s="7">
        <v>18</v>
      </c>
      <c r="L1330" s="7" t="s">
        <v>35</v>
      </c>
      <c r="M1330" s="7">
        <v>2</v>
      </c>
    </row>
    <row r="1331" spans="2:13" ht="15.6" thickTop="1" thickBot="1" x14ac:dyDescent="0.35">
      <c r="B1331" s="8">
        <v>1329</v>
      </c>
      <c r="C1331" s="9" t="s">
        <v>10</v>
      </c>
      <c r="D1331" s="19">
        <v>45497</v>
      </c>
      <c r="E1331" s="9" t="s">
        <v>15</v>
      </c>
      <c r="F1331" s="9" t="s">
        <v>25</v>
      </c>
      <c r="G1331" s="9" t="s">
        <v>28</v>
      </c>
      <c r="H1331" s="9">
        <v>100</v>
      </c>
      <c r="I1331" s="5">
        <v>180</v>
      </c>
      <c r="J1331" s="5">
        <f t="shared" si="20"/>
        <v>18000</v>
      </c>
      <c r="K1331" s="9">
        <v>25</v>
      </c>
      <c r="L1331" s="9" t="s">
        <v>35</v>
      </c>
      <c r="M1331" s="9">
        <v>4</v>
      </c>
    </row>
    <row r="1332" spans="2:13" ht="15.6" thickTop="1" thickBot="1" x14ac:dyDescent="0.35">
      <c r="B1332" s="6">
        <v>1330</v>
      </c>
      <c r="C1332" s="7" t="s">
        <v>10</v>
      </c>
      <c r="D1332" s="18">
        <v>45498</v>
      </c>
      <c r="E1332" s="7" t="s">
        <v>18</v>
      </c>
      <c r="F1332" s="7" t="s">
        <v>27</v>
      </c>
      <c r="G1332" s="7" t="s">
        <v>28</v>
      </c>
      <c r="H1332" s="7">
        <v>154</v>
      </c>
      <c r="I1332" s="5">
        <v>45</v>
      </c>
      <c r="J1332" s="5">
        <f t="shared" si="20"/>
        <v>6930</v>
      </c>
      <c r="K1332" s="7">
        <v>16</v>
      </c>
      <c r="L1332" s="7" t="s">
        <v>34</v>
      </c>
      <c r="M1332" s="7">
        <v>3</v>
      </c>
    </row>
    <row r="1333" spans="2:13" ht="15.6" thickTop="1" thickBot="1" x14ac:dyDescent="0.35">
      <c r="B1333" s="8">
        <v>1331</v>
      </c>
      <c r="C1333" s="9" t="s">
        <v>11</v>
      </c>
      <c r="D1333" s="19">
        <v>45499</v>
      </c>
      <c r="E1333" s="9" t="s">
        <v>21</v>
      </c>
      <c r="F1333" s="9" t="s">
        <v>26</v>
      </c>
      <c r="G1333" s="9" t="s">
        <v>32</v>
      </c>
      <c r="H1333" s="9">
        <v>91</v>
      </c>
      <c r="I1333" s="5">
        <v>225</v>
      </c>
      <c r="J1333" s="5">
        <f t="shared" si="20"/>
        <v>20475</v>
      </c>
      <c r="K1333" s="9">
        <v>12</v>
      </c>
      <c r="L1333" s="9" t="s">
        <v>35</v>
      </c>
      <c r="M1333" s="9">
        <v>2</v>
      </c>
    </row>
    <row r="1334" spans="2:13" ht="15.6" thickTop="1" thickBot="1" x14ac:dyDescent="0.35">
      <c r="B1334" s="6">
        <v>1332</v>
      </c>
      <c r="C1334" s="7" t="s">
        <v>11</v>
      </c>
      <c r="D1334" s="18">
        <v>45383</v>
      </c>
      <c r="E1334" s="7" t="s">
        <v>15</v>
      </c>
      <c r="F1334" s="7" t="s">
        <v>25</v>
      </c>
      <c r="G1334" s="7" t="s">
        <v>30</v>
      </c>
      <c r="H1334" s="7">
        <v>44</v>
      </c>
      <c r="I1334" s="5">
        <v>90</v>
      </c>
      <c r="J1334" s="5">
        <f t="shared" si="20"/>
        <v>3960</v>
      </c>
      <c r="K1334" s="7">
        <v>12</v>
      </c>
      <c r="L1334" s="7" t="s">
        <v>34</v>
      </c>
      <c r="M1334" s="7">
        <v>1</v>
      </c>
    </row>
    <row r="1335" spans="2:13" ht="15.6" thickTop="1" thickBot="1" x14ac:dyDescent="0.35">
      <c r="B1335" s="8">
        <v>1333</v>
      </c>
      <c r="C1335" s="9" t="s">
        <v>11</v>
      </c>
      <c r="D1335" s="19">
        <v>45384</v>
      </c>
      <c r="E1335" s="9" t="s">
        <v>21</v>
      </c>
      <c r="F1335" s="9" t="s">
        <v>26</v>
      </c>
      <c r="G1335" s="9" t="s">
        <v>28</v>
      </c>
      <c r="H1335" s="9">
        <v>40</v>
      </c>
      <c r="I1335" s="5">
        <v>135</v>
      </c>
      <c r="J1335" s="5">
        <f t="shared" si="20"/>
        <v>5400</v>
      </c>
      <c r="K1335" s="9">
        <v>11</v>
      </c>
      <c r="L1335" s="9" t="s">
        <v>35</v>
      </c>
      <c r="M1335" s="9">
        <v>3</v>
      </c>
    </row>
    <row r="1336" spans="2:13" ht="15.6" thickTop="1" thickBot="1" x14ac:dyDescent="0.35">
      <c r="B1336" s="6">
        <v>1334</v>
      </c>
      <c r="C1336" s="7" t="s">
        <v>10</v>
      </c>
      <c r="D1336" s="18">
        <v>45385</v>
      </c>
      <c r="E1336" s="7" t="s">
        <v>22</v>
      </c>
      <c r="F1336" s="7" t="s">
        <v>25</v>
      </c>
      <c r="G1336" s="7" t="s">
        <v>31</v>
      </c>
      <c r="H1336" s="7">
        <v>117</v>
      </c>
      <c r="I1336" s="5">
        <v>225</v>
      </c>
      <c r="J1336" s="5">
        <f t="shared" si="20"/>
        <v>26325</v>
      </c>
      <c r="K1336" s="7">
        <v>22</v>
      </c>
      <c r="L1336" s="7" t="s">
        <v>33</v>
      </c>
      <c r="M1336" s="7">
        <v>1</v>
      </c>
    </row>
    <row r="1337" spans="2:13" ht="15.6" thickTop="1" thickBot="1" x14ac:dyDescent="0.35">
      <c r="B1337" s="8">
        <v>1335</v>
      </c>
      <c r="C1337" s="9" t="s">
        <v>11</v>
      </c>
      <c r="D1337" s="19">
        <v>45386</v>
      </c>
      <c r="E1337" s="9" t="s">
        <v>15</v>
      </c>
      <c r="F1337" s="9" t="s">
        <v>25</v>
      </c>
      <c r="G1337" s="9" t="s">
        <v>29</v>
      </c>
      <c r="H1337" s="9">
        <v>151</v>
      </c>
      <c r="I1337" s="5">
        <v>180</v>
      </c>
      <c r="J1337" s="5">
        <f t="shared" si="20"/>
        <v>27180</v>
      </c>
      <c r="K1337" s="9">
        <v>14</v>
      </c>
      <c r="L1337" s="9" t="s">
        <v>35</v>
      </c>
      <c r="M1337" s="9">
        <v>5</v>
      </c>
    </row>
    <row r="1338" spans="2:13" ht="15.6" thickTop="1" thickBot="1" x14ac:dyDescent="0.35">
      <c r="B1338" s="6">
        <v>1336</v>
      </c>
      <c r="C1338" s="7" t="s">
        <v>10</v>
      </c>
      <c r="D1338" s="18">
        <v>45387</v>
      </c>
      <c r="E1338" s="7" t="s">
        <v>18</v>
      </c>
      <c r="F1338" s="7" t="s">
        <v>27</v>
      </c>
      <c r="G1338" s="7" t="s">
        <v>31</v>
      </c>
      <c r="H1338" s="7">
        <v>158</v>
      </c>
      <c r="I1338" s="5">
        <v>135</v>
      </c>
      <c r="J1338" s="5">
        <f t="shared" si="20"/>
        <v>21330</v>
      </c>
      <c r="K1338" s="7">
        <v>16</v>
      </c>
      <c r="L1338" s="7" t="s">
        <v>34</v>
      </c>
      <c r="M1338" s="7">
        <v>3</v>
      </c>
    </row>
    <row r="1339" spans="2:13" ht="15.6" thickTop="1" thickBot="1" x14ac:dyDescent="0.35">
      <c r="B1339" s="8">
        <v>1337</v>
      </c>
      <c r="C1339" s="9" t="s">
        <v>10</v>
      </c>
      <c r="D1339" s="19">
        <v>45388</v>
      </c>
      <c r="E1339" s="9" t="s">
        <v>17</v>
      </c>
      <c r="F1339" s="9" t="s">
        <v>24</v>
      </c>
      <c r="G1339" s="9" t="s">
        <v>30</v>
      </c>
      <c r="H1339" s="9">
        <v>208</v>
      </c>
      <c r="I1339" s="5">
        <v>135</v>
      </c>
      <c r="J1339" s="5">
        <f t="shared" si="20"/>
        <v>28080</v>
      </c>
      <c r="K1339" s="9">
        <v>18</v>
      </c>
      <c r="L1339" s="9" t="s">
        <v>35</v>
      </c>
      <c r="M1339" s="9"/>
    </row>
    <row r="1340" spans="2:13" ht="15.6" thickTop="1" thickBot="1" x14ac:dyDescent="0.35">
      <c r="B1340" s="6">
        <v>1338</v>
      </c>
      <c r="C1340" s="7" t="s">
        <v>11</v>
      </c>
      <c r="D1340" s="18">
        <v>45389</v>
      </c>
      <c r="E1340" s="7" t="s">
        <v>15</v>
      </c>
      <c r="F1340" s="7" t="s">
        <v>25</v>
      </c>
      <c r="G1340" s="7" t="s">
        <v>29</v>
      </c>
      <c r="H1340" s="7">
        <v>56</v>
      </c>
      <c r="I1340" s="5">
        <v>45</v>
      </c>
      <c r="J1340" s="5">
        <f t="shared" si="20"/>
        <v>2520</v>
      </c>
      <c r="K1340" s="7">
        <v>15</v>
      </c>
      <c r="L1340" s="7" t="s">
        <v>33</v>
      </c>
      <c r="M1340" s="7"/>
    </row>
    <row r="1341" spans="2:13" ht="15.6" thickTop="1" thickBot="1" x14ac:dyDescent="0.35">
      <c r="B1341" s="8">
        <v>1339</v>
      </c>
      <c r="C1341" s="9" t="s">
        <v>11</v>
      </c>
      <c r="D1341" s="19">
        <v>45390</v>
      </c>
      <c r="E1341" s="9" t="s">
        <v>20</v>
      </c>
      <c r="F1341" s="9" t="s">
        <v>20</v>
      </c>
      <c r="G1341" s="9" t="s">
        <v>30</v>
      </c>
      <c r="H1341" s="9">
        <v>100</v>
      </c>
      <c r="I1341" s="5">
        <v>135</v>
      </c>
      <c r="J1341" s="5">
        <f t="shared" si="20"/>
        <v>13500</v>
      </c>
      <c r="K1341" s="9">
        <v>8</v>
      </c>
      <c r="L1341" s="9" t="s">
        <v>35</v>
      </c>
      <c r="M1341" s="9">
        <v>3</v>
      </c>
    </row>
    <row r="1342" spans="2:13" ht="15.6" thickTop="1" thickBot="1" x14ac:dyDescent="0.35">
      <c r="B1342" s="6">
        <v>1340</v>
      </c>
      <c r="C1342" s="7" t="s">
        <v>10</v>
      </c>
      <c r="D1342" s="18">
        <v>45391</v>
      </c>
      <c r="E1342" s="7" t="s">
        <v>20</v>
      </c>
      <c r="F1342" s="7" t="s">
        <v>20</v>
      </c>
      <c r="G1342" s="7" t="s">
        <v>32</v>
      </c>
      <c r="H1342" s="7">
        <v>249</v>
      </c>
      <c r="I1342" s="5">
        <v>45</v>
      </c>
      <c r="J1342" s="5">
        <f t="shared" si="20"/>
        <v>11205</v>
      </c>
      <c r="K1342" s="7">
        <v>18</v>
      </c>
      <c r="L1342" s="7" t="s">
        <v>33</v>
      </c>
      <c r="M1342" s="7">
        <v>5</v>
      </c>
    </row>
    <row r="1343" spans="2:13" ht="15.6" thickTop="1" thickBot="1" x14ac:dyDescent="0.35">
      <c r="B1343" s="8">
        <v>1341</v>
      </c>
      <c r="C1343" s="9" t="s">
        <v>11</v>
      </c>
      <c r="D1343" s="19">
        <v>45392</v>
      </c>
      <c r="E1343" s="9" t="s">
        <v>19</v>
      </c>
      <c r="F1343" s="9" t="s">
        <v>23</v>
      </c>
      <c r="G1343" s="9" t="s">
        <v>31</v>
      </c>
      <c r="H1343" s="9">
        <v>129</v>
      </c>
      <c r="I1343" s="5">
        <v>180</v>
      </c>
      <c r="J1343" s="5">
        <f t="shared" si="20"/>
        <v>23220</v>
      </c>
      <c r="K1343" s="9">
        <v>10</v>
      </c>
      <c r="L1343" s="9" t="s">
        <v>34</v>
      </c>
      <c r="M1343" s="9">
        <v>3</v>
      </c>
    </row>
    <row r="1344" spans="2:13" ht="15.6" thickTop="1" thickBot="1" x14ac:dyDescent="0.35">
      <c r="B1344" s="6">
        <v>1342</v>
      </c>
      <c r="C1344" s="7" t="s">
        <v>11</v>
      </c>
      <c r="D1344" s="18">
        <v>45393</v>
      </c>
      <c r="E1344" s="7" t="s">
        <v>18</v>
      </c>
      <c r="F1344" s="7" t="s">
        <v>27</v>
      </c>
      <c r="G1344" s="7" t="s">
        <v>30</v>
      </c>
      <c r="H1344" s="7">
        <v>85</v>
      </c>
      <c r="I1344" s="5">
        <v>135</v>
      </c>
      <c r="J1344" s="5">
        <f t="shared" si="20"/>
        <v>11475</v>
      </c>
      <c r="K1344" s="7">
        <v>14</v>
      </c>
      <c r="L1344" s="7" t="s">
        <v>34</v>
      </c>
      <c r="M1344" s="7">
        <v>1</v>
      </c>
    </row>
    <row r="1345" spans="2:13" ht="15.6" thickTop="1" thickBot="1" x14ac:dyDescent="0.35">
      <c r="B1345" s="8">
        <v>1343</v>
      </c>
      <c r="C1345" s="9" t="s">
        <v>10</v>
      </c>
      <c r="D1345" s="19">
        <v>45394</v>
      </c>
      <c r="E1345" s="9" t="s">
        <v>15</v>
      </c>
      <c r="F1345" s="9" t="s">
        <v>25</v>
      </c>
      <c r="G1345" s="9" t="s">
        <v>32</v>
      </c>
      <c r="H1345" s="9">
        <v>35</v>
      </c>
      <c r="I1345" s="5">
        <v>45</v>
      </c>
      <c r="J1345" s="5">
        <f t="shared" si="20"/>
        <v>1575</v>
      </c>
      <c r="K1345" s="9">
        <v>11</v>
      </c>
      <c r="L1345" s="9" t="s">
        <v>33</v>
      </c>
      <c r="M1345" s="9">
        <v>4</v>
      </c>
    </row>
    <row r="1346" spans="2:13" ht="15.6" thickTop="1" thickBot="1" x14ac:dyDescent="0.35">
      <c r="B1346" s="6">
        <v>1344</v>
      </c>
      <c r="C1346" s="7" t="s">
        <v>10</v>
      </c>
      <c r="D1346" s="18">
        <v>45395</v>
      </c>
      <c r="E1346" s="7" t="s">
        <v>16</v>
      </c>
      <c r="F1346" s="7" t="s">
        <v>26</v>
      </c>
      <c r="G1346" s="7" t="s">
        <v>30</v>
      </c>
      <c r="H1346" s="7">
        <v>223</v>
      </c>
      <c r="I1346" s="5">
        <v>180</v>
      </c>
      <c r="J1346" s="5">
        <f t="shared" si="20"/>
        <v>40140</v>
      </c>
      <c r="K1346" s="7">
        <v>21</v>
      </c>
      <c r="L1346" s="7" t="s">
        <v>33</v>
      </c>
      <c r="M1346" s="7">
        <v>3</v>
      </c>
    </row>
    <row r="1347" spans="2:13" ht="15.6" thickTop="1" thickBot="1" x14ac:dyDescent="0.35">
      <c r="B1347" s="8">
        <v>1345</v>
      </c>
      <c r="C1347" s="9" t="s">
        <v>10</v>
      </c>
      <c r="D1347" s="19">
        <v>45396</v>
      </c>
      <c r="E1347" s="9" t="s">
        <v>14</v>
      </c>
      <c r="F1347" s="9" t="s">
        <v>25</v>
      </c>
      <c r="G1347" s="9" t="s">
        <v>29</v>
      </c>
      <c r="H1347" s="9">
        <v>136</v>
      </c>
      <c r="I1347" s="5">
        <v>90</v>
      </c>
      <c r="J1347" s="5">
        <f t="shared" si="20"/>
        <v>12240</v>
      </c>
      <c r="K1347" s="9">
        <v>11</v>
      </c>
      <c r="L1347" s="9" t="s">
        <v>34</v>
      </c>
      <c r="M1347" s="9">
        <v>4</v>
      </c>
    </row>
    <row r="1348" spans="2:13" ht="15.6" thickTop="1" thickBot="1" x14ac:dyDescent="0.35">
      <c r="B1348" s="6">
        <v>1346</v>
      </c>
      <c r="C1348" s="7" t="s">
        <v>11</v>
      </c>
      <c r="D1348" s="18">
        <v>45397</v>
      </c>
      <c r="E1348" s="7" t="s">
        <v>21</v>
      </c>
      <c r="F1348" s="7" t="s">
        <v>26</v>
      </c>
      <c r="G1348" s="7" t="s">
        <v>31</v>
      </c>
      <c r="H1348" s="7">
        <v>119</v>
      </c>
      <c r="I1348" s="5">
        <v>180</v>
      </c>
      <c r="J1348" s="5">
        <f t="shared" ref="J1348:J1411" si="21">H1348*I1348</f>
        <v>21420</v>
      </c>
      <c r="K1348" s="7">
        <v>14</v>
      </c>
      <c r="L1348" s="7" t="s">
        <v>34</v>
      </c>
      <c r="M1348" s="7">
        <v>1</v>
      </c>
    </row>
    <row r="1349" spans="2:13" ht="15.6" thickTop="1" thickBot="1" x14ac:dyDescent="0.35">
      <c r="B1349" s="8">
        <v>1347</v>
      </c>
      <c r="C1349" s="9" t="s">
        <v>11</v>
      </c>
      <c r="D1349" s="19">
        <v>45398</v>
      </c>
      <c r="E1349" s="9" t="s">
        <v>21</v>
      </c>
      <c r="F1349" s="9" t="s">
        <v>26</v>
      </c>
      <c r="G1349" s="9" t="s">
        <v>32</v>
      </c>
      <c r="H1349" s="9">
        <v>44</v>
      </c>
      <c r="I1349" s="5">
        <v>180</v>
      </c>
      <c r="J1349" s="5">
        <f t="shared" si="21"/>
        <v>7920</v>
      </c>
      <c r="K1349" s="9">
        <v>15</v>
      </c>
      <c r="L1349" s="9" t="s">
        <v>34</v>
      </c>
      <c r="M1349" s="9"/>
    </row>
    <row r="1350" spans="2:13" ht="15.6" thickTop="1" thickBot="1" x14ac:dyDescent="0.35">
      <c r="B1350" s="6">
        <v>1348</v>
      </c>
      <c r="C1350" s="7" t="s">
        <v>11</v>
      </c>
      <c r="D1350" s="18">
        <v>45399</v>
      </c>
      <c r="E1350" s="7" t="s">
        <v>21</v>
      </c>
      <c r="F1350" s="7" t="s">
        <v>26</v>
      </c>
      <c r="G1350" s="7" t="s">
        <v>28</v>
      </c>
      <c r="H1350" s="7">
        <v>230</v>
      </c>
      <c r="I1350" s="5">
        <v>45</v>
      </c>
      <c r="J1350" s="5">
        <f t="shared" si="21"/>
        <v>10350</v>
      </c>
      <c r="K1350" s="7">
        <v>14</v>
      </c>
      <c r="L1350" s="7" t="s">
        <v>35</v>
      </c>
      <c r="M1350" s="7">
        <v>4</v>
      </c>
    </row>
    <row r="1351" spans="2:13" ht="15.6" thickTop="1" thickBot="1" x14ac:dyDescent="0.35">
      <c r="B1351" s="8">
        <v>1349</v>
      </c>
      <c r="C1351" s="9" t="s">
        <v>10</v>
      </c>
      <c r="D1351" s="19">
        <v>45400</v>
      </c>
      <c r="E1351" s="9" t="s">
        <v>14</v>
      </c>
      <c r="F1351" s="9" t="s">
        <v>25</v>
      </c>
      <c r="G1351" s="9" t="s">
        <v>32</v>
      </c>
      <c r="H1351" s="9">
        <v>35</v>
      </c>
      <c r="I1351" s="5">
        <v>90</v>
      </c>
      <c r="J1351" s="5">
        <f t="shared" si="21"/>
        <v>3150</v>
      </c>
      <c r="K1351" s="9">
        <v>19</v>
      </c>
      <c r="L1351" s="9" t="s">
        <v>35</v>
      </c>
      <c r="M1351" s="9">
        <v>3</v>
      </c>
    </row>
    <row r="1352" spans="2:13" ht="15.6" thickTop="1" thickBot="1" x14ac:dyDescent="0.35">
      <c r="B1352" s="6">
        <v>1350</v>
      </c>
      <c r="C1352" s="7" t="s">
        <v>10</v>
      </c>
      <c r="D1352" s="18">
        <v>45401</v>
      </c>
      <c r="E1352" s="7" t="s">
        <v>20</v>
      </c>
      <c r="F1352" s="7" t="s">
        <v>20</v>
      </c>
      <c r="G1352" s="7" t="s">
        <v>30</v>
      </c>
      <c r="H1352" s="7">
        <v>228</v>
      </c>
      <c r="I1352" s="5">
        <v>45</v>
      </c>
      <c r="J1352" s="5">
        <f t="shared" si="21"/>
        <v>10260</v>
      </c>
      <c r="K1352" s="7">
        <v>21</v>
      </c>
      <c r="L1352" s="7" t="s">
        <v>35</v>
      </c>
      <c r="M1352" s="7">
        <v>2</v>
      </c>
    </row>
    <row r="1353" spans="2:13" ht="15.6" thickTop="1" thickBot="1" x14ac:dyDescent="0.35">
      <c r="B1353" s="8">
        <v>1351</v>
      </c>
      <c r="C1353" s="9" t="s">
        <v>11</v>
      </c>
      <c r="D1353" s="19">
        <v>45402</v>
      </c>
      <c r="E1353" s="9" t="s">
        <v>18</v>
      </c>
      <c r="F1353" s="9" t="s">
        <v>27</v>
      </c>
      <c r="G1353" s="9" t="s">
        <v>29</v>
      </c>
      <c r="H1353" s="9">
        <v>100</v>
      </c>
      <c r="I1353" s="5">
        <v>225</v>
      </c>
      <c r="J1353" s="5">
        <f t="shared" si="21"/>
        <v>22500</v>
      </c>
      <c r="K1353" s="9">
        <v>14</v>
      </c>
      <c r="L1353" s="9" t="s">
        <v>35</v>
      </c>
      <c r="M1353" s="9">
        <v>2</v>
      </c>
    </row>
    <row r="1354" spans="2:13" ht="15.6" thickTop="1" thickBot="1" x14ac:dyDescent="0.35">
      <c r="B1354" s="6">
        <v>1352</v>
      </c>
      <c r="C1354" s="7" t="s">
        <v>10</v>
      </c>
      <c r="D1354" s="18">
        <v>45403</v>
      </c>
      <c r="E1354" s="7" t="s">
        <v>12</v>
      </c>
      <c r="F1354" s="7" t="s">
        <v>23</v>
      </c>
      <c r="G1354" s="7" t="s">
        <v>31</v>
      </c>
      <c r="H1354" s="7">
        <v>47</v>
      </c>
      <c r="I1354" s="5">
        <v>135</v>
      </c>
      <c r="J1354" s="5">
        <f t="shared" si="21"/>
        <v>6345</v>
      </c>
      <c r="K1354" s="7">
        <v>21</v>
      </c>
      <c r="L1354" s="7" t="s">
        <v>35</v>
      </c>
      <c r="M1354" s="7">
        <v>3</v>
      </c>
    </row>
    <row r="1355" spans="2:13" ht="15.6" thickTop="1" thickBot="1" x14ac:dyDescent="0.35">
      <c r="B1355" s="8">
        <v>1353</v>
      </c>
      <c r="C1355" s="9" t="s">
        <v>10</v>
      </c>
      <c r="D1355" s="19">
        <v>45404</v>
      </c>
      <c r="E1355" s="9" t="s">
        <v>12</v>
      </c>
      <c r="F1355" s="9" t="s">
        <v>23</v>
      </c>
      <c r="G1355" s="9" t="s">
        <v>29</v>
      </c>
      <c r="H1355" s="9">
        <v>194</v>
      </c>
      <c r="I1355" s="5">
        <v>90</v>
      </c>
      <c r="J1355" s="5">
        <f t="shared" si="21"/>
        <v>17460</v>
      </c>
      <c r="K1355" s="9">
        <v>16</v>
      </c>
      <c r="L1355" s="9" t="s">
        <v>33</v>
      </c>
      <c r="M1355" s="9"/>
    </row>
    <row r="1356" spans="2:13" ht="15.6" thickTop="1" thickBot="1" x14ac:dyDescent="0.35">
      <c r="B1356" s="6">
        <v>1354</v>
      </c>
      <c r="C1356" s="7" t="s">
        <v>11</v>
      </c>
      <c r="D1356" s="18">
        <v>45405</v>
      </c>
      <c r="E1356" s="7" t="s">
        <v>13</v>
      </c>
      <c r="F1356" s="7" t="s">
        <v>24</v>
      </c>
      <c r="G1356" s="7" t="s">
        <v>31</v>
      </c>
      <c r="H1356" s="7">
        <v>215</v>
      </c>
      <c r="I1356" s="5">
        <v>45</v>
      </c>
      <c r="J1356" s="5">
        <f t="shared" si="21"/>
        <v>9675</v>
      </c>
      <c r="K1356" s="7">
        <v>8</v>
      </c>
      <c r="L1356" s="7" t="s">
        <v>33</v>
      </c>
      <c r="M1356" s="7">
        <v>1</v>
      </c>
    </row>
    <row r="1357" spans="2:13" ht="15.6" thickTop="1" thickBot="1" x14ac:dyDescent="0.35">
      <c r="B1357" s="8">
        <v>1355</v>
      </c>
      <c r="C1357" s="9" t="s">
        <v>11</v>
      </c>
      <c r="D1357" s="19">
        <v>45406</v>
      </c>
      <c r="E1357" s="9" t="s">
        <v>22</v>
      </c>
      <c r="F1357" s="9" t="s">
        <v>25</v>
      </c>
      <c r="G1357" s="9" t="s">
        <v>31</v>
      </c>
      <c r="H1357" s="9">
        <v>156</v>
      </c>
      <c r="I1357" s="5">
        <v>180</v>
      </c>
      <c r="J1357" s="5">
        <f t="shared" si="21"/>
        <v>28080</v>
      </c>
      <c r="K1357" s="9">
        <v>17</v>
      </c>
      <c r="L1357" s="9" t="s">
        <v>35</v>
      </c>
      <c r="M1357" s="9">
        <v>3</v>
      </c>
    </row>
    <row r="1358" spans="2:13" ht="15.6" thickTop="1" thickBot="1" x14ac:dyDescent="0.35">
      <c r="B1358" s="6">
        <v>1356</v>
      </c>
      <c r="C1358" s="7" t="s">
        <v>11</v>
      </c>
      <c r="D1358" s="18">
        <v>45407</v>
      </c>
      <c r="E1358" s="7" t="s">
        <v>18</v>
      </c>
      <c r="F1358" s="7" t="s">
        <v>27</v>
      </c>
      <c r="G1358" s="7" t="s">
        <v>32</v>
      </c>
      <c r="H1358" s="7">
        <v>42</v>
      </c>
      <c r="I1358" s="5">
        <v>225</v>
      </c>
      <c r="J1358" s="5">
        <f t="shared" si="21"/>
        <v>9450</v>
      </c>
      <c r="K1358" s="7">
        <v>14</v>
      </c>
      <c r="L1358" s="7" t="s">
        <v>35</v>
      </c>
      <c r="M1358" s="7">
        <v>5</v>
      </c>
    </row>
    <row r="1359" spans="2:13" ht="15.6" thickTop="1" thickBot="1" x14ac:dyDescent="0.35">
      <c r="B1359" s="8">
        <v>1357</v>
      </c>
      <c r="C1359" s="9" t="s">
        <v>11</v>
      </c>
      <c r="D1359" s="19">
        <v>45408</v>
      </c>
      <c r="E1359" s="9" t="s">
        <v>15</v>
      </c>
      <c r="F1359" s="9" t="s">
        <v>25</v>
      </c>
      <c r="G1359" s="9" t="s">
        <v>32</v>
      </c>
      <c r="H1359" s="9">
        <v>132</v>
      </c>
      <c r="I1359" s="5">
        <v>225</v>
      </c>
      <c r="J1359" s="5">
        <f t="shared" si="21"/>
        <v>29700</v>
      </c>
      <c r="K1359" s="9">
        <v>16</v>
      </c>
      <c r="L1359" s="9" t="s">
        <v>35</v>
      </c>
      <c r="M1359" s="9">
        <v>3</v>
      </c>
    </row>
    <row r="1360" spans="2:13" ht="15.6" thickTop="1" thickBot="1" x14ac:dyDescent="0.35">
      <c r="B1360" s="6">
        <v>1358</v>
      </c>
      <c r="C1360" s="7" t="s">
        <v>10</v>
      </c>
      <c r="D1360" s="18">
        <v>45409</v>
      </c>
      <c r="E1360" s="7" t="s">
        <v>21</v>
      </c>
      <c r="F1360" s="7" t="s">
        <v>26</v>
      </c>
      <c r="G1360" s="7" t="s">
        <v>31</v>
      </c>
      <c r="H1360" s="7">
        <v>102</v>
      </c>
      <c r="I1360" s="5">
        <v>180</v>
      </c>
      <c r="J1360" s="5">
        <f t="shared" si="21"/>
        <v>18360</v>
      </c>
      <c r="K1360" s="7">
        <v>16</v>
      </c>
      <c r="L1360" s="7" t="s">
        <v>34</v>
      </c>
      <c r="M1360" s="7">
        <v>4</v>
      </c>
    </row>
    <row r="1361" spans="2:13" ht="15.6" thickTop="1" thickBot="1" x14ac:dyDescent="0.35">
      <c r="B1361" s="8">
        <v>1359</v>
      </c>
      <c r="C1361" s="9" t="s">
        <v>11</v>
      </c>
      <c r="D1361" s="19">
        <v>45410</v>
      </c>
      <c r="E1361" s="9" t="s">
        <v>14</v>
      </c>
      <c r="F1361" s="9" t="s">
        <v>25</v>
      </c>
      <c r="G1361" s="9" t="s">
        <v>31</v>
      </c>
      <c r="H1361" s="9">
        <v>48</v>
      </c>
      <c r="I1361" s="5">
        <v>135</v>
      </c>
      <c r="J1361" s="5">
        <f t="shared" si="21"/>
        <v>6480</v>
      </c>
      <c r="K1361" s="9">
        <v>14</v>
      </c>
      <c r="L1361" s="9" t="s">
        <v>34</v>
      </c>
      <c r="M1361" s="9">
        <v>2</v>
      </c>
    </row>
    <row r="1362" spans="2:13" ht="15.6" thickTop="1" thickBot="1" x14ac:dyDescent="0.35">
      <c r="B1362" s="6">
        <v>1360</v>
      </c>
      <c r="C1362" s="7" t="s">
        <v>10</v>
      </c>
      <c r="D1362" s="18">
        <v>45411</v>
      </c>
      <c r="E1362" s="7" t="s">
        <v>19</v>
      </c>
      <c r="F1362" s="7" t="s">
        <v>23</v>
      </c>
      <c r="G1362" s="7" t="s">
        <v>30</v>
      </c>
      <c r="H1362" s="7">
        <v>229</v>
      </c>
      <c r="I1362" s="5">
        <v>135</v>
      </c>
      <c r="J1362" s="5">
        <f t="shared" si="21"/>
        <v>30915</v>
      </c>
      <c r="K1362" s="7">
        <v>12</v>
      </c>
      <c r="L1362" s="7" t="s">
        <v>34</v>
      </c>
      <c r="M1362" s="7">
        <v>5</v>
      </c>
    </row>
    <row r="1363" spans="2:13" ht="15.6" thickTop="1" thickBot="1" x14ac:dyDescent="0.35">
      <c r="B1363" s="8">
        <v>1361</v>
      </c>
      <c r="C1363" s="9" t="s">
        <v>10</v>
      </c>
      <c r="D1363" s="19">
        <v>45412</v>
      </c>
      <c r="E1363" s="9" t="s">
        <v>12</v>
      </c>
      <c r="F1363" s="9" t="s">
        <v>23</v>
      </c>
      <c r="G1363" s="9" t="s">
        <v>32</v>
      </c>
      <c r="H1363" s="9">
        <v>52</v>
      </c>
      <c r="I1363" s="5">
        <v>90</v>
      </c>
      <c r="J1363" s="5">
        <f t="shared" si="21"/>
        <v>4680</v>
      </c>
      <c r="K1363" s="9">
        <v>25</v>
      </c>
      <c r="L1363" s="9" t="s">
        <v>35</v>
      </c>
      <c r="M1363" s="9">
        <v>5</v>
      </c>
    </row>
    <row r="1364" spans="2:13" ht="15.6" thickTop="1" thickBot="1" x14ac:dyDescent="0.35">
      <c r="B1364" s="6">
        <v>1362</v>
      </c>
      <c r="C1364" s="7" t="s">
        <v>11</v>
      </c>
      <c r="D1364" s="18">
        <v>45413</v>
      </c>
      <c r="E1364" s="7" t="s">
        <v>13</v>
      </c>
      <c r="F1364" s="7" t="s">
        <v>24</v>
      </c>
      <c r="G1364" s="7" t="s">
        <v>31</v>
      </c>
      <c r="H1364" s="7">
        <v>112</v>
      </c>
      <c r="I1364" s="5">
        <v>45</v>
      </c>
      <c r="J1364" s="5">
        <f t="shared" si="21"/>
        <v>5040</v>
      </c>
      <c r="K1364" s="7">
        <v>18</v>
      </c>
      <c r="L1364" s="7" t="s">
        <v>34</v>
      </c>
      <c r="M1364" s="7">
        <v>3</v>
      </c>
    </row>
    <row r="1365" spans="2:13" ht="15.6" thickTop="1" thickBot="1" x14ac:dyDescent="0.35">
      <c r="B1365" s="8">
        <v>1363</v>
      </c>
      <c r="C1365" s="9" t="s">
        <v>10</v>
      </c>
      <c r="D1365" s="19">
        <v>45414</v>
      </c>
      <c r="E1365" s="9" t="s">
        <v>22</v>
      </c>
      <c r="F1365" s="9" t="s">
        <v>25</v>
      </c>
      <c r="G1365" s="9" t="s">
        <v>32</v>
      </c>
      <c r="H1365" s="9">
        <v>59</v>
      </c>
      <c r="I1365" s="5">
        <v>180</v>
      </c>
      <c r="J1365" s="5">
        <f t="shared" si="21"/>
        <v>10620</v>
      </c>
      <c r="K1365" s="9">
        <v>14</v>
      </c>
      <c r="L1365" s="9" t="s">
        <v>35</v>
      </c>
      <c r="M1365" s="9">
        <v>2</v>
      </c>
    </row>
    <row r="1366" spans="2:13" ht="15.6" thickTop="1" thickBot="1" x14ac:dyDescent="0.35">
      <c r="B1366" s="6">
        <v>1364</v>
      </c>
      <c r="C1366" s="7" t="s">
        <v>11</v>
      </c>
      <c r="D1366" s="18">
        <v>45415</v>
      </c>
      <c r="E1366" s="7" t="s">
        <v>13</v>
      </c>
      <c r="F1366" s="7" t="s">
        <v>24</v>
      </c>
      <c r="G1366" s="7" t="s">
        <v>28</v>
      </c>
      <c r="H1366" s="7">
        <v>162</v>
      </c>
      <c r="I1366" s="5">
        <v>90</v>
      </c>
      <c r="J1366" s="5">
        <f t="shared" si="21"/>
        <v>14580</v>
      </c>
      <c r="K1366" s="7">
        <v>10</v>
      </c>
      <c r="L1366" s="7" t="s">
        <v>34</v>
      </c>
      <c r="M1366" s="7"/>
    </row>
    <row r="1367" spans="2:13" ht="15.6" thickTop="1" thickBot="1" x14ac:dyDescent="0.35">
      <c r="B1367" s="8">
        <v>1365</v>
      </c>
      <c r="C1367" s="9" t="s">
        <v>10</v>
      </c>
      <c r="D1367" s="19">
        <v>45416</v>
      </c>
      <c r="E1367" s="9" t="s">
        <v>13</v>
      </c>
      <c r="F1367" s="9" t="s">
        <v>24</v>
      </c>
      <c r="G1367" s="9" t="s">
        <v>30</v>
      </c>
      <c r="H1367" s="9">
        <v>184</v>
      </c>
      <c r="I1367" s="5">
        <v>135</v>
      </c>
      <c r="J1367" s="5">
        <f t="shared" si="21"/>
        <v>24840</v>
      </c>
      <c r="K1367" s="9">
        <v>18</v>
      </c>
      <c r="L1367" s="9" t="s">
        <v>35</v>
      </c>
      <c r="M1367" s="9">
        <v>1</v>
      </c>
    </row>
    <row r="1368" spans="2:13" ht="15.6" thickTop="1" thickBot="1" x14ac:dyDescent="0.35">
      <c r="B1368" s="6">
        <v>1366</v>
      </c>
      <c r="C1368" s="7" t="s">
        <v>11</v>
      </c>
      <c r="D1368" s="18">
        <v>45417</v>
      </c>
      <c r="E1368" s="7" t="s">
        <v>19</v>
      </c>
      <c r="F1368" s="7" t="s">
        <v>23</v>
      </c>
      <c r="G1368" s="7" t="s">
        <v>31</v>
      </c>
      <c r="H1368" s="7">
        <v>113</v>
      </c>
      <c r="I1368" s="5">
        <v>180</v>
      </c>
      <c r="J1368" s="5">
        <f t="shared" si="21"/>
        <v>20340</v>
      </c>
      <c r="K1368" s="7">
        <v>11</v>
      </c>
      <c r="L1368" s="7" t="s">
        <v>35</v>
      </c>
      <c r="M1368" s="7"/>
    </row>
    <row r="1369" spans="2:13" ht="15.6" thickTop="1" thickBot="1" x14ac:dyDescent="0.35">
      <c r="B1369" s="8">
        <v>1367</v>
      </c>
      <c r="C1369" s="9" t="s">
        <v>10</v>
      </c>
      <c r="D1369" s="19">
        <v>45418</v>
      </c>
      <c r="E1369" s="9" t="s">
        <v>14</v>
      </c>
      <c r="F1369" s="9" t="s">
        <v>25</v>
      </c>
      <c r="G1369" s="9" t="s">
        <v>30</v>
      </c>
      <c r="H1369" s="9">
        <v>158</v>
      </c>
      <c r="I1369" s="5">
        <v>180</v>
      </c>
      <c r="J1369" s="5">
        <f t="shared" si="21"/>
        <v>28440</v>
      </c>
      <c r="K1369" s="9">
        <v>12</v>
      </c>
      <c r="L1369" s="9" t="s">
        <v>34</v>
      </c>
      <c r="M1369" s="9">
        <v>3</v>
      </c>
    </row>
    <row r="1370" spans="2:13" ht="15.6" thickTop="1" thickBot="1" x14ac:dyDescent="0.35">
      <c r="B1370" s="6">
        <v>1368</v>
      </c>
      <c r="C1370" s="7" t="s">
        <v>10</v>
      </c>
      <c r="D1370" s="18">
        <v>45419</v>
      </c>
      <c r="E1370" s="7" t="s">
        <v>18</v>
      </c>
      <c r="F1370" s="7" t="s">
        <v>27</v>
      </c>
      <c r="G1370" s="7" t="s">
        <v>29</v>
      </c>
      <c r="H1370" s="7">
        <v>189</v>
      </c>
      <c r="I1370" s="5">
        <v>225</v>
      </c>
      <c r="J1370" s="5">
        <f t="shared" si="21"/>
        <v>42525</v>
      </c>
      <c r="K1370" s="7">
        <v>22</v>
      </c>
      <c r="L1370" s="7" t="s">
        <v>34</v>
      </c>
      <c r="M1370" s="7">
        <v>4</v>
      </c>
    </row>
    <row r="1371" spans="2:13" ht="15.6" thickTop="1" thickBot="1" x14ac:dyDescent="0.35">
      <c r="B1371" s="8">
        <v>1369</v>
      </c>
      <c r="C1371" s="9" t="s">
        <v>11</v>
      </c>
      <c r="D1371" s="19">
        <v>45420</v>
      </c>
      <c r="E1371" s="9" t="s">
        <v>16</v>
      </c>
      <c r="F1371" s="9" t="s">
        <v>26</v>
      </c>
      <c r="G1371" s="9" t="s">
        <v>30</v>
      </c>
      <c r="H1371" s="9">
        <v>98</v>
      </c>
      <c r="I1371" s="5">
        <v>225</v>
      </c>
      <c r="J1371" s="5">
        <f t="shared" si="21"/>
        <v>22050</v>
      </c>
      <c r="K1371" s="9">
        <v>19</v>
      </c>
      <c r="L1371" s="9" t="s">
        <v>35</v>
      </c>
      <c r="M1371" s="9"/>
    </row>
    <row r="1372" spans="2:13" ht="15.6" thickTop="1" thickBot="1" x14ac:dyDescent="0.35">
      <c r="B1372" s="6">
        <v>1370</v>
      </c>
      <c r="C1372" s="7" t="s">
        <v>10</v>
      </c>
      <c r="D1372" s="18">
        <v>45421</v>
      </c>
      <c r="E1372" s="7" t="s">
        <v>14</v>
      </c>
      <c r="F1372" s="7" t="s">
        <v>25</v>
      </c>
      <c r="G1372" s="7" t="s">
        <v>32</v>
      </c>
      <c r="H1372" s="7">
        <v>162</v>
      </c>
      <c r="I1372" s="5">
        <v>90</v>
      </c>
      <c r="J1372" s="5">
        <f t="shared" si="21"/>
        <v>14580</v>
      </c>
      <c r="K1372" s="7">
        <v>13</v>
      </c>
      <c r="L1372" s="7" t="s">
        <v>33</v>
      </c>
      <c r="M1372" s="7">
        <v>4</v>
      </c>
    </row>
    <row r="1373" spans="2:13" ht="15.6" thickTop="1" thickBot="1" x14ac:dyDescent="0.35">
      <c r="B1373" s="8">
        <v>1371</v>
      </c>
      <c r="C1373" s="9" t="s">
        <v>11</v>
      </c>
      <c r="D1373" s="19">
        <v>45422</v>
      </c>
      <c r="E1373" s="9" t="s">
        <v>14</v>
      </c>
      <c r="F1373" s="9" t="s">
        <v>25</v>
      </c>
      <c r="G1373" s="9" t="s">
        <v>30</v>
      </c>
      <c r="H1373" s="9">
        <v>56</v>
      </c>
      <c r="I1373" s="5">
        <v>45</v>
      </c>
      <c r="J1373" s="5">
        <f t="shared" si="21"/>
        <v>2520</v>
      </c>
      <c r="K1373" s="9">
        <v>20</v>
      </c>
      <c r="L1373" s="9" t="s">
        <v>35</v>
      </c>
      <c r="M1373" s="9">
        <v>4</v>
      </c>
    </row>
    <row r="1374" spans="2:13" ht="15.6" thickTop="1" thickBot="1" x14ac:dyDescent="0.35">
      <c r="B1374" s="6">
        <v>1372</v>
      </c>
      <c r="C1374" s="7" t="s">
        <v>10</v>
      </c>
      <c r="D1374" s="18">
        <v>45423</v>
      </c>
      <c r="E1374" s="7" t="s">
        <v>14</v>
      </c>
      <c r="F1374" s="7" t="s">
        <v>25</v>
      </c>
      <c r="G1374" s="7" t="s">
        <v>31</v>
      </c>
      <c r="H1374" s="7">
        <v>197</v>
      </c>
      <c r="I1374" s="5">
        <v>135</v>
      </c>
      <c r="J1374" s="5">
        <f t="shared" si="21"/>
        <v>26595</v>
      </c>
      <c r="K1374" s="7">
        <v>22</v>
      </c>
      <c r="L1374" s="7" t="s">
        <v>35</v>
      </c>
      <c r="M1374" s="7">
        <v>2</v>
      </c>
    </row>
    <row r="1375" spans="2:13" ht="15.6" thickTop="1" thickBot="1" x14ac:dyDescent="0.35">
      <c r="B1375" s="8">
        <v>1373</v>
      </c>
      <c r="C1375" s="9" t="s">
        <v>10</v>
      </c>
      <c r="D1375" s="19">
        <v>45424</v>
      </c>
      <c r="E1375" s="9" t="s">
        <v>20</v>
      </c>
      <c r="F1375" s="9" t="s">
        <v>20</v>
      </c>
      <c r="G1375" s="9" t="s">
        <v>28</v>
      </c>
      <c r="H1375" s="9">
        <v>38</v>
      </c>
      <c r="I1375" s="5">
        <v>180</v>
      </c>
      <c r="J1375" s="5">
        <f t="shared" si="21"/>
        <v>6840</v>
      </c>
      <c r="K1375" s="9">
        <v>12</v>
      </c>
      <c r="L1375" s="9" t="s">
        <v>34</v>
      </c>
      <c r="M1375" s="9"/>
    </row>
    <row r="1376" spans="2:13" ht="15.6" thickTop="1" thickBot="1" x14ac:dyDescent="0.35">
      <c r="B1376" s="6">
        <v>1374</v>
      </c>
      <c r="C1376" s="7" t="s">
        <v>11</v>
      </c>
      <c r="D1376" s="18">
        <v>45425</v>
      </c>
      <c r="E1376" s="7" t="s">
        <v>19</v>
      </c>
      <c r="F1376" s="7" t="s">
        <v>23</v>
      </c>
      <c r="G1376" s="7" t="s">
        <v>29</v>
      </c>
      <c r="H1376" s="7">
        <v>91</v>
      </c>
      <c r="I1376" s="5">
        <v>90</v>
      </c>
      <c r="J1376" s="5">
        <f t="shared" si="21"/>
        <v>8190</v>
      </c>
      <c r="K1376" s="7">
        <v>10</v>
      </c>
      <c r="L1376" s="7" t="s">
        <v>35</v>
      </c>
      <c r="M1376" s="7">
        <v>2</v>
      </c>
    </row>
    <row r="1377" spans="2:13" ht="15.6" thickTop="1" thickBot="1" x14ac:dyDescent="0.35">
      <c r="B1377" s="8">
        <v>1375</v>
      </c>
      <c r="C1377" s="9" t="s">
        <v>10</v>
      </c>
      <c r="D1377" s="19">
        <v>45426</v>
      </c>
      <c r="E1377" s="9" t="s">
        <v>14</v>
      </c>
      <c r="F1377" s="9" t="s">
        <v>25</v>
      </c>
      <c r="G1377" s="9" t="s">
        <v>30</v>
      </c>
      <c r="H1377" s="9">
        <v>245</v>
      </c>
      <c r="I1377" s="5">
        <v>180</v>
      </c>
      <c r="J1377" s="5">
        <f t="shared" si="21"/>
        <v>44100</v>
      </c>
      <c r="K1377" s="9">
        <v>19</v>
      </c>
      <c r="L1377" s="9" t="s">
        <v>35</v>
      </c>
      <c r="M1377" s="9"/>
    </row>
    <row r="1378" spans="2:13" ht="15.6" thickTop="1" thickBot="1" x14ac:dyDescent="0.35">
      <c r="B1378" s="6">
        <v>1376</v>
      </c>
      <c r="C1378" s="7" t="s">
        <v>10</v>
      </c>
      <c r="D1378" s="18">
        <v>45427</v>
      </c>
      <c r="E1378" s="7" t="s">
        <v>12</v>
      </c>
      <c r="F1378" s="7" t="s">
        <v>23</v>
      </c>
      <c r="G1378" s="7" t="s">
        <v>32</v>
      </c>
      <c r="H1378" s="7">
        <v>68</v>
      </c>
      <c r="I1378" s="5">
        <v>90</v>
      </c>
      <c r="J1378" s="5">
        <f t="shared" si="21"/>
        <v>6120</v>
      </c>
      <c r="K1378" s="7">
        <v>21</v>
      </c>
      <c r="L1378" s="7" t="s">
        <v>35</v>
      </c>
      <c r="M1378" s="7"/>
    </row>
    <row r="1379" spans="2:13" ht="15.6" thickTop="1" thickBot="1" x14ac:dyDescent="0.35">
      <c r="B1379" s="8">
        <v>1377</v>
      </c>
      <c r="C1379" s="9" t="s">
        <v>10</v>
      </c>
      <c r="D1379" s="19">
        <v>45428</v>
      </c>
      <c r="E1379" s="9" t="s">
        <v>19</v>
      </c>
      <c r="F1379" s="9" t="s">
        <v>23</v>
      </c>
      <c r="G1379" s="9" t="s">
        <v>31</v>
      </c>
      <c r="H1379" s="9">
        <v>194</v>
      </c>
      <c r="I1379" s="5">
        <v>45</v>
      </c>
      <c r="J1379" s="5">
        <f t="shared" si="21"/>
        <v>8730</v>
      </c>
      <c r="K1379" s="9">
        <v>16</v>
      </c>
      <c r="L1379" s="9" t="s">
        <v>35</v>
      </c>
      <c r="M1379" s="9">
        <v>3</v>
      </c>
    </row>
    <row r="1380" spans="2:13" ht="15.6" thickTop="1" thickBot="1" x14ac:dyDescent="0.35">
      <c r="B1380" s="6">
        <v>1378</v>
      </c>
      <c r="C1380" s="7" t="s">
        <v>11</v>
      </c>
      <c r="D1380" s="18">
        <v>45429</v>
      </c>
      <c r="E1380" s="7" t="s">
        <v>18</v>
      </c>
      <c r="F1380" s="7" t="s">
        <v>27</v>
      </c>
      <c r="G1380" s="7" t="s">
        <v>32</v>
      </c>
      <c r="H1380" s="7">
        <v>216</v>
      </c>
      <c r="I1380" s="5">
        <v>45</v>
      </c>
      <c r="J1380" s="5">
        <f t="shared" si="21"/>
        <v>9720</v>
      </c>
      <c r="K1380" s="7">
        <v>9</v>
      </c>
      <c r="L1380" s="7" t="s">
        <v>35</v>
      </c>
      <c r="M1380" s="7"/>
    </row>
    <row r="1381" spans="2:13" ht="15.6" thickTop="1" thickBot="1" x14ac:dyDescent="0.35">
      <c r="B1381" s="8">
        <v>1379</v>
      </c>
      <c r="C1381" s="9" t="s">
        <v>11</v>
      </c>
      <c r="D1381" s="19">
        <v>45430</v>
      </c>
      <c r="E1381" s="9" t="s">
        <v>13</v>
      </c>
      <c r="F1381" s="9" t="s">
        <v>24</v>
      </c>
      <c r="G1381" s="9" t="s">
        <v>29</v>
      </c>
      <c r="H1381" s="9">
        <v>42</v>
      </c>
      <c r="I1381" s="5">
        <v>45</v>
      </c>
      <c r="J1381" s="5">
        <f t="shared" si="21"/>
        <v>1890</v>
      </c>
      <c r="K1381" s="9">
        <v>17</v>
      </c>
      <c r="L1381" s="9" t="s">
        <v>34</v>
      </c>
      <c r="M1381" s="9">
        <v>4</v>
      </c>
    </row>
    <row r="1382" spans="2:13" ht="15.6" thickTop="1" thickBot="1" x14ac:dyDescent="0.35">
      <c r="B1382" s="6">
        <v>1380</v>
      </c>
      <c r="C1382" s="7" t="s">
        <v>10</v>
      </c>
      <c r="D1382" s="18">
        <v>45431</v>
      </c>
      <c r="E1382" s="7" t="s">
        <v>17</v>
      </c>
      <c r="F1382" s="7" t="s">
        <v>24</v>
      </c>
      <c r="G1382" s="7" t="s">
        <v>32</v>
      </c>
      <c r="H1382" s="7">
        <v>215</v>
      </c>
      <c r="I1382" s="5">
        <v>135</v>
      </c>
      <c r="J1382" s="5">
        <f t="shared" si="21"/>
        <v>29025</v>
      </c>
      <c r="K1382" s="7">
        <v>21</v>
      </c>
      <c r="L1382" s="7" t="s">
        <v>34</v>
      </c>
      <c r="M1382" s="7">
        <v>5</v>
      </c>
    </row>
    <row r="1383" spans="2:13" ht="15.6" thickTop="1" thickBot="1" x14ac:dyDescent="0.35">
      <c r="B1383" s="8">
        <v>1381</v>
      </c>
      <c r="C1383" s="9" t="s">
        <v>10</v>
      </c>
      <c r="D1383" s="19">
        <v>45432</v>
      </c>
      <c r="E1383" s="9" t="s">
        <v>22</v>
      </c>
      <c r="F1383" s="9" t="s">
        <v>25</v>
      </c>
      <c r="G1383" s="9" t="s">
        <v>29</v>
      </c>
      <c r="H1383" s="9">
        <v>64</v>
      </c>
      <c r="I1383" s="5">
        <v>135</v>
      </c>
      <c r="J1383" s="5">
        <f t="shared" si="21"/>
        <v>8640</v>
      </c>
      <c r="K1383" s="9">
        <v>12</v>
      </c>
      <c r="L1383" s="9" t="s">
        <v>34</v>
      </c>
      <c r="M1383" s="9">
        <v>3</v>
      </c>
    </row>
    <row r="1384" spans="2:13" ht="15.6" thickTop="1" thickBot="1" x14ac:dyDescent="0.35">
      <c r="B1384" s="6">
        <v>1382</v>
      </c>
      <c r="C1384" s="7" t="s">
        <v>11</v>
      </c>
      <c r="D1384" s="18">
        <v>45433</v>
      </c>
      <c r="E1384" s="7" t="s">
        <v>16</v>
      </c>
      <c r="F1384" s="7" t="s">
        <v>26</v>
      </c>
      <c r="G1384" s="7" t="s">
        <v>29</v>
      </c>
      <c r="H1384" s="7">
        <v>42</v>
      </c>
      <c r="I1384" s="5">
        <v>225</v>
      </c>
      <c r="J1384" s="5">
        <f t="shared" si="21"/>
        <v>9450</v>
      </c>
      <c r="K1384" s="7">
        <v>15</v>
      </c>
      <c r="L1384" s="7" t="s">
        <v>35</v>
      </c>
      <c r="M1384" s="7">
        <v>5</v>
      </c>
    </row>
    <row r="1385" spans="2:13" ht="15.6" thickTop="1" thickBot="1" x14ac:dyDescent="0.35">
      <c r="B1385" s="8">
        <v>1383</v>
      </c>
      <c r="C1385" s="9" t="s">
        <v>11</v>
      </c>
      <c r="D1385" s="19">
        <v>45434</v>
      </c>
      <c r="E1385" s="9" t="s">
        <v>17</v>
      </c>
      <c r="F1385" s="9" t="s">
        <v>24</v>
      </c>
      <c r="G1385" s="9" t="s">
        <v>29</v>
      </c>
      <c r="H1385" s="9">
        <v>198</v>
      </c>
      <c r="I1385" s="5">
        <v>135</v>
      </c>
      <c r="J1385" s="5">
        <f t="shared" si="21"/>
        <v>26730</v>
      </c>
      <c r="K1385" s="9">
        <v>9</v>
      </c>
      <c r="L1385" s="9" t="s">
        <v>35</v>
      </c>
      <c r="M1385" s="9">
        <v>4</v>
      </c>
    </row>
    <row r="1386" spans="2:13" ht="15.6" thickTop="1" thickBot="1" x14ac:dyDescent="0.35">
      <c r="B1386" s="6">
        <v>1384</v>
      </c>
      <c r="C1386" s="7" t="s">
        <v>11</v>
      </c>
      <c r="D1386" s="18">
        <v>45435</v>
      </c>
      <c r="E1386" s="7" t="s">
        <v>16</v>
      </c>
      <c r="F1386" s="7" t="s">
        <v>26</v>
      </c>
      <c r="G1386" s="7" t="s">
        <v>28</v>
      </c>
      <c r="H1386" s="7">
        <v>129</v>
      </c>
      <c r="I1386" s="5">
        <v>225</v>
      </c>
      <c r="J1386" s="5">
        <f t="shared" si="21"/>
        <v>29025</v>
      </c>
      <c r="K1386" s="7">
        <v>12</v>
      </c>
      <c r="L1386" s="7" t="s">
        <v>33</v>
      </c>
      <c r="M1386" s="7">
        <v>4</v>
      </c>
    </row>
    <row r="1387" spans="2:13" ht="15.6" thickTop="1" thickBot="1" x14ac:dyDescent="0.35">
      <c r="B1387" s="8">
        <v>1385</v>
      </c>
      <c r="C1387" s="9" t="s">
        <v>10</v>
      </c>
      <c r="D1387" s="19">
        <v>45436</v>
      </c>
      <c r="E1387" s="9" t="s">
        <v>12</v>
      </c>
      <c r="F1387" s="9" t="s">
        <v>23</v>
      </c>
      <c r="G1387" s="9" t="s">
        <v>31</v>
      </c>
      <c r="H1387" s="9">
        <v>216</v>
      </c>
      <c r="I1387" s="5">
        <v>180</v>
      </c>
      <c r="J1387" s="5">
        <f t="shared" si="21"/>
        <v>38880</v>
      </c>
      <c r="K1387" s="9">
        <v>12</v>
      </c>
      <c r="L1387" s="9" t="s">
        <v>34</v>
      </c>
      <c r="M1387" s="9"/>
    </row>
    <row r="1388" spans="2:13" ht="15.6" thickTop="1" thickBot="1" x14ac:dyDescent="0.35">
      <c r="B1388" s="6">
        <v>1386</v>
      </c>
      <c r="C1388" s="7" t="s">
        <v>10</v>
      </c>
      <c r="D1388" s="18">
        <v>45437</v>
      </c>
      <c r="E1388" s="7" t="s">
        <v>19</v>
      </c>
      <c r="F1388" s="7" t="s">
        <v>23</v>
      </c>
      <c r="G1388" s="7" t="s">
        <v>30</v>
      </c>
      <c r="H1388" s="7">
        <v>146</v>
      </c>
      <c r="I1388" s="5">
        <v>135</v>
      </c>
      <c r="J1388" s="5">
        <f t="shared" si="21"/>
        <v>19710</v>
      </c>
      <c r="K1388" s="7">
        <v>18</v>
      </c>
      <c r="L1388" s="7" t="s">
        <v>34</v>
      </c>
      <c r="M1388" s="7">
        <v>1</v>
      </c>
    </row>
    <row r="1389" spans="2:13" ht="15.6" thickTop="1" thickBot="1" x14ac:dyDescent="0.35">
      <c r="B1389" s="8">
        <v>1387</v>
      </c>
      <c r="C1389" s="9" t="s">
        <v>11</v>
      </c>
      <c r="D1389" s="19">
        <v>45438</v>
      </c>
      <c r="E1389" s="9" t="s">
        <v>21</v>
      </c>
      <c r="F1389" s="9" t="s">
        <v>26</v>
      </c>
      <c r="G1389" s="9" t="s">
        <v>28</v>
      </c>
      <c r="H1389" s="9">
        <v>90</v>
      </c>
      <c r="I1389" s="5">
        <v>45</v>
      </c>
      <c r="J1389" s="5">
        <f t="shared" si="21"/>
        <v>4050</v>
      </c>
      <c r="K1389" s="9">
        <v>19</v>
      </c>
      <c r="L1389" s="9" t="s">
        <v>34</v>
      </c>
      <c r="M1389" s="9">
        <v>3</v>
      </c>
    </row>
    <row r="1390" spans="2:13" ht="15.6" thickTop="1" thickBot="1" x14ac:dyDescent="0.35">
      <c r="B1390" s="6">
        <v>1388</v>
      </c>
      <c r="C1390" s="7" t="s">
        <v>10</v>
      </c>
      <c r="D1390" s="18">
        <v>45439</v>
      </c>
      <c r="E1390" s="7" t="s">
        <v>15</v>
      </c>
      <c r="F1390" s="7" t="s">
        <v>25</v>
      </c>
      <c r="G1390" s="7" t="s">
        <v>30</v>
      </c>
      <c r="H1390" s="7">
        <v>42</v>
      </c>
      <c r="I1390" s="5">
        <v>135</v>
      </c>
      <c r="J1390" s="5">
        <f t="shared" si="21"/>
        <v>5670</v>
      </c>
      <c r="K1390" s="7">
        <v>20</v>
      </c>
      <c r="L1390" s="7" t="s">
        <v>35</v>
      </c>
      <c r="M1390" s="7">
        <v>4</v>
      </c>
    </row>
    <row r="1391" spans="2:13" ht="15.6" thickTop="1" thickBot="1" x14ac:dyDescent="0.35">
      <c r="B1391" s="8">
        <v>1389</v>
      </c>
      <c r="C1391" s="9" t="s">
        <v>11</v>
      </c>
      <c r="D1391" s="19">
        <v>45440</v>
      </c>
      <c r="E1391" s="9" t="s">
        <v>13</v>
      </c>
      <c r="F1391" s="9" t="s">
        <v>24</v>
      </c>
      <c r="G1391" s="9" t="s">
        <v>28</v>
      </c>
      <c r="H1391" s="9">
        <v>58</v>
      </c>
      <c r="I1391" s="5">
        <v>225</v>
      </c>
      <c r="J1391" s="5">
        <f t="shared" si="21"/>
        <v>13050</v>
      </c>
      <c r="K1391" s="9">
        <v>16</v>
      </c>
      <c r="L1391" s="9" t="s">
        <v>34</v>
      </c>
      <c r="M1391" s="9"/>
    </row>
    <row r="1392" spans="2:13" ht="15.6" thickTop="1" thickBot="1" x14ac:dyDescent="0.35">
      <c r="B1392" s="6">
        <v>1390</v>
      </c>
      <c r="C1392" s="7" t="s">
        <v>11</v>
      </c>
      <c r="D1392" s="18">
        <v>45441</v>
      </c>
      <c r="E1392" s="7" t="s">
        <v>16</v>
      </c>
      <c r="F1392" s="7" t="s">
        <v>26</v>
      </c>
      <c r="G1392" s="7" t="s">
        <v>31</v>
      </c>
      <c r="H1392" s="7">
        <v>139</v>
      </c>
      <c r="I1392" s="5">
        <v>90</v>
      </c>
      <c r="J1392" s="5">
        <f t="shared" si="21"/>
        <v>12510</v>
      </c>
      <c r="K1392" s="7">
        <v>12</v>
      </c>
      <c r="L1392" s="7" t="s">
        <v>33</v>
      </c>
      <c r="M1392" s="7">
        <v>4</v>
      </c>
    </row>
    <row r="1393" spans="2:13" ht="15.6" thickTop="1" thickBot="1" x14ac:dyDescent="0.35">
      <c r="B1393" s="8">
        <v>1391</v>
      </c>
      <c r="C1393" s="9" t="s">
        <v>10</v>
      </c>
      <c r="D1393" s="19">
        <v>45442</v>
      </c>
      <c r="E1393" s="9" t="s">
        <v>21</v>
      </c>
      <c r="F1393" s="9" t="s">
        <v>26</v>
      </c>
      <c r="G1393" s="9" t="s">
        <v>32</v>
      </c>
      <c r="H1393" s="9">
        <v>250</v>
      </c>
      <c r="I1393" s="5">
        <v>45</v>
      </c>
      <c r="J1393" s="5">
        <f t="shared" si="21"/>
        <v>11250</v>
      </c>
      <c r="K1393" s="9">
        <v>12</v>
      </c>
      <c r="L1393" s="9" t="s">
        <v>33</v>
      </c>
      <c r="M1393" s="9"/>
    </row>
    <row r="1394" spans="2:13" ht="15.6" thickTop="1" thickBot="1" x14ac:dyDescent="0.35">
      <c r="B1394" s="6">
        <v>1392</v>
      </c>
      <c r="C1394" s="7" t="s">
        <v>10</v>
      </c>
      <c r="D1394" s="18">
        <v>45443</v>
      </c>
      <c r="E1394" s="7" t="s">
        <v>20</v>
      </c>
      <c r="F1394" s="7" t="s">
        <v>20</v>
      </c>
      <c r="G1394" s="7" t="s">
        <v>32</v>
      </c>
      <c r="H1394" s="7">
        <v>137</v>
      </c>
      <c r="I1394" s="5">
        <v>180</v>
      </c>
      <c r="J1394" s="5">
        <f t="shared" si="21"/>
        <v>24660</v>
      </c>
      <c r="K1394" s="7">
        <v>18</v>
      </c>
      <c r="L1394" s="7" t="s">
        <v>34</v>
      </c>
      <c r="M1394" s="7">
        <v>1</v>
      </c>
    </row>
    <row r="1395" spans="2:13" ht="15.6" thickTop="1" thickBot="1" x14ac:dyDescent="0.35">
      <c r="B1395" s="8">
        <v>1393</v>
      </c>
      <c r="C1395" s="9" t="s">
        <v>11</v>
      </c>
      <c r="D1395" s="19">
        <v>45444</v>
      </c>
      <c r="E1395" s="9" t="s">
        <v>15</v>
      </c>
      <c r="F1395" s="9" t="s">
        <v>25</v>
      </c>
      <c r="G1395" s="9" t="s">
        <v>29</v>
      </c>
      <c r="H1395" s="9">
        <v>83</v>
      </c>
      <c r="I1395" s="5">
        <v>90</v>
      </c>
      <c r="J1395" s="5">
        <f t="shared" si="21"/>
        <v>7470</v>
      </c>
      <c r="K1395" s="9">
        <v>11</v>
      </c>
      <c r="L1395" s="9" t="s">
        <v>35</v>
      </c>
      <c r="M1395" s="9">
        <v>3</v>
      </c>
    </row>
    <row r="1396" spans="2:13" ht="15.6" thickTop="1" thickBot="1" x14ac:dyDescent="0.35">
      <c r="B1396" s="6">
        <v>1394</v>
      </c>
      <c r="C1396" s="7" t="s">
        <v>11</v>
      </c>
      <c r="D1396" s="18">
        <v>45445</v>
      </c>
      <c r="E1396" s="7" t="s">
        <v>18</v>
      </c>
      <c r="F1396" s="7" t="s">
        <v>27</v>
      </c>
      <c r="G1396" s="7" t="s">
        <v>30</v>
      </c>
      <c r="H1396" s="7">
        <v>138</v>
      </c>
      <c r="I1396" s="5">
        <v>45</v>
      </c>
      <c r="J1396" s="5">
        <f t="shared" si="21"/>
        <v>6210</v>
      </c>
      <c r="K1396" s="7">
        <v>13</v>
      </c>
      <c r="L1396" s="7" t="s">
        <v>34</v>
      </c>
      <c r="M1396" s="7">
        <v>4</v>
      </c>
    </row>
    <row r="1397" spans="2:13" ht="15.6" thickTop="1" thickBot="1" x14ac:dyDescent="0.35">
      <c r="B1397" s="8">
        <v>1395</v>
      </c>
      <c r="C1397" s="9" t="s">
        <v>10</v>
      </c>
      <c r="D1397" s="19">
        <v>45446</v>
      </c>
      <c r="E1397" s="9" t="s">
        <v>16</v>
      </c>
      <c r="F1397" s="9" t="s">
        <v>26</v>
      </c>
      <c r="G1397" s="9" t="s">
        <v>28</v>
      </c>
      <c r="H1397" s="9">
        <v>56</v>
      </c>
      <c r="I1397" s="5">
        <v>180</v>
      </c>
      <c r="J1397" s="5">
        <f t="shared" si="21"/>
        <v>10080</v>
      </c>
      <c r="K1397" s="9">
        <v>17</v>
      </c>
      <c r="L1397" s="9" t="s">
        <v>34</v>
      </c>
      <c r="M1397" s="9">
        <v>4</v>
      </c>
    </row>
    <row r="1398" spans="2:13" ht="15.6" thickTop="1" thickBot="1" x14ac:dyDescent="0.35">
      <c r="B1398" s="6">
        <v>1396</v>
      </c>
      <c r="C1398" s="7" t="s">
        <v>11</v>
      </c>
      <c r="D1398" s="18">
        <v>45447</v>
      </c>
      <c r="E1398" s="7" t="s">
        <v>21</v>
      </c>
      <c r="F1398" s="7" t="s">
        <v>26</v>
      </c>
      <c r="G1398" s="7" t="s">
        <v>29</v>
      </c>
      <c r="H1398" s="7">
        <v>67</v>
      </c>
      <c r="I1398" s="5">
        <v>225</v>
      </c>
      <c r="J1398" s="5">
        <f t="shared" si="21"/>
        <v>15075</v>
      </c>
      <c r="K1398" s="7">
        <v>20</v>
      </c>
      <c r="L1398" s="7" t="s">
        <v>35</v>
      </c>
      <c r="M1398" s="7">
        <v>1</v>
      </c>
    </row>
    <row r="1399" spans="2:13" ht="15.6" thickTop="1" thickBot="1" x14ac:dyDescent="0.35">
      <c r="B1399" s="8">
        <v>1397</v>
      </c>
      <c r="C1399" s="9" t="s">
        <v>10</v>
      </c>
      <c r="D1399" s="19">
        <v>45448</v>
      </c>
      <c r="E1399" s="9" t="s">
        <v>12</v>
      </c>
      <c r="F1399" s="9" t="s">
        <v>23</v>
      </c>
      <c r="G1399" s="9" t="s">
        <v>28</v>
      </c>
      <c r="H1399" s="9">
        <v>228</v>
      </c>
      <c r="I1399" s="5">
        <v>90</v>
      </c>
      <c r="J1399" s="5">
        <f t="shared" si="21"/>
        <v>20520</v>
      </c>
      <c r="K1399" s="9">
        <v>23</v>
      </c>
      <c r="L1399" s="9" t="s">
        <v>33</v>
      </c>
      <c r="M1399" s="9">
        <v>3</v>
      </c>
    </row>
    <row r="1400" spans="2:13" ht="15.6" thickTop="1" thickBot="1" x14ac:dyDescent="0.35">
      <c r="B1400" s="6">
        <v>1398</v>
      </c>
      <c r="C1400" s="7" t="s">
        <v>10</v>
      </c>
      <c r="D1400" s="18">
        <v>45449</v>
      </c>
      <c r="E1400" s="7" t="s">
        <v>13</v>
      </c>
      <c r="F1400" s="7" t="s">
        <v>24</v>
      </c>
      <c r="G1400" s="7" t="s">
        <v>29</v>
      </c>
      <c r="H1400" s="7">
        <v>45</v>
      </c>
      <c r="I1400" s="5">
        <v>225</v>
      </c>
      <c r="J1400" s="5">
        <f t="shared" si="21"/>
        <v>10125</v>
      </c>
      <c r="K1400" s="7">
        <v>12</v>
      </c>
      <c r="L1400" s="7" t="s">
        <v>33</v>
      </c>
      <c r="M1400" s="7">
        <v>2</v>
      </c>
    </row>
    <row r="1401" spans="2:13" ht="15.6" thickTop="1" thickBot="1" x14ac:dyDescent="0.35">
      <c r="B1401" s="8">
        <v>1399</v>
      </c>
      <c r="C1401" s="9" t="s">
        <v>10</v>
      </c>
      <c r="D1401" s="19">
        <v>45450</v>
      </c>
      <c r="E1401" s="9" t="s">
        <v>17</v>
      </c>
      <c r="F1401" s="9" t="s">
        <v>24</v>
      </c>
      <c r="G1401" s="9" t="s">
        <v>28</v>
      </c>
      <c r="H1401" s="9">
        <v>203</v>
      </c>
      <c r="I1401" s="5">
        <v>180</v>
      </c>
      <c r="J1401" s="5">
        <f t="shared" si="21"/>
        <v>36540</v>
      </c>
      <c r="K1401" s="9">
        <v>14</v>
      </c>
      <c r="L1401" s="9" t="s">
        <v>35</v>
      </c>
      <c r="M1401" s="9">
        <v>2</v>
      </c>
    </row>
    <row r="1402" spans="2:13" ht="15.6" thickTop="1" thickBot="1" x14ac:dyDescent="0.35">
      <c r="B1402" s="6">
        <v>1400</v>
      </c>
      <c r="C1402" s="7" t="s">
        <v>11</v>
      </c>
      <c r="D1402" s="18">
        <v>45451</v>
      </c>
      <c r="E1402" s="7" t="s">
        <v>17</v>
      </c>
      <c r="F1402" s="7" t="s">
        <v>24</v>
      </c>
      <c r="G1402" s="7" t="s">
        <v>30</v>
      </c>
      <c r="H1402" s="7">
        <v>69</v>
      </c>
      <c r="I1402" s="5">
        <v>45</v>
      </c>
      <c r="J1402" s="5">
        <f t="shared" si="21"/>
        <v>3105</v>
      </c>
      <c r="K1402" s="7">
        <v>13</v>
      </c>
      <c r="L1402" s="7" t="s">
        <v>34</v>
      </c>
      <c r="M1402" s="7">
        <v>2</v>
      </c>
    </row>
    <row r="1403" spans="2:13" ht="15.6" thickTop="1" thickBot="1" x14ac:dyDescent="0.35">
      <c r="B1403" s="8">
        <v>1401</v>
      </c>
      <c r="C1403" s="9" t="s">
        <v>11</v>
      </c>
      <c r="D1403" s="19">
        <v>45452</v>
      </c>
      <c r="E1403" s="9" t="s">
        <v>17</v>
      </c>
      <c r="F1403" s="9" t="s">
        <v>24</v>
      </c>
      <c r="G1403" s="9" t="s">
        <v>30</v>
      </c>
      <c r="H1403" s="9">
        <v>97</v>
      </c>
      <c r="I1403" s="5">
        <v>90</v>
      </c>
      <c r="J1403" s="5">
        <f t="shared" si="21"/>
        <v>8730</v>
      </c>
      <c r="K1403" s="9">
        <v>10</v>
      </c>
      <c r="L1403" s="9" t="s">
        <v>34</v>
      </c>
      <c r="M1403" s="9">
        <v>3</v>
      </c>
    </row>
    <row r="1404" spans="2:13" ht="15.6" thickTop="1" thickBot="1" x14ac:dyDescent="0.35">
      <c r="B1404" s="6">
        <v>1402</v>
      </c>
      <c r="C1404" s="7" t="s">
        <v>11</v>
      </c>
      <c r="D1404" s="18">
        <v>45453</v>
      </c>
      <c r="E1404" s="7" t="s">
        <v>18</v>
      </c>
      <c r="F1404" s="7" t="s">
        <v>27</v>
      </c>
      <c r="G1404" s="7" t="s">
        <v>30</v>
      </c>
      <c r="H1404" s="7">
        <v>62</v>
      </c>
      <c r="I1404" s="5">
        <v>90</v>
      </c>
      <c r="J1404" s="5">
        <f t="shared" si="21"/>
        <v>5580</v>
      </c>
      <c r="K1404" s="7">
        <v>9</v>
      </c>
      <c r="L1404" s="7" t="s">
        <v>35</v>
      </c>
      <c r="M1404" s="7">
        <v>1</v>
      </c>
    </row>
    <row r="1405" spans="2:13" ht="15.6" thickTop="1" thickBot="1" x14ac:dyDescent="0.35">
      <c r="B1405" s="8">
        <v>1403</v>
      </c>
      <c r="C1405" s="9" t="s">
        <v>10</v>
      </c>
      <c r="D1405" s="19">
        <v>45454</v>
      </c>
      <c r="E1405" s="9" t="s">
        <v>13</v>
      </c>
      <c r="F1405" s="9" t="s">
        <v>24</v>
      </c>
      <c r="G1405" s="9" t="s">
        <v>28</v>
      </c>
      <c r="H1405" s="9">
        <v>199</v>
      </c>
      <c r="I1405" s="5">
        <v>45</v>
      </c>
      <c r="J1405" s="5">
        <f t="shared" si="21"/>
        <v>8955</v>
      </c>
      <c r="K1405" s="9">
        <v>19</v>
      </c>
      <c r="L1405" s="9" t="s">
        <v>34</v>
      </c>
      <c r="M1405" s="9"/>
    </row>
    <row r="1406" spans="2:13" ht="15.6" thickTop="1" thickBot="1" x14ac:dyDescent="0.35">
      <c r="B1406" s="6">
        <v>1404</v>
      </c>
      <c r="C1406" s="7" t="s">
        <v>11</v>
      </c>
      <c r="D1406" s="18">
        <v>45455</v>
      </c>
      <c r="E1406" s="7" t="s">
        <v>14</v>
      </c>
      <c r="F1406" s="7" t="s">
        <v>25</v>
      </c>
      <c r="G1406" s="7" t="s">
        <v>29</v>
      </c>
      <c r="H1406" s="7">
        <v>81</v>
      </c>
      <c r="I1406" s="5">
        <v>225</v>
      </c>
      <c r="J1406" s="5">
        <f t="shared" si="21"/>
        <v>18225</v>
      </c>
      <c r="K1406" s="7">
        <v>7</v>
      </c>
      <c r="L1406" s="7" t="s">
        <v>33</v>
      </c>
      <c r="M1406" s="7">
        <v>1</v>
      </c>
    </row>
    <row r="1407" spans="2:13" ht="15.6" thickTop="1" thickBot="1" x14ac:dyDescent="0.35">
      <c r="B1407" s="8">
        <v>1405</v>
      </c>
      <c r="C1407" s="9" t="s">
        <v>11</v>
      </c>
      <c r="D1407" s="19">
        <v>45456</v>
      </c>
      <c r="E1407" s="9" t="s">
        <v>21</v>
      </c>
      <c r="F1407" s="9" t="s">
        <v>26</v>
      </c>
      <c r="G1407" s="9" t="s">
        <v>28</v>
      </c>
      <c r="H1407" s="9">
        <v>196</v>
      </c>
      <c r="I1407" s="5">
        <v>225</v>
      </c>
      <c r="J1407" s="5">
        <f t="shared" si="21"/>
        <v>44100</v>
      </c>
      <c r="K1407" s="9">
        <v>13</v>
      </c>
      <c r="L1407" s="9" t="s">
        <v>34</v>
      </c>
      <c r="M1407" s="9">
        <v>1</v>
      </c>
    </row>
    <row r="1408" spans="2:13" ht="15.6" thickTop="1" thickBot="1" x14ac:dyDescent="0.35">
      <c r="B1408" s="6">
        <v>1406</v>
      </c>
      <c r="C1408" s="7" t="s">
        <v>10</v>
      </c>
      <c r="D1408" s="18">
        <v>45457</v>
      </c>
      <c r="E1408" s="7" t="s">
        <v>14</v>
      </c>
      <c r="F1408" s="7" t="s">
        <v>25</v>
      </c>
      <c r="G1408" s="7" t="s">
        <v>28</v>
      </c>
      <c r="H1408" s="7">
        <v>179</v>
      </c>
      <c r="I1408" s="5">
        <v>180</v>
      </c>
      <c r="J1408" s="5">
        <f t="shared" si="21"/>
        <v>32220</v>
      </c>
      <c r="K1408" s="7">
        <v>11</v>
      </c>
      <c r="L1408" s="7" t="s">
        <v>33</v>
      </c>
      <c r="M1408" s="7">
        <v>1</v>
      </c>
    </row>
    <row r="1409" spans="2:13" ht="15.6" thickTop="1" thickBot="1" x14ac:dyDescent="0.35">
      <c r="B1409" s="8">
        <v>1407</v>
      </c>
      <c r="C1409" s="9" t="s">
        <v>10</v>
      </c>
      <c r="D1409" s="19">
        <v>45458</v>
      </c>
      <c r="E1409" s="9" t="s">
        <v>14</v>
      </c>
      <c r="F1409" s="9" t="s">
        <v>25</v>
      </c>
      <c r="G1409" s="9" t="s">
        <v>31</v>
      </c>
      <c r="H1409" s="9">
        <v>93</v>
      </c>
      <c r="I1409" s="5">
        <v>135</v>
      </c>
      <c r="J1409" s="5">
        <f t="shared" si="21"/>
        <v>12555</v>
      </c>
      <c r="K1409" s="9">
        <v>21</v>
      </c>
      <c r="L1409" s="9" t="s">
        <v>34</v>
      </c>
      <c r="M1409" s="9">
        <v>5</v>
      </c>
    </row>
    <row r="1410" spans="2:13" ht="15.6" thickTop="1" thickBot="1" x14ac:dyDescent="0.35">
      <c r="B1410" s="6">
        <v>1408</v>
      </c>
      <c r="C1410" s="7" t="s">
        <v>10</v>
      </c>
      <c r="D1410" s="18">
        <v>45459</v>
      </c>
      <c r="E1410" s="7" t="s">
        <v>14</v>
      </c>
      <c r="F1410" s="7" t="s">
        <v>25</v>
      </c>
      <c r="G1410" s="7" t="s">
        <v>29</v>
      </c>
      <c r="H1410" s="7">
        <v>37</v>
      </c>
      <c r="I1410" s="5">
        <v>225</v>
      </c>
      <c r="J1410" s="5">
        <f t="shared" si="21"/>
        <v>8325</v>
      </c>
      <c r="K1410" s="7">
        <v>25</v>
      </c>
      <c r="L1410" s="7" t="s">
        <v>35</v>
      </c>
      <c r="M1410" s="7">
        <v>5</v>
      </c>
    </row>
    <row r="1411" spans="2:13" ht="15.6" thickTop="1" thickBot="1" x14ac:dyDescent="0.35">
      <c r="B1411" s="8">
        <v>1409</v>
      </c>
      <c r="C1411" s="9" t="s">
        <v>10</v>
      </c>
      <c r="D1411" s="19">
        <v>45460</v>
      </c>
      <c r="E1411" s="9" t="s">
        <v>22</v>
      </c>
      <c r="F1411" s="9" t="s">
        <v>25</v>
      </c>
      <c r="G1411" s="9" t="s">
        <v>32</v>
      </c>
      <c r="H1411" s="9">
        <v>43</v>
      </c>
      <c r="I1411" s="5">
        <v>90</v>
      </c>
      <c r="J1411" s="5">
        <f t="shared" si="21"/>
        <v>3870</v>
      </c>
      <c r="K1411" s="9">
        <v>13</v>
      </c>
      <c r="L1411" s="9" t="s">
        <v>35</v>
      </c>
      <c r="M1411" s="9">
        <v>1</v>
      </c>
    </row>
    <row r="1412" spans="2:13" ht="15.6" thickTop="1" thickBot="1" x14ac:dyDescent="0.35">
      <c r="B1412" s="6">
        <v>1410</v>
      </c>
      <c r="C1412" s="7" t="s">
        <v>11</v>
      </c>
      <c r="D1412" s="18">
        <v>45461</v>
      </c>
      <c r="E1412" s="7" t="s">
        <v>20</v>
      </c>
      <c r="F1412" s="7" t="s">
        <v>20</v>
      </c>
      <c r="G1412" s="7" t="s">
        <v>31</v>
      </c>
      <c r="H1412" s="7">
        <v>219</v>
      </c>
      <c r="I1412" s="5">
        <v>135</v>
      </c>
      <c r="J1412" s="5">
        <f t="shared" ref="J1412:J1475" si="22">H1412*I1412</f>
        <v>29565</v>
      </c>
      <c r="K1412" s="7">
        <v>15</v>
      </c>
      <c r="L1412" s="7" t="s">
        <v>33</v>
      </c>
      <c r="M1412" s="7">
        <v>2</v>
      </c>
    </row>
    <row r="1413" spans="2:13" ht="15.6" thickTop="1" thickBot="1" x14ac:dyDescent="0.35">
      <c r="B1413" s="8">
        <v>1411</v>
      </c>
      <c r="C1413" s="9" t="s">
        <v>10</v>
      </c>
      <c r="D1413" s="19">
        <v>45462</v>
      </c>
      <c r="E1413" s="9" t="s">
        <v>12</v>
      </c>
      <c r="F1413" s="9" t="s">
        <v>23</v>
      </c>
      <c r="G1413" s="9" t="s">
        <v>31</v>
      </c>
      <c r="H1413" s="9">
        <v>217</v>
      </c>
      <c r="I1413" s="5">
        <v>90</v>
      </c>
      <c r="J1413" s="5">
        <f t="shared" si="22"/>
        <v>19530</v>
      </c>
      <c r="K1413" s="9">
        <v>12</v>
      </c>
      <c r="L1413" s="9" t="s">
        <v>35</v>
      </c>
      <c r="M1413" s="9">
        <v>1</v>
      </c>
    </row>
    <row r="1414" spans="2:13" ht="15.6" thickTop="1" thickBot="1" x14ac:dyDescent="0.35">
      <c r="B1414" s="6">
        <v>1412</v>
      </c>
      <c r="C1414" s="7" t="s">
        <v>10</v>
      </c>
      <c r="D1414" s="18">
        <v>45463</v>
      </c>
      <c r="E1414" s="7" t="s">
        <v>16</v>
      </c>
      <c r="F1414" s="7" t="s">
        <v>26</v>
      </c>
      <c r="G1414" s="7" t="s">
        <v>32</v>
      </c>
      <c r="H1414" s="7">
        <v>63</v>
      </c>
      <c r="I1414" s="5">
        <v>225</v>
      </c>
      <c r="J1414" s="5">
        <f t="shared" si="22"/>
        <v>14175</v>
      </c>
      <c r="K1414" s="7">
        <v>17</v>
      </c>
      <c r="L1414" s="7" t="s">
        <v>35</v>
      </c>
      <c r="M1414" s="7">
        <v>5</v>
      </c>
    </row>
    <row r="1415" spans="2:13" ht="15.6" thickTop="1" thickBot="1" x14ac:dyDescent="0.35">
      <c r="B1415" s="8">
        <v>1413</v>
      </c>
      <c r="C1415" s="9" t="s">
        <v>11</v>
      </c>
      <c r="D1415" s="19">
        <v>45464</v>
      </c>
      <c r="E1415" s="9" t="s">
        <v>22</v>
      </c>
      <c r="F1415" s="9" t="s">
        <v>25</v>
      </c>
      <c r="G1415" s="9" t="s">
        <v>30</v>
      </c>
      <c r="H1415" s="9">
        <v>46</v>
      </c>
      <c r="I1415" s="5">
        <v>90</v>
      </c>
      <c r="J1415" s="5">
        <f t="shared" si="22"/>
        <v>4140</v>
      </c>
      <c r="K1415" s="9">
        <v>11</v>
      </c>
      <c r="L1415" s="9" t="s">
        <v>33</v>
      </c>
      <c r="M1415" s="9">
        <v>5</v>
      </c>
    </row>
    <row r="1416" spans="2:13" ht="15.6" thickTop="1" thickBot="1" x14ac:dyDescent="0.35">
      <c r="B1416" s="6">
        <v>1414</v>
      </c>
      <c r="C1416" s="7" t="s">
        <v>10</v>
      </c>
      <c r="D1416" s="18">
        <v>45465</v>
      </c>
      <c r="E1416" s="7" t="s">
        <v>22</v>
      </c>
      <c r="F1416" s="7" t="s">
        <v>25</v>
      </c>
      <c r="G1416" s="7" t="s">
        <v>32</v>
      </c>
      <c r="H1416" s="7">
        <v>62</v>
      </c>
      <c r="I1416" s="5">
        <v>180</v>
      </c>
      <c r="J1416" s="5">
        <f t="shared" si="22"/>
        <v>11160</v>
      </c>
      <c r="K1416" s="7">
        <v>14</v>
      </c>
      <c r="L1416" s="7" t="s">
        <v>33</v>
      </c>
      <c r="M1416" s="7"/>
    </row>
    <row r="1417" spans="2:13" ht="15.6" thickTop="1" thickBot="1" x14ac:dyDescent="0.35">
      <c r="B1417" s="8">
        <v>1415</v>
      </c>
      <c r="C1417" s="9" t="s">
        <v>10</v>
      </c>
      <c r="D1417" s="19">
        <v>45466</v>
      </c>
      <c r="E1417" s="9" t="s">
        <v>18</v>
      </c>
      <c r="F1417" s="9" t="s">
        <v>27</v>
      </c>
      <c r="G1417" s="9" t="s">
        <v>28</v>
      </c>
      <c r="H1417" s="9">
        <v>123</v>
      </c>
      <c r="I1417" s="5">
        <v>45</v>
      </c>
      <c r="J1417" s="5">
        <f t="shared" si="22"/>
        <v>5535</v>
      </c>
      <c r="K1417" s="9">
        <v>10</v>
      </c>
      <c r="L1417" s="9" t="s">
        <v>35</v>
      </c>
      <c r="M1417" s="9">
        <v>5</v>
      </c>
    </row>
    <row r="1418" spans="2:13" ht="15.6" thickTop="1" thickBot="1" x14ac:dyDescent="0.35">
      <c r="B1418" s="6">
        <v>1416</v>
      </c>
      <c r="C1418" s="7" t="s">
        <v>11</v>
      </c>
      <c r="D1418" s="18">
        <v>45467</v>
      </c>
      <c r="E1418" s="7" t="s">
        <v>16</v>
      </c>
      <c r="F1418" s="7" t="s">
        <v>26</v>
      </c>
      <c r="G1418" s="7" t="s">
        <v>31</v>
      </c>
      <c r="H1418" s="7">
        <v>54</v>
      </c>
      <c r="I1418" s="5">
        <v>45</v>
      </c>
      <c r="J1418" s="5">
        <f t="shared" si="22"/>
        <v>2430</v>
      </c>
      <c r="K1418" s="7">
        <v>13</v>
      </c>
      <c r="L1418" s="7" t="s">
        <v>33</v>
      </c>
      <c r="M1418" s="7">
        <v>4</v>
      </c>
    </row>
    <row r="1419" spans="2:13" ht="15.6" thickTop="1" thickBot="1" x14ac:dyDescent="0.35">
      <c r="B1419" s="8">
        <v>1417</v>
      </c>
      <c r="C1419" s="9" t="s">
        <v>10</v>
      </c>
      <c r="D1419" s="19">
        <v>45468</v>
      </c>
      <c r="E1419" s="9" t="s">
        <v>19</v>
      </c>
      <c r="F1419" s="9" t="s">
        <v>23</v>
      </c>
      <c r="G1419" s="9" t="s">
        <v>29</v>
      </c>
      <c r="H1419" s="9">
        <v>85</v>
      </c>
      <c r="I1419" s="5">
        <v>90</v>
      </c>
      <c r="J1419" s="5">
        <f t="shared" si="22"/>
        <v>7650</v>
      </c>
      <c r="K1419" s="9">
        <v>12</v>
      </c>
      <c r="L1419" s="9" t="s">
        <v>35</v>
      </c>
      <c r="M1419" s="9">
        <v>5</v>
      </c>
    </row>
    <row r="1420" spans="2:13" ht="15.6" thickTop="1" thickBot="1" x14ac:dyDescent="0.35">
      <c r="B1420" s="6">
        <v>1418</v>
      </c>
      <c r="C1420" s="7" t="s">
        <v>11</v>
      </c>
      <c r="D1420" s="18">
        <v>45469</v>
      </c>
      <c r="E1420" s="7" t="s">
        <v>18</v>
      </c>
      <c r="F1420" s="7" t="s">
        <v>27</v>
      </c>
      <c r="G1420" s="7" t="s">
        <v>29</v>
      </c>
      <c r="H1420" s="7">
        <v>125</v>
      </c>
      <c r="I1420" s="5">
        <v>180</v>
      </c>
      <c r="J1420" s="5">
        <f t="shared" si="22"/>
        <v>22500</v>
      </c>
      <c r="K1420" s="7">
        <v>16</v>
      </c>
      <c r="L1420" s="7" t="s">
        <v>34</v>
      </c>
      <c r="M1420" s="7">
        <v>2</v>
      </c>
    </row>
    <row r="1421" spans="2:13" ht="15.6" thickTop="1" thickBot="1" x14ac:dyDescent="0.35">
      <c r="B1421" s="8">
        <v>1419</v>
      </c>
      <c r="C1421" s="9" t="s">
        <v>10</v>
      </c>
      <c r="D1421" s="19">
        <v>45470</v>
      </c>
      <c r="E1421" s="9" t="s">
        <v>14</v>
      </c>
      <c r="F1421" s="9" t="s">
        <v>25</v>
      </c>
      <c r="G1421" s="9" t="s">
        <v>28</v>
      </c>
      <c r="H1421" s="9">
        <v>229</v>
      </c>
      <c r="I1421" s="5">
        <v>90</v>
      </c>
      <c r="J1421" s="5">
        <f t="shared" si="22"/>
        <v>20610</v>
      </c>
      <c r="K1421" s="9">
        <v>12</v>
      </c>
      <c r="L1421" s="9" t="s">
        <v>34</v>
      </c>
      <c r="M1421" s="9"/>
    </row>
    <row r="1422" spans="2:13" ht="15.6" thickTop="1" thickBot="1" x14ac:dyDescent="0.35">
      <c r="B1422" s="6">
        <v>1420</v>
      </c>
      <c r="C1422" s="7" t="s">
        <v>10</v>
      </c>
      <c r="D1422" s="18">
        <v>45471</v>
      </c>
      <c r="E1422" s="7" t="s">
        <v>15</v>
      </c>
      <c r="F1422" s="7" t="s">
        <v>25</v>
      </c>
      <c r="G1422" s="7" t="s">
        <v>30</v>
      </c>
      <c r="H1422" s="7">
        <v>70</v>
      </c>
      <c r="I1422" s="5">
        <v>90</v>
      </c>
      <c r="J1422" s="5">
        <f t="shared" si="22"/>
        <v>6300</v>
      </c>
      <c r="K1422" s="7">
        <v>14</v>
      </c>
      <c r="L1422" s="7" t="s">
        <v>33</v>
      </c>
      <c r="M1422" s="7">
        <v>5</v>
      </c>
    </row>
    <row r="1423" spans="2:13" ht="15.6" thickTop="1" thickBot="1" x14ac:dyDescent="0.35">
      <c r="B1423" s="8">
        <v>1421</v>
      </c>
      <c r="C1423" s="9" t="s">
        <v>10</v>
      </c>
      <c r="D1423" s="19">
        <v>45472</v>
      </c>
      <c r="E1423" s="9" t="s">
        <v>15</v>
      </c>
      <c r="F1423" s="9" t="s">
        <v>25</v>
      </c>
      <c r="G1423" s="9" t="s">
        <v>30</v>
      </c>
      <c r="H1423" s="9">
        <v>141</v>
      </c>
      <c r="I1423" s="5">
        <v>180</v>
      </c>
      <c r="J1423" s="5">
        <f t="shared" si="22"/>
        <v>25380</v>
      </c>
      <c r="K1423" s="9">
        <v>10</v>
      </c>
      <c r="L1423" s="9" t="s">
        <v>33</v>
      </c>
      <c r="M1423" s="9">
        <v>5</v>
      </c>
    </row>
    <row r="1424" spans="2:13" ht="15.6" thickTop="1" thickBot="1" x14ac:dyDescent="0.35">
      <c r="B1424" s="6">
        <v>1422</v>
      </c>
      <c r="C1424" s="7" t="s">
        <v>10</v>
      </c>
      <c r="D1424" s="18">
        <v>45473</v>
      </c>
      <c r="E1424" s="7" t="s">
        <v>12</v>
      </c>
      <c r="F1424" s="7" t="s">
        <v>23</v>
      </c>
      <c r="G1424" s="7" t="s">
        <v>32</v>
      </c>
      <c r="H1424" s="7">
        <v>135</v>
      </c>
      <c r="I1424" s="5">
        <v>180</v>
      </c>
      <c r="J1424" s="5">
        <f t="shared" si="22"/>
        <v>24300</v>
      </c>
      <c r="K1424" s="7">
        <v>23</v>
      </c>
      <c r="L1424" s="7" t="s">
        <v>35</v>
      </c>
      <c r="M1424" s="7"/>
    </row>
    <row r="1425" spans="2:13" ht="15.6" thickTop="1" thickBot="1" x14ac:dyDescent="0.35">
      <c r="B1425" s="8">
        <v>1423</v>
      </c>
      <c r="C1425" s="9" t="s">
        <v>10</v>
      </c>
      <c r="D1425" s="19">
        <v>45474</v>
      </c>
      <c r="E1425" s="9" t="s">
        <v>17</v>
      </c>
      <c r="F1425" s="9" t="s">
        <v>24</v>
      </c>
      <c r="G1425" s="9" t="s">
        <v>28</v>
      </c>
      <c r="H1425" s="9">
        <v>149</v>
      </c>
      <c r="I1425" s="5">
        <v>135</v>
      </c>
      <c r="J1425" s="5">
        <f t="shared" si="22"/>
        <v>20115</v>
      </c>
      <c r="K1425" s="9">
        <v>14</v>
      </c>
      <c r="L1425" s="9" t="s">
        <v>34</v>
      </c>
      <c r="M1425" s="9">
        <v>3</v>
      </c>
    </row>
    <row r="1426" spans="2:13" ht="15.6" thickTop="1" thickBot="1" x14ac:dyDescent="0.35">
      <c r="B1426" s="6">
        <v>1424</v>
      </c>
      <c r="C1426" s="7" t="s">
        <v>11</v>
      </c>
      <c r="D1426" s="18">
        <v>45475</v>
      </c>
      <c r="E1426" s="7" t="s">
        <v>15</v>
      </c>
      <c r="F1426" s="7" t="s">
        <v>25</v>
      </c>
      <c r="G1426" s="7" t="s">
        <v>29</v>
      </c>
      <c r="H1426" s="7">
        <v>58</v>
      </c>
      <c r="I1426" s="5">
        <v>135</v>
      </c>
      <c r="J1426" s="5">
        <f t="shared" si="22"/>
        <v>7830</v>
      </c>
      <c r="K1426" s="7">
        <v>20</v>
      </c>
      <c r="L1426" s="7" t="s">
        <v>35</v>
      </c>
      <c r="M1426" s="7">
        <v>4</v>
      </c>
    </row>
    <row r="1427" spans="2:13" ht="15.6" thickTop="1" thickBot="1" x14ac:dyDescent="0.35">
      <c r="B1427" s="8">
        <v>1425</v>
      </c>
      <c r="C1427" s="9" t="s">
        <v>10</v>
      </c>
      <c r="D1427" s="19">
        <v>45476</v>
      </c>
      <c r="E1427" s="9" t="s">
        <v>13</v>
      </c>
      <c r="F1427" s="9" t="s">
        <v>24</v>
      </c>
      <c r="G1427" s="9" t="s">
        <v>30</v>
      </c>
      <c r="H1427" s="9">
        <v>227</v>
      </c>
      <c r="I1427" s="5">
        <v>45</v>
      </c>
      <c r="J1427" s="5">
        <f t="shared" si="22"/>
        <v>10215</v>
      </c>
      <c r="K1427" s="9">
        <v>19</v>
      </c>
      <c r="L1427" s="9" t="s">
        <v>33</v>
      </c>
      <c r="M1427" s="9">
        <v>3</v>
      </c>
    </row>
    <row r="1428" spans="2:13" ht="15.6" thickTop="1" thickBot="1" x14ac:dyDescent="0.35">
      <c r="B1428" s="6">
        <v>1426</v>
      </c>
      <c r="C1428" s="7" t="s">
        <v>10</v>
      </c>
      <c r="D1428" s="18">
        <v>45477</v>
      </c>
      <c r="E1428" s="7" t="s">
        <v>12</v>
      </c>
      <c r="F1428" s="7" t="s">
        <v>23</v>
      </c>
      <c r="G1428" s="7" t="s">
        <v>30</v>
      </c>
      <c r="H1428" s="7">
        <v>141</v>
      </c>
      <c r="I1428" s="5">
        <v>135</v>
      </c>
      <c r="J1428" s="5">
        <f t="shared" si="22"/>
        <v>19035</v>
      </c>
      <c r="K1428" s="7">
        <v>12</v>
      </c>
      <c r="L1428" s="7" t="s">
        <v>35</v>
      </c>
      <c r="M1428" s="7">
        <v>4</v>
      </c>
    </row>
    <row r="1429" spans="2:13" ht="15.6" thickTop="1" thickBot="1" x14ac:dyDescent="0.35">
      <c r="B1429" s="8">
        <v>1427</v>
      </c>
      <c r="C1429" s="9" t="s">
        <v>11</v>
      </c>
      <c r="D1429" s="19">
        <v>45478</v>
      </c>
      <c r="E1429" s="9" t="s">
        <v>12</v>
      </c>
      <c r="F1429" s="9" t="s">
        <v>23</v>
      </c>
      <c r="G1429" s="9" t="s">
        <v>28</v>
      </c>
      <c r="H1429" s="9">
        <v>81</v>
      </c>
      <c r="I1429" s="5">
        <v>45</v>
      </c>
      <c r="J1429" s="5">
        <f t="shared" si="22"/>
        <v>3645</v>
      </c>
      <c r="K1429" s="9">
        <v>19</v>
      </c>
      <c r="L1429" s="9" t="s">
        <v>34</v>
      </c>
      <c r="M1429" s="9">
        <v>5</v>
      </c>
    </row>
    <row r="1430" spans="2:13" ht="15.6" thickTop="1" thickBot="1" x14ac:dyDescent="0.35">
      <c r="B1430" s="6">
        <v>1428</v>
      </c>
      <c r="C1430" s="7" t="s">
        <v>10</v>
      </c>
      <c r="D1430" s="18">
        <v>45479</v>
      </c>
      <c r="E1430" s="7" t="s">
        <v>15</v>
      </c>
      <c r="F1430" s="7" t="s">
        <v>25</v>
      </c>
      <c r="G1430" s="7" t="s">
        <v>28</v>
      </c>
      <c r="H1430" s="7">
        <v>134</v>
      </c>
      <c r="I1430" s="5">
        <v>45</v>
      </c>
      <c r="J1430" s="5">
        <f t="shared" si="22"/>
        <v>6030</v>
      </c>
      <c r="K1430" s="7">
        <v>24</v>
      </c>
      <c r="L1430" s="7" t="s">
        <v>33</v>
      </c>
      <c r="M1430" s="7">
        <v>3</v>
      </c>
    </row>
    <row r="1431" spans="2:13" ht="15.6" thickTop="1" thickBot="1" x14ac:dyDescent="0.35">
      <c r="B1431" s="8">
        <v>1429</v>
      </c>
      <c r="C1431" s="9" t="s">
        <v>10</v>
      </c>
      <c r="D1431" s="19">
        <v>45480</v>
      </c>
      <c r="E1431" s="9" t="s">
        <v>15</v>
      </c>
      <c r="F1431" s="9" t="s">
        <v>25</v>
      </c>
      <c r="G1431" s="9" t="s">
        <v>31</v>
      </c>
      <c r="H1431" s="9">
        <v>69</v>
      </c>
      <c r="I1431" s="5">
        <v>45</v>
      </c>
      <c r="J1431" s="5">
        <f t="shared" si="22"/>
        <v>3105</v>
      </c>
      <c r="K1431" s="9">
        <v>24</v>
      </c>
      <c r="L1431" s="9" t="s">
        <v>35</v>
      </c>
      <c r="M1431" s="9">
        <v>5</v>
      </c>
    </row>
    <row r="1432" spans="2:13" ht="15.6" thickTop="1" thickBot="1" x14ac:dyDescent="0.35">
      <c r="B1432" s="6">
        <v>1430</v>
      </c>
      <c r="C1432" s="7" t="s">
        <v>10</v>
      </c>
      <c r="D1432" s="18">
        <v>45481</v>
      </c>
      <c r="E1432" s="7" t="s">
        <v>18</v>
      </c>
      <c r="F1432" s="7" t="s">
        <v>27</v>
      </c>
      <c r="G1432" s="7" t="s">
        <v>32</v>
      </c>
      <c r="H1432" s="7">
        <v>183</v>
      </c>
      <c r="I1432" s="5">
        <v>45</v>
      </c>
      <c r="J1432" s="5">
        <f t="shared" si="22"/>
        <v>8235</v>
      </c>
      <c r="K1432" s="7">
        <v>21</v>
      </c>
      <c r="L1432" s="7" t="s">
        <v>33</v>
      </c>
      <c r="M1432" s="7">
        <v>4</v>
      </c>
    </row>
    <row r="1433" spans="2:13" ht="15.6" thickTop="1" thickBot="1" x14ac:dyDescent="0.35">
      <c r="B1433" s="8">
        <v>1431</v>
      </c>
      <c r="C1433" s="9" t="s">
        <v>10</v>
      </c>
      <c r="D1433" s="19">
        <v>45482</v>
      </c>
      <c r="E1433" s="9" t="s">
        <v>13</v>
      </c>
      <c r="F1433" s="9" t="s">
        <v>24</v>
      </c>
      <c r="G1433" s="9" t="s">
        <v>31</v>
      </c>
      <c r="H1433" s="9">
        <v>84</v>
      </c>
      <c r="I1433" s="5">
        <v>180</v>
      </c>
      <c r="J1433" s="5">
        <f t="shared" si="22"/>
        <v>15120</v>
      </c>
      <c r="K1433" s="9">
        <v>25</v>
      </c>
      <c r="L1433" s="9" t="s">
        <v>34</v>
      </c>
      <c r="M1433" s="9">
        <v>3</v>
      </c>
    </row>
    <row r="1434" spans="2:13" ht="15.6" thickTop="1" thickBot="1" x14ac:dyDescent="0.35">
      <c r="B1434" s="6">
        <v>1432</v>
      </c>
      <c r="C1434" s="7" t="s">
        <v>10</v>
      </c>
      <c r="D1434" s="18">
        <v>45483</v>
      </c>
      <c r="E1434" s="7" t="s">
        <v>22</v>
      </c>
      <c r="F1434" s="7" t="s">
        <v>25</v>
      </c>
      <c r="G1434" s="7" t="s">
        <v>29</v>
      </c>
      <c r="H1434" s="7">
        <v>249</v>
      </c>
      <c r="I1434" s="5">
        <v>135</v>
      </c>
      <c r="J1434" s="5">
        <f t="shared" si="22"/>
        <v>33615</v>
      </c>
      <c r="K1434" s="7">
        <v>14</v>
      </c>
      <c r="L1434" s="7" t="s">
        <v>33</v>
      </c>
      <c r="M1434" s="7">
        <v>3</v>
      </c>
    </row>
    <row r="1435" spans="2:13" ht="15.6" thickTop="1" thickBot="1" x14ac:dyDescent="0.35">
      <c r="B1435" s="8">
        <v>1433</v>
      </c>
      <c r="C1435" s="9" t="s">
        <v>11</v>
      </c>
      <c r="D1435" s="19">
        <v>45484</v>
      </c>
      <c r="E1435" s="9" t="s">
        <v>20</v>
      </c>
      <c r="F1435" s="9" t="s">
        <v>20</v>
      </c>
      <c r="G1435" s="9" t="s">
        <v>30</v>
      </c>
      <c r="H1435" s="9">
        <v>229</v>
      </c>
      <c r="I1435" s="5">
        <v>225</v>
      </c>
      <c r="J1435" s="5">
        <f t="shared" si="22"/>
        <v>51525</v>
      </c>
      <c r="K1435" s="9">
        <v>17</v>
      </c>
      <c r="L1435" s="9" t="s">
        <v>33</v>
      </c>
      <c r="M1435" s="9">
        <v>2</v>
      </c>
    </row>
    <row r="1436" spans="2:13" ht="15.6" thickTop="1" thickBot="1" x14ac:dyDescent="0.35">
      <c r="B1436" s="6">
        <v>1434</v>
      </c>
      <c r="C1436" s="7" t="s">
        <v>10</v>
      </c>
      <c r="D1436" s="18">
        <v>45485</v>
      </c>
      <c r="E1436" s="7" t="s">
        <v>16</v>
      </c>
      <c r="F1436" s="7" t="s">
        <v>26</v>
      </c>
      <c r="G1436" s="7" t="s">
        <v>29</v>
      </c>
      <c r="H1436" s="7">
        <v>44</v>
      </c>
      <c r="I1436" s="5">
        <v>180</v>
      </c>
      <c r="J1436" s="5">
        <f t="shared" si="22"/>
        <v>7920</v>
      </c>
      <c r="K1436" s="7">
        <v>12</v>
      </c>
      <c r="L1436" s="7" t="s">
        <v>33</v>
      </c>
      <c r="M1436" s="7">
        <v>4</v>
      </c>
    </row>
    <row r="1437" spans="2:13" ht="15.6" thickTop="1" thickBot="1" x14ac:dyDescent="0.35">
      <c r="B1437" s="8">
        <v>1435</v>
      </c>
      <c r="C1437" s="9" t="s">
        <v>10</v>
      </c>
      <c r="D1437" s="19">
        <v>45486</v>
      </c>
      <c r="E1437" s="9" t="s">
        <v>12</v>
      </c>
      <c r="F1437" s="9" t="s">
        <v>23</v>
      </c>
      <c r="G1437" s="9" t="s">
        <v>32</v>
      </c>
      <c r="H1437" s="9">
        <v>198</v>
      </c>
      <c r="I1437" s="5">
        <v>135</v>
      </c>
      <c r="J1437" s="5">
        <f t="shared" si="22"/>
        <v>26730</v>
      </c>
      <c r="K1437" s="9">
        <v>10</v>
      </c>
      <c r="L1437" s="9" t="s">
        <v>33</v>
      </c>
      <c r="M1437" s="9"/>
    </row>
    <row r="1438" spans="2:13" ht="15.6" thickTop="1" thickBot="1" x14ac:dyDescent="0.35">
      <c r="B1438" s="6">
        <v>1436</v>
      </c>
      <c r="C1438" s="7" t="s">
        <v>11</v>
      </c>
      <c r="D1438" s="18">
        <v>45487</v>
      </c>
      <c r="E1438" s="7" t="s">
        <v>21</v>
      </c>
      <c r="F1438" s="7" t="s">
        <v>26</v>
      </c>
      <c r="G1438" s="7" t="s">
        <v>28</v>
      </c>
      <c r="H1438" s="7">
        <v>112</v>
      </c>
      <c r="I1438" s="5">
        <v>90</v>
      </c>
      <c r="J1438" s="5">
        <f t="shared" si="22"/>
        <v>10080</v>
      </c>
      <c r="K1438" s="7">
        <v>18</v>
      </c>
      <c r="L1438" s="7" t="s">
        <v>33</v>
      </c>
      <c r="M1438" s="7">
        <v>2</v>
      </c>
    </row>
    <row r="1439" spans="2:13" ht="15.6" thickTop="1" thickBot="1" x14ac:dyDescent="0.35">
      <c r="B1439" s="8">
        <v>1437</v>
      </c>
      <c r="C1439" s="9" t="s">
        <v>11</v>
      </c>
      <c r="D1439" s="19">
        <v>45488</v>
      </c>
      <c r="E1439" s="9" t="s">
        <v>15</v>
      </c>
      <c r="F1439" s="9" t="s">
        <v>25</v>
      </c>
      <c r="G1439" s="9" t="s">
        <v>28</v>
      </c>
      <c r="H1439" s="9">
        <v>39</v>
      </c>
      <c r="I1439" s="5">
        <v>90</v>
      </c>
      <c r="J1439" s="5">
        <f t="shared" si="22"/>
        <v>3510</v>
      </c>
      <c r="K1439" s="9">
        <v>12</v>
      </c>
      <c r="L1439" s="9" t="s">
        <v>35</v>
      </c>
      <c r="M1439" s="9">
        <v>5</v>
      </c>
    </row>
    <row r="1440" spans="2:13" ht="15.6" thickTop="1" thickBot="1" x14ac:dyDescent="0.35">
      <c r="B1440" s="6">
        <v>1438</v>
      </c>
      <c r="C1440" s="7" t="s">
        <v>10</v>
      </c>
      <c r="D1440" s="18">
        <v>45489</v>
      </c>
      <c r="E1440" s="7" t="s">
        <v>17</v>
      </c>
      <c r="F1440" s="7" t="s">
        <v>24</v>
      </c>
      <c r="G1440" s="7" t="s">
        <v>31</v>
      </c>
      <c r="H1440" s="7">
        <v>187</v>
      </c>
      <c r="I1440" s="5">
        <v>45</v>
      </c>
      <c r="J1440" s="5">
        <f t="shared" si="22"/>
        <v>8415</v>
      </c>
      <c r="K1440" s="7">
        <v>12</v>
      </c>
      <c r="L1440" s="7" t="s">
        <v>34</v>
      </c>
      <c r="M1440" s="7">
        <v>2</v>
      </c>
    </row>
    <row r="1441" spans="2:13" ht="15.6" thickTop="1" thickBot="1" x14ac:dyDescent="0.35">
      <c r="B1441" s="8">
        <v>1439</v>
      </c>
      <c r="C1441" s="9" t="s">
        <v>11</v>
      </c>
      <c r="D1441" s="19">
        <v>45490</v>
      </c>
      <c r="E1441" s="9" t="s">
        <v>20</v>
      </c>
      <c r="F1441" s="9" t="s">
        <v>20</v>
      </c>
      <c r="G1441" s="9" t="s">
        <v>31</v>
      </c>
      <c r="H1441" s="9">
        <v>182</v>
      </c>
      <c r="I1441" s="5">
        <v>180</v>
      </c>
      <c r="J1441" s="5">
        <f t="shared" si="22"/>
        <v>32760</v>
      </c>
      <c r="K1441" s="9">
        <v>17</v>
      </c>
      <c r="L1441" s="9" t="s">
        <v>35</v>
      </c>
      <c r="M1441" s="9">
        <v>3</v>
      </c>
    </row>
    <row r="1442" spans="2:13" ht="15.6" thickTop="1" thickBot="1" x14ac:dyDescent="0.35">
      <c r="B1442" s="6">
        <v>1440</v>
      </c>
      <c r="C1442" s="7" t="s">
        <v>11</v>
      </c>
      <c r="D1442" s="18">
        <v>45491</v>
      </c>
      <c r="E1442" s="7" t="s">
        <v>18</v>
      </c>
      <c r="F1442" s="7" t="s">
        <v>27</v>
      </c>
      <c r="G1442" s="7" t="s">
        <v>29</v>
      </c>
      <c r="H1442" s="7">
        <v>31</v>
      </c>
      <c r="I1442" s="5">
        <v>90</v>
      </c>
      <c r="J1442" s="5">
        <f t="shared" si="22"/>
        <v>2790</v>
      </c>
      <c r="K1442" s="7">
        <v>18</v>
      </c>
      <c r="L1442" s="7" t="s">
        <v>35</v>
      </c>
      <c r="M1442" s="7">
        <v>5</v>
      </c>
    </row>
    <row r="1443" spans="2:13" ht="15.6" thickTop="1" thickBot="1" x14ac:dyDescent="0.35">
      <c r="B1443" s="8">
        <v>1441</v>
      </c>
      <c r="C1443" s="9" t="s">
        <v>11</v>
      </c>
      <c r="D1443" s="19">
        <v>45492</v>
      </c>
      <c r="E1443" s="9" t="s">
        <v>15</v>
      </c>
      <c r="F1443" s="9" t="s">
        <v>25</v>
      </c>
      <c r="G1443" s="9" t="s">
        <v>30</v>
      </c>
      <c r="H1443" s="9">
        <v>236</v>
      </c>
      <c r="I1443" s="5">
        <v>135</v>
      </c>
      <c r="J1443" s="5">
        <f t="shared" si="22"/>
        <v>31860</v>
      </c>
      <c r="K1443" s="9">
        <v>19</v>
      </c>
      <c r="L1443" s="9" t="s">
        <v>34</v>
      </c>
      <c r="M1443" s="9"/>
    </row>
    <row r="1444" spans="2:13" ht="15.6" thickTop="1" thickBot="1" x14ac:dyDescent="0.35">
      <c r="B1444" s="6">
        <v>1442</v>
      </c>
      <c r="C1444" s="7" t="s">
        <v>11</v>
      </c>
      <c r="D1444" s="18">
        <v>45493</v>
      </c>
      <c r="E1444" s="7" t="s">
        <v>17</v>
      </c>
      <c r="F1444" s="7" t="s">
        <v>24</v>
      </c>
      <c r="G1444" s="7" t="s">
        <v>32</v>
      </c>
      <c r="H1444" s="7">
        <v>129</v>
      </c>
      <c r="I1444" s="5">
        <v>225</v>
      </c>
      <c r="J1444" s="5">
        <f t="shared" si="22"/>
        <v>29025</v>
      </c>
      <c r="K1444" s="7">
        <v>8</v>
      </c>
      <c r="L1444" s="7" t="s">
        <v>33</v>
      </c>
      <c r="M1444" s="7"/>
    </row>
    <row r="1445" spans="2:13" ht="15.6" thickTop="1" thickBot="1" x14ac:dyDescent="0.35">
      <c r="B1445" s="8">
        <v>1443</v>
      </c>
      <c r="C1445" s="9" t="s">
        <v>11</v>
      </c>
      <c r="D1445" s="19">
        <v>45494</v>
      </c>
      <c r="E1445" s="9" t="s">
        <v>20</v>
      </c>
      <c r="F1445" s="9" t="s">
        <v>20</v>
      </c>
      <c r="G1445" s="9" t="s">
        <v>29</v>
      </c>
      <c r="H1445" s="9">
        <v>186</v>
      </c>
      <c r="I1445" s="5">
        <v>225</v>
      </c>
      <c r="J1445" s="5">
        <f t="shared" si="22"/>
        <v>41850</v>
      </c>
      <c r="K1445" s="9">
        <v>7</v>
      </c>
      <c r="L1445" s="9" t="s">
        <v>34</v>
      </c>
      <c r="M1445" s="9"/>
    </row>
    <row r="1446" spans="2:13" ht="15.6" thickTop="1" thickBot="1" x14ac:dyDescent="0.35">
      <c r="B1446" s="6">
        <v>1444</v>
      </c>
      <c r="C1446" s="7" t="s">
        <v>10</v>
      </c>
      <c r="D1446" s="18">
        <v>45495</v>
      </c>
      <c r="E1446" s="7" t="s">
        <v>16</v>
      </c>
      <c r="F1446" s="7" t="s">
        <v>26</v>
      </c>
      <c r="G1446" s="7" t="s">
        <v>29</v>
      </c>
      <c r="H1446" s="7">
        <v>226</v>
      </c>
      <c r="I1446" s="5">
        <v>225</v>
      </c>
      <c r="J1446" s="5">
        <f t="shared" si="22"/>
        <v>50850</v>
      </c>
      <c r="K1446" s="7">
        <v>13</v>
      </c>
      <c r="L1446" s="7" t="s">
        <v>33</v>
      </c>
      <c r="M1446" s="7">
        <v>3</v>
      </c>
    </row>
    <row r="1447" spans="2:13" ht="15.6" thickTop="1" thickBot="1" x14ac:dyDescent="0.35">
      <c r="B1447" s="8">
        <v>1445</v>
      </c>
      <c r="C1447" s="9" t="s">
        <v>11</v>
      </c>
      <c r="D1447" s="19">
        <v>45496</v>
      </c>
      <c r="E1447" s="9" t="s">
        <v>16</v>
      </c>
      <c r="F1447" s="9" t="s">
        <v>26</v>
      </c>
      <c r="G1447" s="9" t="s">
        <v>31</v>
      </c>
      <c r="H1447" s="9">
        <v>46</v>
      </c>
      <c r="I1447" s="5">
        <v>135</v>
      </c>
      <c r="J1447" s="5">
        <f t="shared" si="22"/>
        <v>6210</v>
      </c>
      <c r="K1447" s="9">
        <v>19</v>
      </c>
      <c r="L1447" s="9" t="s">
        <v>35</v>
      </c>
      <c r="M1447" s="9">
        <v>4</v>
      </c>
    </row>
    <row r="1448" spans="2:13" ht="15.6" thickTop="1" thickBot="1" x14ac:dyDescent="0.35">
      <c r="B1448" s="6">
        <v>1446</v>
      </c>
      <c r="C1448" s="7" t="s">
        <v>10</v>
      </c>
      <c r="D1448" s="18">
        <v>45497</v>
      </c>
      <c r="E1448" s="7" t="s">
        <v>16</v>
      </c>
      <c r="F1448" s="7" t="s">
        <v>26</v>
      </c>
      <c r="G1448" s="7" t="s">
        <v>28</v>
      </c>
      <c r="H1448" s="7">
        <v>224</v>
      </c>
      <c r="I1448" s="5">
        <v>180</v>
      </c>
      <c r="J1448" s="5">
        <f t="shared" si="22"/>
        <v>40320</v>
      </c>
      <c r="K1448" s="7">
        <v>23</v>
      </c>
      <c r="L1448" s="7" t="s">
        <v>35</v>
      </c>
      <c r="M1448" s="7">
        <v>3</v>
      </c>
    </row>
    <row r="1449" spans="2:13" ht="15.6" thickTop="1" thickBot="1" x14ac:dyDescent="0.35">
      <c r="B1449" s="8">
        <v>1447</v>
      </c>
      <c r="C1449" s="9" t="s">
        <v>10</v>
      </c>
      <c r="D1449" s="19">
        <v>45498</v>
      </c>
      <c r="E1449" s="9" t="s">
        <v>15</v>
      </c>
      <c r="F1449" s="9" t="s">
        <v>25</v>
      </c>
      <c r="G1449" s="9" t="s">
        <v>30</v>
      </c>
      <c r="H1449" s="9">
        <v>200</v>
      </c>
      <c r="I1449" s="5">
        <v>135</v>
      </c>
      <c r="J1449" s="5">
        <f t="shared" si="22"/>
        <v>27000</v>
      </c>
      <c r="K1449" s="9">
        <v>13</v>
      </c>
      <c r="L1449" s="9" t="s">
        <v>34</v>
      </c>
      <c r="M1449" s="9">
        <v>2</v>
      </c>
    </row>
    <row r="1450" spans="2:13" ht="15.6" thickTop="1" thickBot="1" x14ac:dyDescent="0.35">
      <c r="B1450" s="6">
        <v>1448</v>
      </c>
      <c r="C1450" s="7" t="s">
        <v>11</v>
      </c>
      <c r="D1450" s="18">
        <v>45499</v>
      </c>
      <c r="E1450" s="7" t="s">
        <v>20</v>
      </c>
      <c r="F1450" s="7" t="s">
        <v>20</v>
      </c>
      <c r="G1450" s="7" t="s">
        <v>30</v>
      </c>
      <c r="H1450" s="7">
        <v>155</v>
      </c>
      <c r="I1450" s="5">
        <v>225</v>
      </c>
      <c r="J1450" s="5">
        <f t="shared" si="22"/>
        <v>34875</v>
      </c>
      <c r="K1450" s="7">
        <v>17</v>
      </c>
      <c r="L1450" s="7" t="s">
        <v>34</v>
      </c>
      <c r="M1450" s="7">
        <v>2</v>
      </c>
    </row>
    <row r="1451" spans="2:13" ht="15.6" thickTop="1" thickBot="1" x14ac:dyDescent="0.35">
      <c r="B1451" s="8">
        <v>1449</v>
      </c>
      <c r="C1451" s="9" t="s">
        <v>10</v>
      </c>
      <c r="D1451" s="19">
        <v>45383</v>
      </c>
      <c r="E1451" s="9" t="s">
        <v>12</v>
      </c>
      <c r="F1451" s="9" t="s">
        <v>23</v>
      </c>
      <c r="G1451" s="9" t="s">
        <v>28</v>
      </c>
      <c r="H1451" s="9">
        <v>194</v>
      </c>
      <c r="I1451" s="5">
        <v>135</v>
      </c>
      <c r="J1451" s="5">
        <f t="shared" si="22"/>
        <v>26190</v>
      </c>
      <c r="K1451" s="9">
        <v>18</v>
      </c>
      <c r="L1451" s="9" t="s">
        <v>35</v>
      </c>
      <c r="M1451" s="9">
        <v>3</v>
      </c>
    </row>
    <row r="1452" spans="2:13" ht="15.6" thickTop="1" thickBot="1" x14ac:dyDescent="0.35">
      <c r="B1452" s="6">
        <v>1450</v>
      </c>
      <c r="C1452" s="7" t="s">
        <v>11</v>
      </c>
      <c r="D1452" s="18">
        <v>45384</v>
      </c>
      <c r="E1452" s="7" t="s">
        <v>20</v>
      </c>
      <c r="F1452" s="7" t="s">
        <v>20</v>
      </c>
      <c r="G1452" s="7" t="s">
        <v>32</v>
      </c>
      <c r="H1452" s="7">
        <v>204</v>
      </c>
      <c r="I1452" s="5">
        <v>45</v>
      </c>
      <c r="J1452" s="5">
        <f t="shared" si="22"/>
        <v>9180</v>
      </c>
      <c r="K1452" s="7">
        <v>8</v>
      </c>
      <c r="L1452" s="7" t="s">
        <v>35</v>
      </c>
      <c r="M1452" s="7">
        <v>5</v>
      </c>
    </row>
    <row r="1453" spans="2:13" ht="15.6" thickTop="1" thickBot="1" x14ac:dyDescent="0.35">
      <c r="B1453" s="8">
        <v>1451</v>
      </c>
      <c r="C1453" s="9" t="s">
        <v>10</v>
      </c>
      <c r="D1453" s="19">
        <v>45385</v>
      </c>
      <c r="E1453" s="9" t="s">
        <v>19</v>
      </c>
      <c r="F1453" s="9" t="s">
        <v>23</v>
      </c>
      <c r="G1453" s="9" t="s">
        <v>30</v>
      </c>
      <c r="H1453" s="9">
        <v>150</v>
      </c>
      <c r="I1453" s="5">
        <v>90</v>
      </c>
      <c r="J1453" s="5">
        <f t="shared" si="22"/>
        <v>13500</v>
      </c>
      <c r="K1453" s="9">
        <v>15</v>
      </c>
      <c r="L1453" s="9" t="s">
        <v>34</v>
      </c>
      <c r="M1453" s="9">
        <v>3</v>
      </c>
    </row>
    <row r="1454" spans="2:13" ht="15.6" thickTop="1" thickBot="1" x14ac:dyDescent="0.35">
      <c r="B1454" s="6">
        <v>1452</v>
      </c>
      <c r="C1454" s="7" t="s">
        <v>11</v>
      </c>
      <c r="D1454" s="18">
        <v>45386</v>
      </c>
      <c r="E1454" s="7" t="s">
        <v>20</v>
      </c>
      <c r="F1454" s="7" t="s">
        <v>20</v>
      </c>
      <c r="G1454" s="7" t="s">
        <v>29</v>
      </c>
      <c r="H1454" s="7">
        <v>97</v>
      </c>
      <c r="I1454" s="5">
        <v>45</v>
      </c>
      <c r="J1454" s="5">
        <f t="shared" si="22"/>
        <v>4365</v>
      </c>
      <c r="K1454" s="7">
        <v>18</v>
      </c>
      <c r="L1454" s="7" t="s">
        <v>35</v>
      </c>
      <c r="M1454" s="7">
        <v>1</v>
      </c>
    </row>
    <row r="1455" spans="2:13" ht="15.6" thickTop="1" thickBot="1" x14ac:dyDescent="0.35">
      <c r="B1455" s="8">
        <v>1453</v>
      </c>
      <c r="C1455" s="9" t="s">
        <v>10</v>
      </c>
      <c r="D1455" s="19">
        <v>45387</v>
      </c>
      <c r="E1455" s="9" t="s">
        <v>19</v>
      </c>
      <c r="F1455" s="9" t="s">
        <v>23</v>
      </c>
      <c r="G1455" s="9" t="s">
        <v>31</v>
      </c>
      <c r="H1455" s="9">
        <v>215</v>
      </c>
      <c r="I1455" s="5">
        <v>45</v>
      </c>
      <c r="J1455" s="5">
        <f t="shared" si="22"/>
        <v>9675</v>
      </c>
      <c r="K1455" s="9">
        <v>19</v>
      </c>
      <c r="L1455" s="9" t="s">
        <v>33</v>
      </c>
      <c r="M1455" s="9">
        <v>1</v>
      </c>
    </row>
    <row r="1456" spans="2:13" ht="15.6" thickTop="1" thickBot="1" x14ac:dyDescent="0.35">
      <c r="B1456" s="6">
        <v>1454</v>
      </c>
      <c r="C1456" s="7" t="s">
        <v>10</v>
      </c>
      <c r="D1456" s="18">
        <v>45388</v>
      </c>
      <c r="E1456" s="7" t="s">
        <v>17</v>
      </c>
      <c r="F1456" s="7" t="s">
        <v>24</v>
      </c>
      <c r="G1456" s="7" t="s">
        <v>30</v>
      </c>
      <c r="H1456" s="7">
        <v>174</v>
      </c>
      <c r="I1456" s="5">
        <v>45</v>
      </c>
      <c r="J1456" s="5">
        <f t="shared" si="22"/>
        <v>7830</v>
      </c>
      <c r="K1456" s="7">
        <v>14</v>
      </c>
      <c r="L1456" s="7" t="s">
        <v>34</v>
      </c>
      <c r="M1456" s="7">
        <v>1</v>
      </c>
    </row>
    <row r="1457" spans="2:13" ht="15.6" thickTop="1" thickBot="1" x14ac:dyDescent="0.35">
      <c r="B1457" s="8">
        <v>1455</v>
      </c>
      <c r="C1457" s="9" t="s">
        <v>10</v>
      </c>
      <c r="D1457" s="19">
        <v>45389</v>
      </c>
      <c r="E1457" s="9" t="s">
        <v>21</v>
      </c>
      <c r="F1457" s="9" t="s">
        <v>26</v>
      </c>
      <c r="G1457" s="9" t="s">
        <v>32</v>
      </c>
      <c r="H1457" s="9">
        <v>143</v>
      </c>
      <c r="I1457" s="5">
        <v>225</v>
      </c>
      <c r="J1457" s="5">
        <f t="shared" si="22"/>
        <v>32175</v>
      </c>
      <c r="K1457" s="9">
        <v>16</v>
      </c>
      <c r="L1457" s="9" t="s">
        <v>33</v>
      </c>
      <c r="M1457" s="9">
        <v>2</v>
      </c>
    </row>
    <row r="1458" spans="2:13" ht="15.6" thickTop="1" thickBot="1" x14ac:dyDescent="0.35">
      <c r="B1458" s="6">
        <v>1456</v>
      </c>
      <c r="C1458" s="7" t="s">
        <v>11</v>
      </c>
      <c r="D1458" s="18">
        <v>45390</v>
      </c>
      <c r="E1458" s="7" t="s">
        <v>18</v>
      </c>
      <c r="F1458" s="7" t="s">
        <v>27</v>
      </c>
      <c r="G1458" s="7" t="s">
        <v>30</v>
      </c>
      <c r="H1458" s="7">
        <v>124</v>
      </c>
      <c r="I1458" s="5">
        <v>180</v>
      </c>
      <c r="J1458" s="5">
        <f t="shared" si="22"/>
        <v>22320</v>
      </c>
      <c r="K1458" s="7">
        <v>20</v>
      </c>
      <c r="L1458" s="7" t="s">
        <v>35</v>
      </c>
      <c r="M1458" s="7">
        <v>1</v>
      </c>
    </row>
    <row r="1459" spans="2:13" ht="15.6" thickTop="1" thickBot="1" x14ac:dyDescent="0.35">
      <c r="B1459" s="8">
        <v>1457</v>
      </c>
      <c r="C1459" s="9" t="s">
        <v>10</v>
      </c>
      <c r="D1459" s="19">
        <v>45391</v>
      </c>
      <c r="E1459" s="9" t="s">
        <v>17</v>
      </c>
      <c r="F1459" s="9" t="s">
        <v>24</v>
      </c>
      <c r="G1459" s="9" t="s">
        <v>30</v>
      </c>
      <c r="H1459" s="9">
        <v>96</v>
      </c>
      <c r="I1459" s="5">
        <v>225</v>
      </c>
      <c r="J1459" s="5">
        <f t="shared" si="22"/>
        <v>21600</v>
      </c>
      <c r="K1459" s="9">
        <v>15</v>
      </c>
      <c r="L1459" s="9" t="s">
        <v>34</v>
      </c>
      <c r="M1459" s="9">
        <v>3</v>
      </c>
    </row>
    <row r="1460" spans="2:13" ht="15.6" thickTop="1" thickBot="1" x14ac:dyDescent="0.35">
      <c r="B1460" s="6">
        <v>1458</v>
      </c>
      <c r="C1460" s="7" t="s">
        <v>10</v>
      </c>
      <c r="D1460" s="18">
        <v>45392</v>
      </c>
      <c r="E1460" s="7" t="s">
        <v>14</v>
      </c>
      <c r="F1460" s="7" t="s">
        <v>25</v>
      </c>
      <c r="G1460" s="7" t="s">
        <v>32</v>
      </c>
      <c r="H1460" s="7">
        <v>207</v>
      </c>
      <c r="I1460" s="5">
        <v>135</v>
      </c>
      <c r="J1460" s="5">
        <f t="shared" si="22"/>
        <v>27945</v>
      </c>
      <c r="K1460" s="7">
        <v>17</v>
      </c>
      <c r="L1460" s="7" t="s">
        <v>35</v>
      </c>
      <c r="M1460" s="7"/>
    </row>
    <row r="1461" spans="2:13" ht="15.6" thickTop="1" thickBot="1" x14ac:dyDescent="0.35">
      <c r="B1461" s="8">
        <v>1459</v>
      </c>
      <c r="C1461" s="9" t="s">
        <v>10</v>
      </c>
      <c r="D1461" s="19">
        <v>45393</v>
      </c>
      <c r="E1461" s="9" t="s">
        <v>12</v>
      </c>
      <c r="F1461" s="9" t="s">
        <v>23</v>
      </c>
      <c r="G1461" s="9" t="s">
        <v>31</v>
      </c>
      <c r="H1461" s="9">
        <v>241</v>
      </c>
      <c r="I1461" s="5">
        <v>45</v>
      </c>
      <c r="J1461" s="5">
        <f t="shared" si="22"/>
        <v>10845</v>
      </c>
      <c r="K1461" s="9">
        <v>18</v>
      </c>
      <c r="L1461" s="9" t="s">
        <v>34</v>
      </c>
      <c r="M1461" s="9">
        <v>1</v>
      </c>
    </row>
    <row r="1462" spans="2:13" ht="15.6" thickTop="1" thickBot="1" x14ac:dyDescent="0.35">
      <c r="B1462" s="6">
        <v>1460</v>
      </c>
      <c r="C1462" s="7" t="s">
        <v>10</v>
      </c>
      <c r="D1462" s="18">
        <v>45394</v>
      </c>
      <c r="E1462" s="7" t="s">
        <v>22</v>
      </c>
      <c r="F1462" s="7" t="s">
        <v>25</v>
      </c>
      <c r="G1462" s="7" t="s">
        <v>28</v>
      </c>
      <c r="H1462" s="7">
        <v>213</v>
      </c>
      <c r="I1462" s="5">
        <v>45</v>
      </c>
      <c r="J1462" s="5">
        <f t="shared" si="22"/>
        <v>9585</v>
      </c>
      <c r="K1462" s="7">
        <v>23</v>
      </c>
      <c r="L1462" s="7" t="s">
        <v>33</v>
      </c>
      <c r="M1462" s="7">
        <v>1</v>
      </c>
    </row>
    <row r="1463" spans="2:13" ht="15.6" thickTop="1" thickBot="1" x14ac:dyDescent="0.35">
      <c r="B1463" s="8">
        <v>1461</v>
      </c>
      <c r="C1463" s="9" t="s">
        <v>10</v>
      </c>
      <c r="D1463" s="19">
        <v>45395</v>
      </c>
      <c r="E1463" s="9" t="s">
        <v>12</v>
      </c>
      <c r="F1463" s="9" t="s">
        <v>23</v>
      </c>
      <c r="G1463" s="9" t="s">
        <v>30</v>
      </c>
      <c r="H1463" s="9">
        <v>218</v>
      </c>
      <c r="I1463" s="5">
        <v>135</v>
      </c>
      <c r="J1463" s="5">
        <f t="shared" si="22"/>
        <v>29430</v>
      </c>
      <c r="K1463" s="9">
        <v>11</v>
      </c>
      <c r="L1463" s="9" t="s">
        <v>35</v>
      </c>
      <c r="M1463" s="9">
        <v>5</v>
      </c>
    </row>
    <row r="1464" spans="2:13" ht="15.6" thickTop="1" thickBot="1" x14ac:dyDescent="0.35">
      <c r="B1464" s="6">
        <v>1462</v>
      </c>
      <c r="C1464" s="7" t="s">
        <v>10</v>
      </c>
      <c r="D1464" s="18">
        <v>45396</v>
      </c>
      <c r="E1464" s="7" t="s">
        <v>16</v>
      </c>
      <c r="F1464" s="7" t="s">
        <v>26</v>
      </c>
      <c r="G1464" s="7" t="s">
        <v>32</v>
      </c>
      <c r="H1464" s="7">
        <v>69</v>
      </c>
      <c r="I1464" s="5">
        <v>225</v>
      </c>
      <c r="J1464" s="5">
        <f t="shared" si="22"/>
        <v>15525</v>
      </c>
      <c r="K1464" s="7">
        <v>20</v>
      </c>
      <c r="L1464" s="7" t="s">
        <v>33</v>
      </c>
      <c r="M1464" s="7">
        <v>1</v>
      </c>
    </row>
    <row r="1465" spans="2:13" ht="15.6" thickTop="1" thickBot="1" x14ac:dyDescent="0.35">
      <c r="B1465" s="8">
        <v>1463</v>
      </c>
      <c r="C1465" s="9" t="s">
        <v>11</v>
      </c>
      <c r="D1465" s="19">
        <v>45397</v>
      </c>
      <c r="E1465" s="9" t="s">
        <v>13</v>
      </c>
      <c r="F1465" s="9" t="s">
        <v>24</v>
      </c>
      <c r="G1465" s="9" t="s">
        <v>28</v>
      </c>
      <c r="H1465" s="9">
        <v>206</v>
      </c>
      <c r="I1465" s="5">
        <v>45</v>
      </c>
      <c r="J1465" s="5">
        <f t="shared" si="22"/>
        <v>9270</v>
      </c>
      <c r="K1465" s="9">
        <v>12</v>
      </c>
      <c r="L1465" s="9" t="s">
        <v>34</v>
      </c>
      <c r="M1465" s="9"/>
    </row>
    <row r="1466" spans="2:13" ht="15.6" thickTop="1" thickBot="1" x14ac:dyDescent="0.35">
      <c r="B1466" s="6">
        <v>1464</v>
      </c>
      <c r="C1466" s="7" t="s">
        <v>10</v>
      </c>
      <c r="D1466" s="18">
        <v>45398</v>
      </c>
      <c r="E1466" s="7" t="s">
        <v>14</v>
      </c>
      <c r="F1466" s="7" t="s">
        <v>25</v>
      </c>
      <c r="G1466" s="7" t="s">
        <v>29</v>
      </c>
      <c r="H1466" s="7">
        <v>45</v>
      </c>
      <c r="I1466" s="5">
        <v>45</v>
      </c>
      <c r="J1466" s="5">
        <f t="shared" si="22"/>
        <v>2025</v>
      </c>
      <c r="K1466" s="7">
        <v>18</v>
      </c>
      <c r="L1466" s="7" t="s">
        <v>34</v>
      </c>
      <c r="M1466" s="7">
        <v>1</v>
      </c>
    </row>
    <row r="1467" spans="2:13" ht="15.6" thickTop="1" thickBot="1" x14ac:dyDescent="0.35">
      <c r="B1467" s="8">
        <v>1465</v>
      </c>
      <c r="C1467" s="9" t="s">
        <v>11</v>
      </c>
      <c r="D1467" s="19">
        <v>45399</v>
      </c>
      <c r="E1467" s="9" t="s">
        <v>15</v>
      </c>
      <c r="F1467" s="9" t="s">
        <v>25</v>
      </c>
      <c r="G1467" s="9" t="s">
        <v>30</v>
      </c>
      <c r="H1467" s="9">
        <v>61</v>
      </c>
      <c r="I1467" s="5">
        <v>90</v>
      </c>
      <c r="J1467" s="5">
        <f t="shared" si="22"/>
        <v>5490</v>
      </c>
      <c r="K1467" s="9">
        <v>19</v>
      </c>
      <c r="L1467" s="9" t="s">
        <v>35</v>
      </c>
      <c r="M1467" s="9">
        <v>1</v>
      </c>
    </row>
    <row r="1468" spans="2:13" ht="15.6" thickTop="1" thickBot="1" x14ac:dyDescent="0.35">
      <c r="B1468" s="6">
        <v>1466</v>
      </c>
      <c r="C1468" s="7" t="s">
        <v>10</v>
      </c>
      <c r="D1468" s="18">
        <v>45400</v>
      </c>
      <c r="E1468" s="7" t="s">
        <v>20</v>
      </c>
      <c r="F1468" s="7" t="s">
        <v>20</v>
      </c>
      <c r="G1468" s="7" t="s">
        <v>28</v>
      </c>
      <c r="H1468" s="7">
        <v>161</v>
      </c>
      <c r="I1468" s="5">
        <v>135</v>
      </c>
      <c r="J1468" s="5">
        <f t="shared" si="22"/>
        <v>21735</v>
      </c>
      <c r="K1468" s="7">
        <v>22</v>
      </c>
      <c r="L1468" s="7" t="s">
        <v>34</v>
      </c>
      <c r="M1468" s="7"/>
    </row>
    <row r="1469" spans="2:13" ht="15.6" thickTop="1" thickBot="1" x14ac:dyDescent="0.35">
      <c r="B1469" s="8">
        <v>1467</v>
      </c>
      <c r="C1469" s="9" t="s">
        <v>10</v>
      </c>
      <c r="D1469" s="19">
        <v>45401</v>
      </c>
      <c r="E1469" s="9" t="s">
        <v>18</v>
      </c>
      <c r="F1469" s="9" t="s">
        <v>27</v>
      </c>
      <c r="G1469" s="9" t="s">
        <v>30</v>
      </c>
      <c r="H1469" s="9">
        <v>93</v>
      </c>
      <c r="I1469" s="5">
        <v>90</v>
      </c>
      <c r="J1469" s="5">
        <f t="shared" si="22"/>
        <v>8370</v>
      </c>
      <c r="K1469" s="9">
        <v>18</v>
      </c>
      <c r="L1469" s="9" t="s">
        <v>35</v>
      </c>
      <c r="M1469" s="9">
        <v>2</v>
      </c>
    </row>
    <row r="1470" spans="2:13" ht="15.6" thickTop="1" thickBot="1" x14ac:dyDescent="0.35">
      <c r="B1470" s="6">
        <v>1468</v>
      </c>
      <c r="C1470" s="7" t="s">
        <v>10</v>
      </c>
      <c r="D1470" s="18">
        <v>45402</v>
      </c>
      <c r="E1470" s="7" t="s">
        <v>15</v>
      </c>
      <c r="F1470" s="7" t="s">
        <v>25</v>
      </c>
      <c r="G1470" s="7" t="s">
        <v>28</v>
      </c>
      <c r="H1470" s="7">
        <v>100</v>
      </c>
      <c r="I1470" s="5">
        <v>180</v>
      </c>
      <c r="J1470" s="5">
        <f t="shared" si="22"/>
        <v>18000</v>
      </c>
      <c r="K1470" s="7">
        <v>25</v>
      </c>
      <c r="L1470" s="7" t="s">
        <v>35</v>
      </c>
      <c r="M1470" s="7">
        <v>4</v>
      </c>
    </row>
    <row r="1471" spans="2:13" ht="15.6" thickTop="1" thickBot="1" x14ac:dyDescent="0.35">
      <c r="B1471" s="8">
        <v>1469</v>
      </c>
      <c r="C1471" s="9" t="s">
        <v>10</v>
      </c>
      <c r="D1471" s="19">
        <v>45403</v>
      </c>
      <c r="E1471" s="9" t="s">
        <v>18</v>
      </c>
      <c r="F1471" s="9" t="s">
        <v>27</v>
      </c>
      <c r="G1471" s="9" t="s">
        <v>28</v>
      </c>
      <c r="H1471" s="9">
        <v>154</v>
      </c>
      <c r="I1471" s="5">
        <v>45</v>
      </c>
      <c r="J1471" s="5">
        <f t="shared" si="22"/>
        <v>6930</v>
      </c>
      <c r="K1471" s="9">
        <v>16</v>
      </c>
      <c r="L1471" s="9" t="s">
        <v>34</v>
      </c>
      <c r="M1471" s="9">
        <v>3</v>
      </c>
    </row>
    <row r="1472" spans="2:13" ht="15.6" thickTop="1" thickBot="1" x14ac:dyDescent="0.35">
      <c r="B1472" s="6">
        <v>1470</v>
      </c>
      <c r="C1472" s="7" t="s">
        <v>11</v>
      </c>
      <c r="D1472" s="18">
        <v>45404</v>
      </c>
      <c r="E1472" s="7" t="s">
        <v>21</v>
      </c>
      <c r="F1472" s="7" t="s">
        <v>26</v>
      </c>
      <c r="G1472" s="7" t="s">
        <v>32</v>
      </c>
      <c r="H1472" s="7">
        <v>91</v>
      </c>
      <c r="I1472" s="5">
        <v>225</v>
      </c>
      <c r="J1472" s="5">
        <f t="shared" si="22"/>
        <v>20475</v>
      </c>
      <c r="K1472" s="7">
        <v>12</v>
      </c>
      <c r="L1472" s="7" t="s">
        <v>35</v>
      </c>
      <c r="M1472" s="7">
        <v>2</v>
      </c>
    </row>
    <row r="1473" spans="2:13" ht="15.6" thickTop="1" thickBot="1" x14ac:dyDescent="0.35">
      <c r="B1473" s="8">
        <v>1471</v>
      </c>
      <c r="C1473" s="9" t="s">
        <v>11</v>
      </c>
      <c r="D1473" s="19">
        <v>45405</v>
      </c>
      <c r="E1473" s="9" t="s">
        <v>15</v>
      </c>
      <c r="F1473" s="9" t="s">
        <v>25</v>
      </c>
      <c r="G1473" s="9" t="s">
        <v>30</v>
      </c>
      <c r="H1473" s="9">
        <v>44</v>
      </c>
      <c r="I1473" s="5">
        <v>90</v>
      </c>
      <c r="J1473" s="5">
        <f t="shared" si="22"/>
        <v>3960</v>
      </c>
      <c r="K1473" s="9">
        <v>12</v>
      </c>
      <c r="L1473" s="9" t="s">
        <v>34</v>
      </c>
      <c r="M1473" s="9">
        <v>1</v>
      </c>
    </row>
    <row r="1474" spans="2:13" ht="15.6" thickTop="1" thickBot="1" x14ac:dyDescent="0.35">
      <c r="B1474" s="6">
        <v>1472</v>
      </c>
      <c r="C1474" s="7" t="s">
        <v>11</v>
      </c>
      <c r="D1474" s="18">
        <v>45406</v>
      </c>
      <c r="E1474" s="7" t="s">
        <v>21</v>
      </c>
      <c r="F1474" s="7" t="s">
        <v>26</v>
      </c>
      <c r="G1474" s="7" t="s">
        <v>28</v>
      </c>
      <c r="H1474" s="7">
        <v>40</v>
      </c>
      <c r="I1474" s="5">
        <v>135</v>
      </c>
      <c r="J1474" s="5">
        <f t="shared" si="22"/>
        <v>5400</v>
      </c>
      <c r="K1474" s="7">
        <v>11</v>
      </c>
      <c r="L1474" s="7" t="s">
        <v>35</v>
      </c>
      <c r="M1474" s="7">
        <v>3</v>
      </c>
    </row>
    <row r="1475" spans="2:13" ht="15.6" thickTop="1" thickBot="1" x14ac:dyDescent="0.35">
      <c r="B1475" s="8">
        <v>1473</v>
      </c>
      <c r="C1475" s="9" t="s">
        <v>10</v>
      </c>
      <c r="D1475" s="19">
        <v>45407</v>
      </c>
      <c r="E1475" s="9" t="s">
        <v>22</v>
      </c>
      <c r="F1475" s="9" t="s">
        <v>25</v>
      </c>
      <c r="G1475" s="9" t="s">
        <v>31</v>
      </c>
      <c r="H1475" s="9">
        <v>117</v>
      </c>
      <c r="I1475" s="5">
        <v>225</v>
      </c>
      <c r="J1475" s="5">
        <f t="shared" si="22"/>
        <v>26325</v>
      </c>
      <c r="K1475" s="9">
        <v>22</v>
      </c>
      <c r="L1475" s="9" t="s">
        <v>33</v>
      </c>
      <c r="M1475" s="9">
        <v>1</v>
      </c>
    </row>
    <row r="1476" spans="2:13" ht="15.6" thickTop="1" thickBot="1" x14ac:dyDescent="0.35">
      <c r="B1476" s="6">
        <v>1474</v>
      </c>
      <c r="C1476" s="7" t="s">
        <v>11</v>
      </c>
      <c r="D1476" s="18">
        <v>45408</v>
      </c>
      <c r="E1476" s="7" t="s">
        <v>15</v>
      </c>
      <c r="F1476" s="7" t="s">
        <v>25</v>
      </c>
      <c r="G1476" s="7" t="s">
        <v>29</v>
      </c>
      <c r="H1476" s="7">
        <v>151</v>
      </c>
      <c r="I1476" s="5">
        <v>180</v>
      </c>
      <c r="J1476" s="5">
        <f t="shared" ref="J1476:J1539" si="23">H1476*I1476</f>
        <v>27180</v>
      </c>
      <c r="K1476" s="7">
        <v>14</v>
      </c>
      <c r="L1476" s="7" t="s">
        <v>35</v>
      </c>
      <c r="M1476" s="7">
        <v>5</v>
      </c>
    </row>
    <row r="1477" spans="2:13" ht="15.6" thickTop="1" thickBot="1" x14ac:dyDescent="0.35">
      <c r="B1477" s="8">
        <v>1475</v>
      </c>
      <c r="C1477" s="9" t="s">
        <v>10</v>
      </c>
      <c r="D1477" s="19">
        <v>45409</v>
      </c>
      <c r="E1477" s="9" t="s">
        <v>18</v>
      </c>
      <c r="F1477" s="9" t="s">
        <v>27</v>
      </c>
      <c r="G1477" s="9" t="s">
        <v>31</v>
      </c>
      <c r="H1477" s="9">
        <v>158</v>
      </c>
      <c r="I1477" s="5">
        <v>135</v>
      </c>
      <c r="J1477" s="5">
        <f t="shared" si="23"/>
        <v>21330</v>
      </c>
      <c r="K1477" s="9">
        <v>16</v>
      </c>
      <c r="L1477" s="9" t="s">
        <v>34</v>
      </c>
      <c r="M1477" s="9">
        <v>3</v>
      </c>
    </row>
    <row r="1478" spans="2:13" ht="15.6" thickTop="1" thickBot="1" x14ac:dyDescent="0.35">
      <c r="B1478" s="6">
        <v>1476</v>
      </c>
      <c r="C1478" s="7" t="s">
        <v>10</v>
      </c>
      <c r="D1478" s="18">
        <v>45410</v>
      </c>
      <c r="E1478" s="7" t="s">
        <v>17</v>
      </c>
      <c r="F1478" s="7" t="s">
        <v>24</v>
      </c>
      <c r="G1478" s="7" t="s">
        <v>30</v>
      </c>
      <c r="H1478" s="7">
        <v>208</v>
      </c>
      <c r="I1478" s="5">
        <v>135</v>
      </c>
      <c r="J1478" s="5">
        <f t="shared" si="23"/>
        <v>28080</v>
      </c>
      <c r="K1478" s="7">
        <v>18</v>
      </c>
      <c r="L1478" s="7" t="s">
        <v>35</v>
      </c>
      <c r="M1478" s="7"/>
    </row>
    <row r="1479" spans="2:13" ht="15.6" thickTop="1" thickBot="1" x14ac:dyDescent="0.35">
      <c r="B1479" s="8">
        <v>1477</v>
      </c>
      <c r="C1479" s="9" t="s">
        <v>11</v>
      </c>
      <c r="D1479" s="19">
        <v>45411</v>
      </c>
      <c r="E1479" s="9" t="s">
        <v>15</v>
      </c>
      <c r="F1479" s="9" t="s">
        <v>25</v>
      </c>
      <c r="G1479" s="9" t="s">
        <v>29</v>
      </c>
      <c r="H1479" s="9">
        <v>56</v>
      </c>
      <c r="I1479" s="5">
        <v>45</v>
      </c>
      <c r="J1479" s="5">
        <f t="shared" si="23"/>
        <v>2520</v>
      </c>
      <c r="K1479" s="9">
        <v>15</v>
      </c>
      <c r="L1479" s="9" t="s">
        <v>33</v>
      </c>
      <c r="M1479" s="9"/>
    </row>
    <row r="1480" spans="2:13" ht="15.6" thickTop="1" thickBot="1" x14ac:dyDescent="0.35">
      <c r="B1480" s="6">
        <v>1478</v>
      </c>
      <c r="C1480" s="7" t="s">
        <v>11</v>
      </c>
      <c r="D1480" s="18">
        <v>45412</v>
      </c>
      <c r="E1480" s="7" t="s">
        <v>20</v>
      </c>
      <c r="F1480" s="7" t="s">
        <v>20</v>
      </c>
      <c r="G1480" s="7" t="s">
        <v>30</v>
      </c>
      <c r="H1480" s="7">
        <v>100</v>
      </c>
      <c r="I1480" s="5">
        <v>135</v>
      </c>
      <c r="J1480" s="5">
        <f t="shared" si="23"/>
        <v>13500</v>
      </c>
      <c r="K1480" s="7">
        <v>8</v>
      </c>
      <c r="L1480" s="7" t="s">
        <v>35</v>
      </c>
      <c r="M1480" s="7">
        <v>3</v>
      </c>
    </row>
    <row r="1481" spans="2:13" ht="15.6" thickTop="1" thickBot="1" x14ac:dyDescent="0.35">
      <c r="B1481" s="8">
        <v>1479</v>
      </c>
      <c r="C1481" s="9" t="s">
        <v>10</v>
      </c>
      <c r="D1481" s="19">
        <v>45413</v>
      </c>
      <c r="E1481" s="9" t="s">
        <v>20</v>
      </c>
      <c r="F1481" s="9" t="s">
        <v>20</v>
      </c>
      <c r="G1481" s="9" t="s">
        <v>32</v>
      </c>
      <c r="H1481" s="9">
        <v>249</v>
      </c>
      <c r="I1481" s="5">
        <v>45</v>
      </c>
      <c r="J1481" s="5">
        <f t="shared" si="23"/>
        <v>11205</v>
      </c>
      <c r="K1481" s="9">
        <v>18</v>
      </c>
      <c r="L1481" s="9" t="s">
        <v>33</v>
      </c>
      <c r="M1481" s="9">
        <v>5</v>
      </c>
    </row>
    <row r="1482" spans="2:13" ht="15.6" thickTop="1" thickBot="1" x14ac:dyDescent="0.35">
      <c r="B1482" s="6">
        <v>1480</v>
      </c>
      <c r="C1482" s="7" t="s">
        <v>11</v>
      </c>
      <c r="D1482" s="18">
        <v>45414</v>
      </c>
      <c r="E1482" s="7" t="s">
        <v>19</v>
      </c>
      <c r="F1482" s="7" t="s">
        <v>23</v>
      </c>
      <c r="G1482" s="7" t="s">
        <v>31</v>
      </c>
      <c r="H1482" s="7">
        <v>129</v>
      </c>
      <c r="I1482" s="5">
        <v>180</v>
      </c>
      <c r="J1482" s="5">
        <f t="shared" si="23"/>
        <v>23220</v>
      </c>
      <c r="K1482" s="7">
        <v>10</v>
      </c>
      <c r="L1482" s="7" t="s">
        <v>34</v>
      </c>
      <c r="M1482" s="7">
        <v>3</v>
      </c>
    </row>
    <row r="1483" spans="2:13" ht="15.6" thickTop="1" thickBot="1" x14ac:dyDescent="0.35">
      <c r="B1483" s="8">
        <v>1481</v>
      </c>
      <c r="C1483" s="9" t="s">
        <v>11</v>
      </c>
      <c r="D1483" s="19">
        <v>45415</v>
      </c>
      <c r="E1483" s="9" t="s">
        <v>18</v>
      </c>
      <c r="F1483" s="9" t="s">
        <v>27</v>
      </c>
      <c r="G1483" s="9" t="s">
        <v>30</v>
      </c>
      <c r="H1483" s="9">
        <v>85</v>
      </c>
      <c r="I1483" s="5">
        <v>135</v>
      </c>
      <c r="J1483" s="5">
        <f t="shared" si="23"/>
        <v>11475</v>
      </c>
      <c r="K1483" s="9">
        <v>14</v>
      </c>
      <c r="L1483" s="9" t="s">
        <v>34</v>
      </c>
      <c r="M1483" s="9">
        <v>1</v>
      </c>
    </row>
    <row r="1484" spans="2:13" ht="15.6" thickTop="1" thickBot="1" x14ac:dyDescent="0.35">
      <c r="B1484" s="6">
        <v>1482</v>
      </c>
      <c r="C1484" s="7" t="s">
        <v>10</v>
      </c>
      <c r="D1484" s="18">
        <v>45416</v>
      </c>
      <c r="E1484" s="7" t="s">
        <v>15</v>
      </c>
      <c r="F1484" s="7" t="s">
        <v>25</v>
      </c>
      <c r="G1484" s="7" t="s">
        <v>32</v>
      </c>
      <c r="H1484" s="7">
        <v>35</v>
      </c>
      <c r="I1484" s="5">
        <v>45</v>
      </c>
      <c r="J1484" s="5">
        <f t="shared" si="23"/>
        <v>1575</v>
      </c>
      <c r="K1484" s="7">
        <v>11</v>
      </c>
      <c r="L1484" s="7" t="s">
        <v>33</v>
      </c>
      <c r="M1484" s="7">
        <v>4</v>
      </c>
    </row>
    <row r="1485" spans="2:13" ht="15.6" thickTop="1" thickBot="1" x14ac:dyDescent="0.35">
      <c r="B1485" s="8">
        <v>1483</v>
      </c>
      <c r="C1485" s="9" t="s">
        <v>10</v>
      </c>
      <c r="D1485" s="19">
        <v>45417</v>
      </c>
      <c r="E1485" s="9" t="s">
        <v>16</v>
      </c>
      <c r="F1485" s="9" t="s">
        <v>26</v>
      </c>
      <c r="G1485" s="9" t="s">
        <v>30</v>
      </c>
      <c r="H1485" s="9">
        <v>223</v>
      </c>
      <c r="I1485" s="5">
        <v>180</v>
      </c>
      <c r="J1485" s="5">
        <f t="shared" si="23"/>
        <v>40140</v>
      </c>
      <c r="K1485" s="9">
        <v>21</v>
      </c>
      <c r="L1485" s="9" t="s">
        <v>33</v>
      </c>
      <c r="M1485" s="9">
        <v>3</v>
      </c>
    </row>
    <row r="1486" spans="2:13" ht="15.6" thickTop="1" thickBot="1" x14ac:dyDescent="0.35">
      <c r="B1486" s="6">
        <v>1484</v>
      </c>
      <c r="C1486" s="7" t="s">
        <v>10</v>
      </c>
      <c r="D1486" s="18">
        <v>45418</v>
      </c>
      <c r="E1486" s="7" t="s">
        <v>14</v>
      </c>
      <c r="F1486" s="7" t="s">
        <v>25</v>
      </c>
      <c r="G1486" s="7" t="s">
        <v>29</v>
      </c>
      <c r="H1486" s="7">
        <v>136</v>
      </c>
      <c r="I1486" s="5">
        <v>90</v>
      </c>
      <c r="J1486" s="5">
        <f t="shared" si="23"/>
        <v>12240</v>
      </c>
      <c r="K1486" s="7">
        <v>11</v>
      </c>
      <c r="L1486" s="7" t="s">
        <v>34</v>
      </c>
      <c r="M1486" s="7">
        <v>4</v>
      </c>
    </row>
    <row r="1487" spans="2:13" ht="15.6" thickTop="1" thickBot="1" x14ac:dyDescent="0.35">
      <c r="B1487" s="8">
        <v>1485</v>
      </c>
      <c r="C1487" s="9" t="s">
        <v>11</v>
      </c>
      <c r="D1487" s="19">
        <v>45419</v>
      </c>
      <c r="E1487" s="9" t="s">
        <v>21</v>
      </c>
      <c r="F1487" s="9" t="s">
        <v>26</v>
      </c>
      <c r="G1487" s="9" t="s">
        <v>31</v>
      </c>
      <c r="H1487" s="9">
        <v>119</v>
      </c>
      <c r="I1487" s="5">
        <v>180</v>
      </c>
      <c r="J1487" s="5">
        <f t="shared" si="23"/>
        <v>21420</v>
      </c>
      <c r="K1487" s="9">
        <v>14</v>
      </c>
      <c r="L1487" s="9" t="s">
        <v>34</v>
      </c>
      <c r="M1487" s="9">
        <v>1</v>
      </c>
    </row>
    <row r="1488" spans="2:13" ht="15.6" thickTop="1" thickBot="1" x14ac:dyDescent="0.35">
      <c r="B1488" s="6">
        <v>1486</v>
      </c>
      <c r="C1488" s="7" t="s">
        <v>11</v>
      </c>
      <c r="D1488" s="18">
        <v>45420</v>
      </c>
      <c r="E1488" s="7" t="s">
        <v>21</v>
      </c>
      <c r="F1488" s="7" t="s">
        <v>26</v>
      </c>
      <c r="G1488" s="7" t="s">
        <v>32</v>
      </c>
      <c r="H1488" s="7">
        <v>44</v>
      </c>
      <c r="I1488" s="5">
        <v>180</v>
      </c>
      <c r="J1488" s="5">
        <f t="shared" si="23"/>
        <v>7920</v>
      </c>
      <c r="K1488" s="7">
        <v>15</v>
      </c>
      <c r="L1488" s="7" t="s">
        <v>34</v>
      </c>
      <c r="M1488" s="7"/>
    </row>
    <row r="1489" spans="2:13" ht="15.6" thickTop="1" thickBot="1" x14ac:dyDescent="0.35">
      <c r="B1489" s="8">
        <v>1487</v>
      </c>
      <c r="C1489" s="9" t="s">
        <v>11</v>
      </c>
      <c r="D1489" s="19">
        <v>45421</v>
      </c>
      <c r="E1489" s="9" t="s">
        <v>21</v>
      </c>
      <c r="F1489" s="9" t="s">
        <v>26</v>
      </c>
      <c r="G1489" s="9" t="s">
        <v>28</v>
      </c>
      <c r="H1489" s="9">
        <v>230</v>
      </c>
      <c r="I1489" s="5">
        <v>45</v>
      </c>
      <c r="J1489" s="5">
        <f t="shared" si="23"/>
        <v>10350</v>
      </c>
      <c r="K1489" s="9">
        <v>14</v>
      </c>
      <c r="L1489" s="9" t="s">
        <v>35</v>
      </c>
      <c r="M1489" s="9">
        <v>4</v>
      </c>
    </row>
    <row r="1490" spans="2:13" ht="15.6" thickTop="1" thickBot="1" x14ac:dyDescent="0.35">
      <c r="B1490" s="6">
        <v>1488</v>
      </c>
      <c r="C1490" s="7" t="s">
        <v>10</v>
      </c>
      <c r="D1490" s="18">
        <v>45422</v>
      </c>
      <c r="E1490" s="7" t="s">
        <v>14</v>
      </c>
      <c r="F1490" s="7" t="s">
        <v>25</v>
      </c>
      <c r="G1490" s="7" t="s">
        <v>32</v>
      </c>
      <c r="H1490" s="7">
        <v>35</v>
      </c>
      <c r="I1490" s="5">
        <v>90</v>
      </c>
      <c r="J1490" s="5">
        <f t="shared" si="23"/>
        <v>3150</v>
      </c>
      <c r="K1490" s="7">
        <v>19</v>
      </c>
      <c r="L1490" s="7" t="s">
        <v>35</v>
      </c>
      <c r="M1490" s="7">
        <v>3</v>
      </c>
    </row>
    <row r="1491" spans="2:13" ht="15.6" thickTop="1" thickBot="1" x14ac:dyDescent="0.35">
      <c r="B1491" s="8">
        <v>1489</v>
      </c>
      <c r="C1491" s="9" t="s">
        <v>10</v>
      </c>
      <c r="D1491" s="19">
        <v>45423</v>
      </c>
      <c r="E1491" s="9" t="s">
        <v>20</v>
      </c>
      <c r="F1491" s="9" t="s">
        <v>20</v>
      </c>
      <c r="G1491" s="9" t="s">
        <v>30</v>
      </c>
      <c r="H1491" s="9">
        <v>228</v>
      </c>
      <c r="I1491" s="5">
        <v>45</v>
      </c>
      <c r="J1491" s="5">
        <f t="shared" si="23"/>
        <v>10260</v>
      </c>
      <c r="K1491" s="9">
        <v>21</v>
      </c>
      <c r="L1491" s="9" t="s">
        <v>35</v>
      </c>
      <c r="M1491" s="9">
        <v>2</v>
      </c>
    </row>
    <row r="1492" spans="2:13" ht="15.6" thickTop="1" thickBot="1" x14ac:dyDescent="0.35">
      <c r="B1492" s="6">
        <v>1490</v>
      </c>
      <c r="C1492" s="7" t="s">
        <v>11</v>
      </c>
      <c r="D1492" s="18">
        <v>45424</v>
      </c>
      <c r="E1492" s="7" t="s">
        <v>18</v>
      </c>
      <c r="F1492" s="7" t="s">
        <v>27</v>
      </c>
      <c r="G1492" s="7" t="s">
        <v>29</v>
      </c>
      <c r="H1492" s="7">
        <v>100</v>
      </c>
      <c r="I1492" s="5">
        <v>225</v>
      </c>
      <c r="J1492" s="5">
        <f t="shared" si="23"/>
        <v>22500</v>
      </c>
      <c r="K1492" s="7">
        <v>14</v>
      </c>
      <c r="L1492" s="7" t="s">
        <v>35</v>
      </c>
      <c r="M1492" s="7">
        <v>2</v>
      </c>
    </row>
    <row r="1493" spans="2:13" ht="15.6" thickTop="1" thickBot="1" x14ac:dyDescent="0.35">
      <c r="B1493" s="8">
        <v>1491</v>
      </c>
      <c r="C1493" s="9" t="s">
        <v>10</v>
      </c>
      <c r="D1493" s="19">
        <v>45425</v>
      </c>
      <c r="E1493" s="9" t="s">
        <v>12</v>
      </c>
      <c r="F1493" s="9" t="s">
        <v>23</v>
      </c>
      <c r="G1493" s="9" t="s">
        <v>31</v>
      </c>
      <c r="H1493" s="9">
        <v>47</v>
      </c>
      <c r="I1493" s="5">
        <v>135</v>
      </c>
      <c r="J1493" s="5">
        <f t="shared" si="23"/>
        <v>6345</v>
      </c>
      <c r="K1493" s="9">
        <v>21</v>
      </c>
      <c r="L1493" s="9" t="s">
        <v>35</v>
      </c>
      <c r="M1493" s="9">
        <v>3</v>
      </c>
    </row>
    <row r="1494" spans="2:13" ht="15.6" thickTop="1" thickBot="1" x14ac:dyDescent="0.35">
      <c r="B1494" s="6">
        <v>1492</v>
      </c>
      <c r="C1494" s="7" t="s">
        <v>10</v>
      </c>
      <c r="D1494" s="18">
        <v>45426</v>
      </c>
      <c r="E1494" s="7" t="s">
        <v>12</v>
      </c>
      <c r="F1494" s="7" t="s">
        <v>23</v>
      </c>
      <c r="G1494" s="7" t="s">
        <v>29</v>
      </c>
      <c r="H1494" s="7">
        <v>194</v>
      </c>
      <c r="I1494" s="5">
        <v>90</v>
      </c>
      <c r="J1494" s="5">
        <f t="shared" si="23"/>
        <v>17460</v>
      </c>
      <c r="K1494" s="7">
        <v>16</v>
      </c>
      <c r="L1494" s="7" t="s">
        <v>33</v>
      </c>
      <c r="M1494" s="7"/>
    </row>
    <row r="1495" spans="2:13" ht="15.6" thickTop="1" thickBot="1" x14ac:dyDescent="0.35">
      <c r="B1495" s="8">
        <v>1493</v>
      </c>
      <c r="C1495" s="9" t="s">
        <v>11</v>
      </c>
      <c r="D1495" s="19">
        <v>45427</v>
      </c>
      <c r="E1495" s="9" t="s">
        <v>13</v>
      </c>
      <c r="F1495" s="9" t="s">
        <v>24</v>
      </c>
      <c r="G1495" s="9" t="s">
        <v>31</v>
      </c>
      <c r="H1495" s="9">
        <v>215</v>
      </c>
      <c r="I1495" s="5">
        <v>45</v>
      </c>
      <c r="J1495" s="5">
        <f t="shared" si="23"/>
        <v>9675</v>
      </c>
      <c r="K1495" s="9">
        <v>8</v>
      </c>
      <c r="L1495" s="9" t="s">
        <v>33</v>
      </c>
      <c r="M1495" s="9">
        <v>1</v>
      </c>
    </row>
    <row r="1496" spans="2:13" ht="15.6" thickTop="1" thickBot="1" x14ac:dyDescent="0.35">
      <c r="B1496" s="6">
        <v>1494</v>
      </c>
      <c r="C1496" s="7" t="s">
        <v>11</v>
      </c>
      <c r="D1496" s="18">
        <v>45428</v>
      </c>
      <c r="E1496" s="7" t="s">
        <v>22</v>
      </c>
      <c r="F1496" s="7" t="s">
        <v>25</v>
      </c>
      <c r="G1496" s="7" t="s">
        <v>31</v>
      </c>
      <c r="H1496" s="7">
        <v>156</v>
      </c>
      <c r="I1496" s="5">
        <v>180</v>
      </c>
      <c r="J1496" s="5">
        <f t="shared" si="23"/>
        <v>28080</v>
      </c>
      <c r="K1496" s="7">
        <v>17</v>
      </c>
      <c r="L1496" s="7" t="s">
        <v>35</v>
      </c>
      <c r="M1496" s="7">
        <v>3</v>
      </c>
    </row>
    <row r="1497" spans="2:13" ht="15.6" thickTop="1" thickBot="1" x14ac:dyDescent="0.35">
      <c r="B1497" s="8">
        <v>1495</v>
      </c>
      <c r="C1497" s="9" t="s">
        <v>11</v>
      </c>
      <c r="D1497" s="19">
        <v>45429</v>
      </c>
      <c r="E1497" s="9" t="s">
        <v>18</v>
      </c>
      <c r="F1497" s="9" t="s">
        <v>27</v>
      </c>
      <c r="G1497" s="9" t="s">
        <v>32</v>
      </c>
      <c r="H1497" s="9">
        <v>42</v>
      </c>
      <c r="I1497" s="5">
        <v>225</v>
      </c>
      <c r="J1497" s="5">
        <f t="shared" si="23"/>
        <v>9450</v>
      </c>
      <c r="K1497" s="9">
        <v>14</v>
      </c>
      <c r="L1497" s="9" t="s">
        <v>35</v>
      </c>
      <c r="M1497" s="9">
        <v>5</v>
      </c>
    </row>
    <row r="1498" spans="2:13" ht="15.6" thickTop="1" thickBot="1" x14ac:dyDescent="0.35">
      <c r="B1498" s="6">
        <v>1496</v>
      </c>
      <c r="C1498" s="7" t="s">
        <v>11</v>
      </c>
      <c r="D1498" s="18">
        <v>45430</v>
      </c>
      <c r="E1498" s="7" t="s">
        <v>15</v>
      </c>
      <c r="F1498" s="7" t="s">
        <v>25</v>
      </c>
      <c r="G1498" s="7" t="s">
        <v>32</v>
      </c>
      <c r="H1498" s="7">
        <v>132</v>
      </c>
      <c r="I1498" s="5">
        <v>225</v>
      </c>
      <c r="J1498" s="5">
        <f t="shared" si="23"/>
        <v>29700</v>
      </c>
      <c r="K1498" s="7">
        <v>16</v>
      </c>
      <c r="L1498" s="7" t="s">
        <v>35</v>
      </c>
      <c r="M1498" s="7">
        <v>3</v>
      </c>
    </row>
    <row r="1499" spans="2:13" ht="15.6" thickTop="1" thickBot="1" x14ac:dyDescent="0.35">
      <c r="B1499" s="8">
        <v>1497</v>
      </c>
      <c r="C1499" s="9" t="s">
        <v>10</v>
      </c>
      <c r="D1499" s="19">
        <v>45431</v>
      </c>
      <c r="E1499" s="9" t="s">
        <v>21</v>
      </c>
      <c r="F1499" s="9" t="s">
        <v>26</v>
      </c>
      <c r="G1499" s="9" t="s">
        <v>31</v>
      </c>
      <c r="H1499" s="9">
        <v>102</v>
      </c>
      <c r="I1499" s="5">
        <v>180</v>
      </c>
      <c r="J1499" s="5">
        <f t="shared" si="23"/>
        <v>18360</v>
      </c>
      <c r="K1499" s="9">
        <v>16</v>
      </c>
      <c r="L1499" s="9" t="s">
        <v>34</v>
      </c>
      <c r="M1499" s="9">
        <v>4</v>
      </c>
    </row>
    <row r="1500" spans="2:13" ht="15.6" thickTop="1" thickBot="1" x14ac:dyDescent="0.35">
      <c r="B1500" s="6">
        <v>1498</v>
      </c>
      <c r="C1500" s="7" t="s">
        <v>11</v>
      </c>
      <c r="D1500" s="18">
        <v>45432</v>
      </c>
      <c r="E1500" s="7" t="s">
        <v>14</v>
      </c>
      <c r="F1500" s="7" t="s">
        <v>25</v>
      </c>
      <c r="G1500" s="7" t="s">
        <v>31</v>
      </c>
      <c r="H1500" s="7">
        <v>48</v>
      </c>
      <c r="I1500" s="5">
        <v>135</v>
      </c>
      <c r="J1500" s="5">
        <f t="shared" si="23"/>
        <v>6480</v>
      </c>
      <c r="K1500" s="7">
        <v>14</v>
      </c>
      <c r="L1500" s="7" t="s">
        <v>34</v>
      </c>
      <c r="M1500" s="7">
        <v>2</v>
      </c>
    </row>
    <row r="1501" spans="2:13" ht="15.6" thickTop="1" thickBot="1" x14ac:dyDescent="0.35">
      <c r="B1501" s="8">
        <v>1499</v>
      </c>
      <c r="C1501" s="9" t="s">
        <v>10</v>
      </c>
      <c r="D1501" s="19">
        <v>45433</v>
      </c>
      <c r="E1501" s="9" t="s">
        <v>19</v>
      </c>
      <c r="F1501" s="9" t="s">
        <v>23</v>
      </c>
      <c r="G1501" s="9" t="s">
        <v>30</v>
      </c>
      <c r="H1501" s="9">
        <v>229</v>
      </c>
      <c r="I1501" s="5">
        <v>135</v>
      </c>
      <c r="J1501" s="5">
        <f t="shared" si="23"/>
        <v>30915</v>
      </c>
      <c r="K1501" s="9">
        <v>12</v>
      </c>
      <c r="L1501" s="9" t="s">
        <v>34</v>
      </c>
      <c r="M1501" s="9">
        <v>5</v>
      </c>
    </row>
    <row r="1502" spans="2:13" ht="15.6" thickTop="1" thickBot="1" x14ac:dyDescent="0.35">
      <c r="B1502" s="6">
        <v>1500</v>
      </c>
      <c r="C1502" s="7" t="s">
        <v>10</v>
      </c>
      <c r="D1502" s="18">
        <v>45434</v>
      </c>
      <c r="E1502" s="7" t="s">
        <v>12</v>
      </c>
      <c r="F1502" s="7" t="s">
        <v>23</v>
      </c>
      <c r="G1502" s="7" t="s">
        <v>32</v>
      </c>
      <c r="H1502" s="7">
        <v>52</v>
      </c>
      <c r="I1502" s="5">
        <v>90</v>
      </c>
      <c r="J1502" s="5">
        <f t="shared" si="23"/>
        <v>4680</v>
      </c>
      <c r="K1502" s="7">
        <v>25</v>
      </c>
      <c r="L1502" s="7" t="s">
        <v>35</v>
      </c>
      <c r="M1502" s="7">
        <v>5</v>
      </c>
    </row>
    <row r="1503" spans="2:13" ht="15.6" thickTop="1" thickBot="1" x14ac:dyDescent="0.35">
      <c r="B1503" s="8">
        <v>1501</v>
      </c>
      <c r="C1503" s="9" t="s">
        <v>11</v>
      </c>
      <c r="D1503" s="19">
        <v>45435</v>
      </c>
      <c r="E1503" s="9" t="s">
        <v>13</v>
      </c>
      <c r="F1503" s="9" t="s">
        <v>24</v>
      </c>
      <c r="G1503" s="9" t="s">
        <v>31</v>
      </c>
      <c r="H1503" s="9">
        <v>112</v>
      </c>
      <c r="I1503" s="5">
        <v>45</v>
      </c>
      <c r="J1503" s="5">
        <f t="shared" si="23"/>
        <v>5040</v>
      </c>
      <c r="K1503" s="9">
        <v>18</v>
      </c>
      <c r="L1503" s="9" t="s">
        <v>34</v>
      </c>
      <c r="M1503" s="9">
        <v>3</v>
      </c>
    </row>
    <row r="1504" spans="2:13" ht="15.6" thickTop="1" thickBot="1" x14ac:dyDescent="0.35">
      <c r="B1504" s="6">
        <v>1502</v>
      </c>
      <c r="C1504" s="7" t="s">
        <v>10</v>
      </c>
      <c r="D1504" s="18">
        <v>45436</v>
      </c>
      <c r="E1504" s="7" t="s">
        <v>22</v>
      </c>
      <c r="F1504" s="7" t="s">
        <v>25</v>
      </c>
      <c r="G1504" s="7" t="s">
        <v>32</v>
      </c>
      <c r="H1504" s="7">
        <v>59</v>
      </c>
      <c r="I1504" s="5">
        <v>180</v>
      </c>
      <c r="J1504" s="5">
        <f t="shared" si="23"/>
        <v>10620</v>
      </c>
      <c r="K1504" s="7">
        <v>14</v>
      </c>
      <c r="L1504" s="7" t="s">
        <v>35</v>
      </c>
      <c r="M1504" s="7">
        <v>2</v>
      </c>
    </row>
    <row r="1505" spans="2:13" ht="15.6" thickTop="1" thickBot="1" x14ac:dyDescent="0.35">
      <c r="B1505" s="8">
        <v>1503</v>
      </c>
      <c r="C1505" s="9" t="s">
        <v>11</v>
      </c>
      <c r="D1505" s="19">
        <v>45437</v>
      </c>
      <c r="E1505" s="9" t="s">
        <v>13</v>
      </c>
      <c r="F1505" s="9" t="s">
        <v>24</v>
      </c>
      <c r="G1505" s="9" t="s">
        <v>28</v>
      </c>
      <c r="H1505" s="9">
        <v>162</v>
      </c>
      <c r="I1505" s="5">
        <v>90</v>
      </c>
      <c r="J1505" s="5">
        <f t="shared" si="23"/>
        <v>14580</v>
      </c>
      <c r="K1505" s="9">
        <v>10</v>
      </c>
      <c r="L1505" s="9" t="s">
        <v>34</v>
      </c>
      <c r="M1505" s="9"/>
    </row>
    <row r="1506" spans="2:13" ht="15.6" thickTop="1" thickBot="1" x14ac:dyDescent="0.35">
      <c r="B1506" s="6">
        <v>1504</v>
      </c>
      <c r="C1506" s="7" t="s">
        <v>10</v>
      </c>
      <c r="D1506" s="18">
        <v>45438</v>
      </c>
      <c r="E1506" s="7" t="s">
        <v>13</v>
      </c>
      <c r="F1506" s="7" t="s">
        <v>24</v>
      </c>
      <c r="G1506" s="7" t="s">
        <v>30</v>
      </c>
      <c r="H1506" s="7">
        <v>184</v>
      </c>
      <c r="I1506" s="5">
        <v>135</v>
      </c>
      <c r="J1506" s="5">
        <f t="shared" si="23"/>
        <v>24840</v>
      </c>
      <c r="K1506" s="7">
        <v>18</v>
      </c>
      <c r="L1506" s="7" t="s">
        <v>35</v>
      </c>
      <c r="M1506" s="7">
        <v>1</v>
      </c>
    </row>
    <row r="1507" spans="2:13" ht="15.6" thickTop="1" thickBot="1" x14ac:dyDescent="0.35">
      <c r="B1507" s="8">
        <v>1505</v>
      </c>
      <c r="C1507" s="9" t="s">
        <v>11</v>
      </c>
      <c r="D1507" s="19">
        <v>45439</v>
      </c>
      <c r="E1507" s="9" t="s">
        <v>19</v>
      </c>
      <c r="F1507" s="9" t="s">
        <v>23</v>
      </c>
      <c r="G1507" s="9" t="s">
        <v>31</v>
      </c>
      <c r="H1507" s="9">
        <v>113</v>
      </c>
      <c r="I1507" s="5">
        <v>180</v>
      </c>
      <c r="J1507" s="5">
        <f t="shared" si="23"/>
        <v>20340</v>
      </c>
      <c r="K1507" s="9">
        <v>11</v>
      </c>
      <c r="L1507" s="9" t="s">
        <v>35</v>
      </c>
      <c r="M1507" s="9"/>
    </row>
    <row r="1508" spans="2:13" ht="15.6" thickTop="1" thickBot="1" x14ac:dyDescent="0.35">
      <c r="B1508" s="6">
        <v>1506</v>
      </c>
      <c r="C1508" s="7" t="s">
        <v>10</v>
      </c>
      <c r="D1508" s="18">
        <v>45440</v>
      </c>
      <c r="E1508" s="7" t="s">
        <v>14</v>
      </c>
      <c r="F1508" s="7" t="s">
        <v>25</v>
      </c>
      <c r="G1508" s="7" t="s">
        <v>30</v>
      </c>
      <c r="H1508" s="7">
        <v>158</v>
      </c>
      <c r="I1508" s="5">
        <v>180</v>
      </c>
      <c r="J1508" s="5">
        <f t="shared" si="23"/>
        <v>28440</v>
      </c>
      <c r="K1508" s="7">
        <v>12</v>
      </c>
      <c r="L1508" s="7" t="s">
        <v>34</v>
      </c>
      <c r="M1508" s="7">
        <v>3</v>
      </c>
    </row>
    <row r="1509" spans="2:13" ht="15.6" thickTop="1" thickBot="1" x14ac:dyDescent="0.35">
      <c r="B1509" s="8">
        <v>1507</v>
      </c>
      <c r="C1509" s="9" t="s">
        <v>10</v>
      </c>
      <c r="D1509" s="19">
        <v>45441</v>
      </c>
      <c r="E1509" s="9" t="s">
        <v>18</v>
      </c>
      <c r="F1509" s="9" t="s">
        <v>27</v>
      </c>
      <c r="G1509" s="9" t="s">
        <v>29</v>
      </c>
      <c r="H1509" s="9">
        <v>189</v>
      </c>
      <c r="I1509" s="5">
        <v>225</v>
      </c>
      <c r="J1509" s="5">
        <f t="shared" si="23"/>
        <v>42525</v>
      </c>
      <c r="K1509" s="9">
        <v>22</v>
      </c>
      <c r="L1509" s="9" t="s">
        <v>34</v>
      </c>
      <c r="M1509" s="9">
        <v>4</v>
      </c>
    </row>
    <row r="1510" spans="2:13" ht="15.6" thickTop="1" thickBot="1" x14ac:dyDescent="0.35">
      <c r="B1510" s="6">
        <v>1508</v>
      </c>
      <c r="C1510" s="7" t="s">
        <v>11</v>
      </c>
      <c r="D1510" s="18">
        <v>45442</v>
      </c>
      <c r="E1510" s="7" t="s">
        <v>16</v>
      </c>
      <c r="F1510" s="7" t="s">
        <v>26</v>
      </c>
      <c r="G1510" s="7" t="s">
        <v>30</v>
      </c>
      <c r="H1510" s="7">
        <v>98</v>
      </c>
      <c r="I1510" s="5">
        <v>225</v>
      </c>
      <c r="J1510" s="5">
        <f t="shared" si="23"/>
        <v>22050</v>
      </c>
      <c r="K1510" s="7">
        <v>19</v>
      </c>
      <c r="L1510" s="7" t="s">
        <v>35</v>
      </c>
      <c r="M1510" s="7"/>
    </row>
    <row r="1511" spans="2:13" ht="15.6" thickTop="1" thickBot="1" x14ac:dyDescent="0.35">
      <c r="B1511" s="8">
        <v>1509</v>
      </c>
      <c r="C1511" s="9" t="s">
        <v>10</v>
      </c>
      <c r="D1511" s="19">
        <v>45443</v>
      </c>
      <c r="E1511" s="9" t="s">
        <v>14</v>
      </c>
      <c r="F1511" s="9" t="s">
        <v>25</v>
      </c>
      <c r="G1511" s="9" t="s">
        <v>32</v>
      </c>
      <c r="H1511" s="9">
        <v>162</v>
      </c>
      <c r="I1511" s="5">
        <v>90</v>
      </c>
      <c r="J1511" s="5">
        <f t="shared" si="23"/>
        <v>14580</v>
      </c>
      <c r="K1511" s="9">
        <v>13</v>
      </c>
      <c r="L1511" s="9" t="s">
        <v>33</v>
      </c>
      <c r="M1511" s="9">
        <v>4</v>
      </c>
    </row>
    <row r="1512" spans="2:13" ht="15.6" thickTop="1" thickBot="1" x14ac:dyDescent="0.35">
      <c r="B1512" s="6">
        <v>1510</v>
      </c>
      <c r="C1512" s="7" t="s">
        <v>11</v>
      </c>
      <c r="D1512" s="18">
        <v>45444</v>
      </c>
      <c r="E1512" s="7" t="s">
        <v>14</v>
      </c>
      <c r="F1512" s="7" t="s">
        <v>25</v>
      </c>
      <c r="G1512" s="7" t="s">
        <v>30</v>
      </c>
      <c r="H1512" s="7">
        <v>56</v>
      </c>
      <c r="I1512" s="5">
        <v>45</v>
      </c>
      <c r="J1512" s="5">
        <f t="shared" si="23"/>
        <v>2520</v>
      </c>
      <c r="K1512" s="7">
        <v>20</v>
      </c>
      <c r="L1512" s="7" t="s">
        <v>35</v>
      </c>
      <c r="M1512" s="7">
        <v>4</v>
      </c>
    </row>
    <row r="1513" spans="2:13" ht="15.6" thickTop="1" thickBot="1" x14ac:dyDescent="0.35">
      <c r="B1513" s="8">
        <v>1511</v>
      </c>
      <c r="C1513" s="9" t="s">
        <v>10</v>
      </c>
      <c r="D1513" s="19">
        <v>45445</v>
      </c>
      <c r="E1513" s="9" t="s">
        <v>14</v>
      </c>
      <c r="F1513" s="9" t="s">
        <v>25</v>
      </c>
      <c r="G1513" s="9" t="s">
        <v>31</v>
      </c>
      <c r="H1513" s="9">
        <v>197</v>
      </c>
      <c r="I1513" s="5">
        <v>135</v>
      </c>
      <c r="J1513" s="5">
        <f t="shared" si="23"/>
        <v>26595</v>
      </c>
      <c r="K1513" s="9">
        <v>22</v>
      </c>
      <c r="L1513" s="9" t="s">
        <v>35</v>
      </c>
      <c r="M1513" s="9">
        <v>2</v>
      </c>
    </row>
    <row r="1514" spans="2:13" ht="15.6" thickTop="1" thickBot="1" x14ac:dyDescent="0.35">
      <c r="B1514" s="6">
        <v>1512</v>
      </c>
      <c r="C1514" s="7" t="s">
        <v>10</v>
      </c>
      <c r="D1514" s="18">
        <v>45446</v>
      </c>
      <c r="E1514" s="7" t="s">
        <v>20</v>
      </c>
      <c r="F1514" s="7" t="s">
        <v>20</v>
      </c>
      <c r="G1514" s="7" t="s">
        <v>28</v>
      </c>
      <c r="H1514" s="7">
        <v>38</v>
      </c>
      <c r="I1514" s="5">
        <v>180</v>
      </c>
      <c r="J1514" s="5">
        <f t="shared" si="23"/>
        <v>6840</v>
      </c>
      <c r="K1514" s="7">
        <v>12</v>
      </c>
      <c r="L1514" s="7" t="s">
        <v>34</v>
      </c>
      <c r="M1514" s="7"/>
    </row>
    <row r="1515" spans="2:13" ht="15.6" thickTop="1" thickBot="1" x14ac:dyDescent="0.35">
      <c r="B1515" s="8">
        <v>1513</v>
      </c>
      <c r="C1515" s="9" t="s">
        <v>11</v>
      </c>
      <c r="D1515" s="19">
        <v>45447</v>
      </c>
      <c r="E1515" s="9" t="s">
        <v>19</v>
      </c>
      <c r="F1515" s="9" t="s">
        <v>23</v>
      </c>
      <c r="G1515" s="9" t="s">
        <v>29</v>
      </c>
      <c r="H1515" s="9">
        <v>91</v>
      </c>
      <c r="I1515" s="5">
        <v>90</v>
      </c>
      <c r="J1515" s="5">
        <f t="shared" si="23"/>
        <v>8190</v>
      </c>
      <c r="K1515" s="9">
        <v>10</v>
      </c>
      <c r="L1515" s="9" t="s">
        <v>35</v>
      </c>
      <c r="M1515" s="9">
        <v>2</v>
      </c>
    </row>
    <row r="1516" spans="2:13" ht="15.6" thickTop="1" thickBot="1" x14ac:dyDescent="0.35">
      <c r="B1516" s="6">
        <v>1514</v>
      </c>
      <c r="C1516" s="7" t="s">
        <v>10</v>
      </c>
      <c r="D1516" s="18">
        <v>45448</v>
      </c>
      <c r="E1516" s="7" t="s">
        <v>14</v>
      </c>
      <c r="F1516" s="7" t="s">
        <v>25</v>
      </c>
      <c r="G1516" s="7" t="s">
        <v>30</v>
      </c>
      <c r="H1516" s="7">
        <v>245</v>
      </c>
      <c r="I1516" s="5">
        <v>180</v>
      </c>
      <c r="J1516" s="5">
        <f t="shared" si="23"/>
        <v>44100</v>
      </c>
      <c r="K1516" s="7">
        <v>19</v>
      </c>
      <c r="L1516" s="7" t="s">
        <v>35</v>
      </c>
      <c r="M1516" s="7"/>
    </row>
    <row r="1517" spans="2:13" ht="15.6" thickTop="1" thickBot="1" x14ac:dyDescent="0.35">
      <c r="B1517" s="8">
        <v>1515</v>
      </c>
      <c r="C1517" s="9" t="s">
        <v>10</v>
      </c>
      <c r="D1517" s="19">
        <v>45449</v>
      </c>
      <c r="E1517" s="9" t="s">
        <v>12</v>
      </c>
      <c r="F1517" s="9" t="s">
        <v>23</v>
      </c>
      <c r="G1517" s="9" t="s">
        <v>32</v>
      </c>
      <c r="H1517" s="9">
        <v>68</v>
      </c>
      <c r="I1517" s="5">
        <v>90</v>
      </c>
      <c r="J1517" s="5">
        <f t="shared" si="23"/>
        <v>6120</v>
      </c>
      <c r="K1517" s="9">
        <v>21</v>
      </c>
      <c r="L1517" s="9" t="s">
        <v>35</v>
      </c>
      <c r="M1517" s="9"/>
    </row>
    <row r="1518" spans="2:13" ht="15.6" thickTop="1" thickBot="1" x14ac:dyDescent="0.35">
      <c r="B1518" s="6">
        <v>1516</v>
      </c>
      <c r="C1518" s="7" t="s">
        <v>10</v>
      </c>
      <c r="D1518" s="18">
        <v>45450</v>
      </c>
      <c r="E1518" s="7" t="s">
        <v>19</v>
      </c>
      <c r="F1518" s="7" t="s">
        <v>23</v>
      </c>
      <c r="G1518" s="7" t="s">
        <v>31</v>
      </c>
      <c r="H1518" s="7">
        <v>194</v>
      </c>
      <c r="I1518" s="5">
        <v>45</v>
      </c>
      <c r="J1518" s="5">
        <f t="shared" si="23"/>
        <v>8730</v>
      </c>
      <c r="K1518" s="7">
        <v>16</v>
      </c>
      <c r="L1518" s="7" t="s">
        <v>35</v>
      </c>
      <c r="M1518" s="7">
        <v>3</v>
      </c>
    </row>
    <row r="1519" spans="2:13" ht="15.6" thickTop="1" thickBot="1" x14ac:dyDescent="0.35">
      <c r="B1519" s="8">
        <v>1517</v>
      </c>
      <c r="C1519" s="9" t="s">
        <v>11</v>
      </c>
      <c r="D1519" s="19">
        <v>45451</v>
      </c>
      <c r="E1519" s="9" t="s">
        <v>18</v>
      </c>
      <c r="F1519" s="9" t="s">
        <v>27</v>
      </c>
      <c r="G1519" s="9" t="s">
        <v>32</v>
      </c>
      <c r="H1519" s="9">
        <v>216</v>
      </c>
      <c r="I1519" s="5">
        <v>45</v>
      </c>
      <c r="J1519" s="5">
        <f t="shared" si="23"/>
        <v>9720</v>
      </c>
      <c r="K1519" s="9">
        <v>9</v>
      </c>
      <c r="L1519" s="9" t="s">
        <v>35</v>
      </c>
      <c r="M1519" s="9"/>
    </row>
    <row r="1520" spans="2:13" ht="15.6" thickTop="1" thickBot="1" x14ac:dyDescent="0.35">
      <c r="B1520" s="6">
        <v>1518</v>
      </c>
      <c r="C1520" s="7" t="s">
        <v>11</v>
      </c>
      <c r="D1520" s="18">
        <v>45452</v>
      </c>
      <c r="E1520" s="7" t="s">
        <v>13</v>
      </c>
      <c r="F1520" s="7" t="s">
        <v>24</v>
      </c>
      <c r="G1520" s="7" t="s">
        <v>29</v>
      </c>
      <c r="H1520" s="7">
        <v>42</v>
      </c>
      <c r="I1520" s="5">
        <v>45</v>
      </c>
      <c r="J1520" s="5">
        <f t="shared" si="23"/>
        <v>1890</v>
      </c>
      <c r="K1520" s="7">
        <v>17</v>
      </c>
      <c r="L1520" s="7" t="s">
        <v>34</v>
      </c>
      <c r="M1520" s="7">
        <v>4</v>
      </c>
    </row>
    <row r="1521" spans="2:13" ht="15.6" thickTop="1" thickBot="1" x14ac:dyDescent="0.35">
      <c r="B1521" s="8">
        <v>1519</v>
      </c>
      <c r="C1521" s="9" t="s">
        <v>10</v>
      </c>
      <c r="D1521" s="19">
        <v>45453</v>
      </c>
      <c r="E1521" s="9" t="s">
        <v>17</v>
      </c>
      <c r="F1521" s="9" t="s">
        <v>24</v>
      </c>
      <c r="G1521" s="9" t="s">
        <v>32</v>
      </c>
      <c r="H1521" s="9">
        <v>215</v>
      </c>
      <c r="I1521" s="5">
        <v>135</v>
      </c>
      <c r="J1521" s="5">
        <f t="shared" si="23"/>
        <v>29025</v>
      </c>
      <c r="K1521" s="9">
        <v>21</v>
      </c>
      <c r="L1521" s="9" t="s">
        <v>34</v>
      </c>
      <c r="M1521" s="9">
        <v>5</v>
      </c>
    </row>
    <row r="1522" spans="2:13" ht="15.6" thickTop="1" thickBot="1" x14ac:dyDescent="0.35">
      <c r="B1522" s="6">
        <v>1520</v>
      </c>
      <c r="C1522" s="7" t="s">
        <v>10</v>
      </c>
      <c r="D1522" s="18">
        <v>45454</v>
      </c>
      <c r="E1522" s="7" t="s">
        <v>22</v>
      </c>
      <c r="F1522" s="7" t="s">
        <v>25</v>
      </c>
      <c r="G1522" s="7" t="s">
        <v>29</v>
      </c>
      <c r="H1522" s="7">
        <v>64</v>
      </c>
      <c r="I1522" s="5">
        <v>135</v>
      </c>
      <c r="J1522" s="5">
        <f t="shared" si="23"/>
        <v>8640</v>
      </c>
      <c r="K1522" s="7">
        <v>12</v>
      </c>
      <c r="L1522" s="7" t="s">
        <v>34</v>
      </c>
      <c r="M1522" s="7">
        <v>3</v>
      </c>
    </row>
    <row r="1523" spans="2:13" ht="15.6" thickTop="1" thickBot="1" x14ac:dyDescent="0.35">
      <c r="B1523" s="8">
        <v>1521</v>
      </c>
      <c r="C1523" s="9" t="s">
        <v>11</v>
      </c>
      <c r="D1523" s="19">
        <v>45455</v>
      </c>
      <c r="E1523" s="9" t="s">
        <v>16</v>
      </c>
      <c r="F1523" s="9" t="s">
        <v>26</v>
      </c>
      <c r="G1523" s="9" t="s">
        <v>29</v>
      </c>
      <c r="H1523" s="9">
        <v>42</v>
      </c>
      <c r="I1523" s="5">
        <v>225</v>
      </c>
      <c r="J1523" s="5">
        <f t="shared" si="23"/>
        <v>9450</v>
      </c>
      <c r="K1523" s="9">
        <v>15</v>
      </c>
      <c r="L1523" s="9" t="s">
        <v>35</v>
      </c>
      <c r="M1523" s="9">
        <v>5</v>
      </c>
    </row>
    <row r="1524" spans="2:13" ht="15.6" thickTop="1" thickBot="1" x14ac:dyDescent="0.35">
      <c r="B1524" s="6">
        <v>1522</v>
      </c>
      <c r="C1524" s="7" t="s">
        <v>11</v>
      </c>
      <c r="D1524" s="18">
        <v>45456</v>
      </c>
      <c r="E1524" s="7" t="s">
        <v>17</v>
      </c>
      <c r="F1524" s="7" t="s">
        <v>24</v>
      </c>
      <c r="G1524" s="7" t="s">
        <v>29</v>
      </c>
      <c r="H1524" s="7">
        <v>198</v>
      </c>
      <c r="I1524" s="5">
        <v>135</v>
      </c>
      <c r="J1524" s="5">
        <f t="shared" si="23"/>
        <v>26730</v>
      </c>
      <c r="K1524" s="7">
        <v>9</v>
      </c>
      <c r="L1524" s="7" t="s">
        <v>35</v>
      </c>
      <c r="M1524" s="7">
        <v>4</v>
      </c>
    </row>
    <row r="1525" spans="2:13" ht="15.6" thickTop="1" thickBot="1" x14ac:dyDescent="0.35">
      <c r="B1525" s="8">
        <v>1523</v>
      </c>
      <c r="C1525" s="9" t="s">
        <v>11</v>
      </c>
      <c r="D1525" s="19">
        <v>45457</v>
      </c>
      <c r="E1525" s="9" t="s">
        <v>16</v>
      </c>
      <c r="F1525" s="9" t="s">
        <v>26</v>
      </c>
      <c r="G1525" s="9" t="s">
        <v>28</v>
      </c>
      <c r="H1525" s="9">
        <v>129</v>
      </c>
      <c r="I1525" s="5">
        <v>225</v>
      </c>
      <c r="J1525" s="5">
        <f t="shared" si="23"/>
        <v>29025</v>
      </c>
      <c r="K1525" s="9">
        <v>12</v>
      </c>
      <c r="L1525" s="9" t="s">
        <v>33</v>
      </c>
      <c r="M1525" s="9">
        <v>4</v>
      </c>
    </row>
    <row r="1526" spans="2:13" ht="15.6" thickTop="1" thickBot="1" x14ac:dyDescent="0.35">
      <c r="B1526" s="6">
        <v>1524</v>
      </c>
      <c r="C1526" s="7" t="s">
        <v>10</v>
      </c>
      <c r="D1526" s="18">
        <v>45458</v>
      </c>
      <c r="E1526" s="7" t="s">
        <v>12</v>
      </c>
      <c r="F1526" s="7" t="s">
        <v>23</v>
      </c>
      <c r="G1526" s="7" t="s">
        <v>31</v>
      </c>
      <c r="H1526" s="7">
        <v>216</v>
      </c>
      <c r="I1526" s="5">
        <v>180</v>
      </c>
      <c r="J1526" s="5">
        <f t="shared" si="23"/>
        <v>38880</v>
      </c>
      <c r="K1526" s="7">
        <v>12</v>
      </c>
      <c r="L1526" s="7" t="s">
        <v>34</v>
      </c>
      <c r="M1526" s="7"/>
    </row>
    <row r="1527" spans="2:13" ht="15.6" thickTop="1" thickBot="1" x14ac:dyDescent="0.35">
      <c r="B1527" s="8">
        <v>1525</v>
      </c>
      <c r="C1527" s="9" t="s">
        <v>10</v>
      </c>
      <c r="D1527" s="19">
        <v>45459</v>
      </c>
      <c r="E1527" s="9" t="s">
        <v>19</v>
      </c>
      <c r="F1527" s="9" t="s">
        <v>23</v>
      </c>
      <c r="G1527" s="9" t="s">
        <v>30</v>
      </c>
      <c r="H1527" s="9">
        <v>146</v>
      </c>
      <c r="I1527" s="5">
        <v>135</v>
      </c>
      <c r="J1527" s="5">
        <f t="shared" si="23"/>
        <v>19710</v>
      </c>
      <c r="K1527" s="9">
        <v>18</v>
      </c>
      <c r="L1527" s="9" t="s">
        <v>34</v>
      </c>
      <c r="M1527" s="9">
        <v>1</v>
      </c>
    </row>
    <row r="1528" spans="2:13" ht="15.6" thickTop="1" thickBot="1" x14ac:dyDescent="0.35">
      <c r="B1528" s="6">
        <v>1526</v>
      </c>
      <c r="C1528" s="7" t="s">
        <v>11</v>
      </c>
      <c r="D1528" s="18">
        <v>45460</v>
      </c>
      <c r="E1528" s="7" t="s">
        <v>21</v>
      </c>
      <c r="F1528" s="7" t="s">
        <v>26</v>
      </c>
      <c r="G1528" s="7" t="s">
        <v>28</v>
      </c>
      <c r="H1528" s="7">
        <v>90</v>
      </c>
      <c r="I1528" s="5">
        <v>45</v>
      </c>
      <c r="J1528" s="5">
        <f t="shared" si="23"/>
        <v>4050</v>
      </c>
      <c r="K1528" s="7">
        <v>19</v>
      </c>
      <c r="L1528" s="7" t="s">
        <v>34</v>
      </c>
      <c r="M1528" s="7">
        <v>3</v>
      </c>
    </row>
    <row r="1529" spans="2:13" ht="15.6" thickTop="1" thickBot="1" x14ac:dyDescent="0.35">
      <c r="B1529" s="8">
        <v>1527</v>
      </c>
      <c r="C1529" s="9" t="s">
        <v>10</v>
      </c>
      <c r="D1529" s="19">
        <v>45461</v>
      </c>
      <c r="E1529" s="9" t="s">
        <v>15</v>
      </c>
      <c r="F1529" s="9" t="s">
        <v>25</v>
      </c>
      <c r="G1529" s="9" t="s">
        <v>30</v>
      </c>
      <c r="H1529" s="9">
        <v>42</v>
      </c>
      <c r="I1529" s="5">
        <v>135</v>
      </c>
      <c r="J1529" s="5">
        <f t="shared" si="23"/>
        <v>5670</v>
      </c>
      <c r="K1529" s="9">
        <v>20</v>
      </c>
      <c r="L1529" s="9" t="s">
        <v>35</v>
      </c>
      <c r="M1529" s="9">
        <v>4</v>
      </c>
    </row>
    <row r="1530" spans="2:13" ht="15.6" thickTop="1" thickBot="1" x14ac:dyDescent="0.35">
      <c r="B1530" s="6">
        <v>1528</v>
      </c>
      <c r="C1530" s="7" t="s">
        <v>11</v>
      </c>
      <c r="D1530" s="18">
        <v>45462</v>
      </c>
      <c r="E1530" s="7" t="s">
        <v>13</v>
      </c>
      <c r="F1530" s="7" t="s">
        <v>24</v>
      </c>
      <c r="G1530" s="7" t="s">
        <v>28</v>
      </c>
      <c r="H1530" s="7">
        <v>58</v>
      </c>
      <c r="I1530" s="5">
        <v>225</v>
      </c>
      <c r="J1530" s="5">
        <f t="shared" si="23"/>
        <v>13050</v>
      </c>
      <c r="K1530" s="7">
        <v>16</v>
      </c>
      <c r="L1530" s="7" t="s">
        <v>34</v>
      </c>
      <c r="M1530" s="7"/>
    </row>
    <row r="1531" spans="2:13" ht="15.6" thickTop="1" thickBot="1" x14ac:dyDescent="0.35">
      <c r="B1531" s="8">
        <v>1529</v>
      </c>
      <c r="C1531" s="9" t="s">
        <v>11</v>
      </c>
      <c r="D1531" s="19">
        <v>45463</v>
      </c>
      <c r="E1531" s="9" t="s">
        <v>16</v>
      </c>
      <c r="F1531" s="9" t="s">
        <v>26</v>
      </c>
      <c r="G1531" s="9" t="s">
        <v>31</v>
      </c>
      <c r="H1531" s="9">
        <v>139</v>
      </c>
      <c r="I1531" s="5">
        <v>90</v>
      </c>
      <c r="J1531" s="5">
        <f t="shared" si="23"/>
        <v>12510</v>
      </c>
      <c r="K1531" s="9">
        <v>12</v>
      </c>
      <c r="L1531" s="9" t="s">
        <v>33</v>
      </c>
      <c r="M1531" s="9">
        <v>4</v>
      </c>
    </row>
    <row r="1532" spans="2:13" ht="15.6" thickTop="1" thickBot="1" x14ac:dyDescent="0.35">
      <c r="B1532" s="6">
        <v>1530</v>
      </c>
      <c r="C1532" s="7" t="s">
        <v>10</v>
      </c>
      <c r="D1532" s="18">
        <v>45464</v>
      </c>
      <c r="E1532" s="7" t="s">
        <v>21</v>
      </c>
      <c r="F1532" s="7" t="s">
        <v>26</v>
      </c>
      <c r="G1532" s="7" t="s">
        <v>32</v>
      </c>
      <c r="H1532" s="7">
        <v>250</v>
      </c>
      <c r="I1532" s="5">
        <v>45</v>
      </c>
      <c r="J1532" s="5">
        <f t="shared" si="23"/>
        <v>11250</v>
      </c>
      <c r="K1532" s="7">
        <v>12</v>
      </c>
      <c r="L1532" s="7" t="s">
        <v>33</v>
      </c>
      <c r="M1532" s="7"/>
    </row>
    <row r="1533" spans="2:13" ht="15.6" thickTop="1" thickBot="1" x14ac:dyDescent="0.35">
      <c r="B1533" s="8">
        <v>1531</v>
      </c>
      <c r="C1533" s="9" t="s">
        <v>10</v>
      </c>
      <c r="D1533" s="19">
        <v>45465</v>
      </c>
      <c r="E1533" s="9" t="s">
        <v>20</v>
      </c>
      <c r="F1533" s="9" t="s">
        <v>20</v>
      </c>
      <c r="G1533" s="9" t="s">
        <v>32</v>
      </c>
      <c r="H1533" s="9">
        <v>137</v>
      </c>
      <c r="I1533" s="5">
        <v>180</v>
      </c>
      <c r="J1533" s="5">
        <f t="shared" si="23"/>
        <v>24660</v>
      </c>
      <c r="K1533" s="9">
        <v>18</v>
      </c>
      <c r="L1533" s="9" t="s">
        <v>34</v>
      </c>
      <c r="M1533" s="9">
        <v>1</v>
      </c>
    </row>
    <row r="1534" spans="2:13" ht="15.6" thickTop="1" thickBot="1" x14ac:dyDescent="0.35">
      <c r="B1534" s="6">
        <v>1532</v>
      </c>
      <c r="C1534" s="7" t="s">
        <v>11</v>
      </c>
      <c r="D1534" s="18">
        <v>45466</v>
      </c>
      <c r="E1534" s="7" t="s">
        <v>15</v>
      </c>
      <c r="F1534" s="7" t="s">
        <v>25</v>
      </c>
      <c r="G1534" s="7" t="s">
        <v>29</v>
      </c>
      <c r="H1534" s="7">
        <v>83</v>
      </c>
      <c r="I1534" s="5">
        <v>90</v>
      </c>
      <c r="J1534" s="5">
        <f t="shared" si="23"/>
        <v>7470</v>
      </c>
      <c r="K1534" s="7">
        <v>11</v>
      </c>
      <c r="L1534" s="7" t="s">
        <v>35</v>
      </c>
      <c r="M1534" s="7">
        <v>3</v>
      </c>
    </row>
    <row r="1535" spans="2:13" ht="15.6" thickTop="1" thickBot="1" x14ac:dyDescent="0.35">
      <c r="B1535" s="8">
        <v>1533</v>
      </c>
      <c r="C1535" s="9" t="s">
        <v>11</v>
      </c>
      <c r="D1535" s="19">
        <v>45467</v>
      </c>
      <c r="E1535" s="9" t="s">
        <v>18</v>
      </c>
      <c r="F1535" s="9" t="s">
        <v>27</v>
      </c>
      <c r="G1535" s="9" t="s">
        <v>30</v>
      </c>
      <c r="H1535" s="9">
        <v>138</v>
      </c>
      <c r="I1535" s="5">
        <v>45</v>
      </c>
      <c r="J1535" s="5">
        <f t="shared" si="23"/>
        <v>6210</v>
      </c>
      <c r="K1535" s="9">
        <v>13</v>
      </c>
      <c r="L1535" s="9" t="s">
        <v>34</v>
      </c>
      <c r="M1535" s="9">
        <v>4</v>
      </c>
    </row>
    <row r="1536" spans="2:13" ht="15.6" thickTop="1" thickBot="1" x14ac:dyDescent="0.35">
      <c r="B1536" s="6">
        <v>1534</v>
      </c>
      <c r="C1536" s="7" t="s">
        <v>10</v>
      </c>
      <c r="D1536" s="18">
        <v>45468</v>
      </c>
      <c r="E1536" s="7" t="s">
        <v>16</v>
      </c>
      <c r="F1536" s="7" t="s">
        <v>26</v>
      </c>
      <c r="G1536" s="7" t="s">
        <v>28</v>
      </c>
      <c r="H1536" s="7">
        <v>56</v>
      </c>
      <c r="I1536" s="5">
        <v>180</v>
      </c>
      <c r="J1536" s="5">
        <f t="shared" si="23"/>
        <v>10080</v>
      </c>
      <c r="K1536" s="7">
        <v>17</v>
      </c>
      <c r="L1536" s="7" t="s">
        <v>34</v>
      </c>
      <c r="M1536" s="7">
        <v>4</v>
      </c>
    </row>
    <row r="1537" spans="2:13" ht="15.6" thickTop="1" thickBot="1" x14ac:dyDescent="0.35">
      <c r="B1537" s="8">
        <v>1535</v>
      </c>
      <c r="C1537" s="9" t="s">
        <v>11</v>
      </c>
      <c r="D1537" s="19">
        <v>45469</v>
      </c>
      <c r="E1537" s="9" t="s">
        <v>21</v>
      </c>
      <c r="F1537" s="9" t="s">
        <v>26</v>
      </c>
      <c r="G1537" s="9" t="s">
        <v>29</v>
      </c>
      <c r="H1537" s="9">
        <v>67</v>
      </c>
      <c r="I1537" s="5">
        <v>225</v>
      </c>
      <c r="J1537" s="5">
        <f t="shared" si="23"/>
        <v>15075</v>
      </c>
      <c r="K1537" s="9">
        <v>20</v>
      </c>
      <c r="L1537" s="9" t="s">
        <v>35</v>
      </c>
      <c r="M1537" s="9">
        <v>1</v>
      </c>
    </row>
    <row r="1538" spans="2:13" ht="15.6" thickTop="1" thickBot="1" x14ac:dyDescent="0.35">
      <c r="B1538" s="6">
        <v>1536</v>
      </c>
      <c r="C1538" s="7" t="s">
        <v>10</v>
      </c>
      <c r="D1538" s="18">
        <v>45470</v>
      </c>
      <c r="E1538" s="7" t="s">
        <v>12</v>
      </c>
      <c r="F1538" s="7" t="s">
        <v>23</v>
      </c>
      <c r="G1538" s="7" t="s">
        <v>28</v>
      </c>
      <c r="H1538" s="7">
        <v>228</v>
      </c>
      <c r="I1538" s="5">
        <v>90</v>
      </c>
      <c r="J1538" s="5">
        <f t="shared" si="23"/>
        <v>20520</v>
      </c>
      <c r="K1538" s="7">
        <v>23</v>
      </c>
      <c r="L1538" s="7" t="s">
        <v>33</v>
      </c>
      <c r="M1538" s="7">
        <v>3</v>
      </c>
    </row>
    <row r="1539" spans="2:13" ht="15.6" thickTop="1" thickBot="1" x14ac:dyDescent="0.35">
      <c r="B1539" s="8">
        <v>1537</v>
      </c>
      <c r="C1539" s="9" t="s">
        <v>10</v>
      </c>
      <c r="D1539" s="19">
        <v>45471</v>
      </c>
      <c r="E1539" s="9" t="s">
        <v>13</v>
      </c>
      <c r="F1539" s="9" t="s">
        <v>24</v>
      </c>
      <c r="G1539" s="9" t="s">
        <v>29</v>
      </c>
      <c r="H1539" s="9">
        <v>45</v>
      </c>
      <c r="I1539" s="5">
        <v>225</v>
      </c>
      <c r="J1539" s="5">
        <f t="shared" si="23"/>
        <v>10125</v>
      </c>
      <c r="K1539" s="9">
        <v>12</v>
      </c>
      <c r="L1539" s="9" t="s">
        <v>33</v>
      </c>
      <c r="M1539" s="9">
        <v>2</v>
      </c>
    </row>
    <row r="1540" spans="2:13" ht="15.6" thickTop="1" thickBot="1" x14ac:dyDescent="0.35">
      <c r="B1540" s="6">
        <v>1538</v>
      </c>
      <c r="C1540" s="7" t="s">
        <v>10</v>
      </c>
      <c r="D1540" s="18">
        <v>45472</v>
      </c>
      <c r="E1540" s="7" t="s">
        <v>17</v>
      </c>
      <c r="F1540" s="7" t="s">
        <v>24</v>
      </c>
      <c r="G1540" s="7" t="s">
        <v>28</v>
      </c>
      <c r="H1540" s="7">
        <v>203</v>
      </c>
      <c r="I1540" s="5">
        <v>180</v>
      </c>
      <c r="J1540" s="5">
        <f t="shared" ref="J1540:J1603" si="24">H1540*I1540</f>
        <v>36540</v>
      </c>
      <c r="K1540" s="7">
        <v>14</v>
      </c>
      <c r="L1540" s="7" t="s">
        <v>35</v>
      </c>
      <c r="M1540" s="7">
        <v>2</v>
      </c>
    </row>
    <row r="1541" spans="2:13" ht="15.6" thickTop="1" thickBot="1" x14ac:dyDescent="0.35">
      <c r="B1541" s="8">
        <v>1539</v>
      </c>
      <c r="C1541" s="9" t="s">
        <v>11</v>
      </c>
      <c r="D1541" s="19">
        <v>45473</v>
      </c>
      <c r="E1541" s="9" t="s">
        <v>17</v>
      </c>
      <c r="F1541" s="9" t="s">
        <v>24</v>
      </c>
      <c r="G1541" s="9" t="s">
        <v>30</v>
      </c>
      <c r="H1541" s="9">
        <v>69</v>
      </c>
      <c r="I1541" s="5">
        <v>45</v>
      </c>
      <c r="J1541" s="5">
        <f t="shared" si="24"/>
        <v>3105</v>
      </c>
      <c r="K1541" s="9">
        <v>13</v>
      </c>
      <c r="L1541" s="9" t="s">
        <v>34</v>
      </c>
      <c r="M1541" s="9">
        <v>2</v>
      </c>
    </row>
    <row r="1542" spans="2:13" ht="15.6" thickTop="1" thickBot="1" x14ac:dyDescent="0.35">
      <c r="B1542" s="6">
        <v>1540</v>
      </c>
      <c r="C1542" s="7" t="s">
        <v>11</v>
      </c>
      <c r="D1542" s="18">
        <v>45474</v>
      </c>
      <c r="E1542" s="7" t="s">
        <v>17</v>
      </c>
      <c r="F1542" s="7" t="s">
        <v>24</v>
      </c>
      <c r="G1542" s="7" t="s">
        <v>30</v>
      </c>
      <c r="H1542" s="7">
        <v>97</v>
      </c>
      <c r="I1542" s="5">
        <v>90</v>
      </c>
      <c r="J1542" s="5">
        <f t="shared" si="24"/>
        <v>8730</v>
      </c>
      <c r="K1542" s="7">
        <v>10</v>
      </c>
      <c r="L1542" s="7" t="s">
        <v>34</v>
      </c>
      <c r="M1542" s="7">
        <v>3</v>
      </c>
    </row>
    <row r="1543" spans="2:13" ht="15.6" thickTop="1" thickBot="1" x14ac:dyDescent="0.35">
      <c r="B1543" s="8">
        <v>1541</v>
      </c>
      <c r="C1543" s="9" t="s">
        <v>11</v>
      </c>
      <c r="D1543" s="19">
        <v>45475</v>
      </c>
      <c r="E1543" s="9" t="s">
        <v>18</v>
      </c>
      <c r="F1543" s="9" t="s">
        <v>27</v>
      </c>
      <c r="G1543" s="9" t="s">
        <v>30</v>
      </c>
      <c r="H1543" s="9">
        <v>62</v>
      </c>
      <c r="I1543" s="5">
        <v>90</v>
      </c>
      <c r="J1543" s="5">
        <f t="shared" si="24"/>
        <v>5580</v>
      </c>
      <c r="K1543" s="9">
        <v>9</v>
      </c>
      <c r="L1543" s="9" t="s">
        <v>35</v>
      </c>
      <c r="M1543" s="9">
        <v>1</v>
      </c>
    </row>
    <row r="1544" spans="2:13" ht="15.6" thickTop="1" thickBot="1" x14ac:dyDescent="0.35">
      <c r="B1544" s="6">
        <v>1542</v>
      </c>
      <c r="C1544" s="7" t="s">
        <v>10</v>
      </c>
      <c r="D1544" s="18">
        <v>45476</v>
      </c>
      <c r="E1544" s="7" t="s">
        <v>13</v>
      </c>
      <c r="F1544" s="7" t="s">
        <v>24</v>
      </c>
      <c r="G1544" s="7" t="s">
        <v>28</v>
      </c>
      <c r="H1544" s="7">
        <v>199</v>
      </c>
      <c r="I1544" s="5">
        <v>45</v>
      </c>
      <c r="J1544" s="5">
        <f t="shared" si="24"/>
        <v>8955</v>
      </c>
      <c r="K1544" s="7">
        <v>19</v>
      </c>
      <c r="L1544" s="7" t="s">
        <v>34</v>
      </c>
      <c r="M1544" s="7"/>
    </row>
    <row r="1545" spans="2:13" ht="15.6" thickTop="1" thickBot="1" x14ac:dyDescent="0.35">
      <c r="B1545" s="8">
        <v>1543</v>
      </c>
      <c r="C1545" s="9" t="s">
        <v>11</v>
      </c>
      <c r="D1545" s="19">
        <v>45477</v>
      </c>
      <c r="E1545" s="9" t="s">
        <v>14</v>
      </c>
      <c r="F1545" s="9" t="s">
        <v>25</v>
      </c>
      <c r="G1545" s="9" t="s">
        <v>29</v>
      </c>
      <c r="H1545" s="9">
        <v>81</v>
      </c>
      <c r="I1545" s="5">
        <v>225</v>
      </c>
      <c r="J1545" s="5">
        <f t="shared" si="24"/>
        <v>18225</v>
      </c>
      <c r="K1545" s="9">
        <v>7</v>
      </c>
      <c r="L1545" s="9" t="s">
        <v>33</v>
      </c>
      <c r="M1545" s="9">
        <v>1</v>
      </c>
    </row>
    <row r="1546" spans="2:13" ht="15.6" thickTop="1" thickBot="1" x14ac:dyDescent="0.35">
      <c r="B1546" s="6">
        <v>1544</v>
      </c>
      <c r="C1546" s="7" t="s">
        <v>11</v>
      </c>
      <c r="D1546" s="18">
        <v>45478</v>
      </c>
      <c r="E1546" s="7" t="s">
        <v>21</v>
      </c>
      <c r="F1546" s="7" t="s">
        <v>26</v>
      </c>
      <c r="G1546" s="7" t="s">
        <v>28</v>
      </c>
      <c r="H1546" s="7">
        <v>196</v>
      </c>
      <c r="I1546" s="5">
        <v>225</v>
      </c>
      <c r="J1546" s="5">
        <f t="shared" si="24"/>
        <v>44100</v>
      </c>
      <c r="K1546" s="7">
        <v>13</v>
      </c>
      <c r="L1546" s="7" t="s">
        <v>34</v>
      </c>
      <c r="M1546" s="7">
        <v>1</v>
      </c>
    </row>
    <row r="1547" spans="2:13" ht="15.6" thickTop="1" thickBot="1" x14ac:dyDescent="0.35">
      <c r="B1547" s="8">
        <v>1545</v>
      </c>
      <c r="C1547" s="9" t="s">
        <v>10</v>
      </c>
      <c r="D1547" s="19">
        <v>45479</v>
      </c>
      <c r="E1547" s="9" t="s">
        <v>14</v>
      </c>
      <c r="F1547" s="9" t="s">
        <v>25</v>
      </c>
      <c r="G1547" s="9" t="s">
        <v>28</v>
      </c>
      <c r="H1547" s="9">
        <v>179</v>
      </c>
      <c r="I1547" s="5">
        <v>180</v>
      </c>
      <c r="J1547" s="5">
        <f t="shared" si="24"/>
        <v>32220</v>
      </c>
      <c r="K1547" s="9">
        <v>11</v>
      </c>
      <c r="L1547" s="9" t="s">
        <v>33</v>
      </c>
      <c r="M1547" s="9">
        <v>1</v>
      </c>
    </row>
    <row r="1548" spans="2:13" ht="15.6" thickTop="1" thickBot="1" x14ac:dyDescent="0.35">
      <c r="B1548" s="6">
        <v>1546</v>
      </c>
      <c r="C1548" s="7" t="s">
        <v>10</v>
      </c>
      <c r="D1548" s="18">
        <v>45480</v>
      </c>
      <c r="E1548" s="7" t="s">
        <v>14</v>
      </c>
      <c r="F1548" s="7" t="s">
        <v>25</v>
      </c>
      <c r="G1548" s="7" t="s">
        <v>31</v>
      </c>
      <c r="H1548" s="7">
        <v>93</v>
      </c>
      <c r="I1548" s="5">
        <v>135</v>
      </c>
      <c r="J1548" s="5">
        <f t="shared" si="24"/>
        <v>12555</v>
      </c>
      <c r="K1548" s="7">
        <v>21</v>
      </c>
      <c r="L1548" s="7" t="s">
        <v>34</v>
      </c>
      <c r="M1548" s="7">
        <v>5</v>
      </c>
    </row>
    <row r="1549" spans="2:13" ht="15.6" thickTop="1" thickBot="1" x14ac:dyDescent="0.35">
      <c r="B1549" s="8">
        <v>1547</v>
      </c>
      <c r="C1549" s="9" t="s">
        <v>10</v>
      </c>
      <c r="D1549" s="19">
        <v>45481</v>
      </c>
      <c r="E1549" s="9" t="s">
        <v>14</v>
      </c>
      <c r="F1549" s="9" t="s">
        <v>25</v>
      </c>
      <c r="G1549" s="9" t="s">
        <v>29</v>
      </c>
      <c r="H1549" s="9">
        <v>37</v>
      </c>
      <c r="I1549" s="5">
        <v>225</v>
      </c>
      <c r="J1549" s="5">
        <f t="shared" si="24"/>
        <v>8325</v>
      </c>
      <c r="K1549" s="9">
        <v>25</v>
      </c>
      <c r="L1549" s="9" t="s">
        <v>35</v>
      </c>
      <c r="M1549" s="9">
        <v>5</v>
      </c>
    </row>
    <row r="1550" spans="2:13" ht="15.6" thickTop="1" thickBot="1" x14ac:dyDescent="0.35">
      <c r="B1550" s="6">
        <v>1548</v>
      </c>
      <c r="C1550" s="7" t="s">
        <v>10</v>
      </c>
      <c r="D1550" s="18">
        <v>45482</v>
      </c>
      <c r="E1550" s="7" t="s">
        <v>22</v>
      </c>
      <c r="F1550" s="7" t="s">
        <v>25</v>
      </c>
      <c r="G1550" s="7" t="s">
        <v>32</v>
      </c>
      <c r="H1550" s="7">
        <v>43</v>
      </c>
      <c r="I1550" s="5">
        <v>90</v>
      </c>
      <c r="J1550" s="5">
        <f t="shared" si="24"/>
        <v>3870</v>
      </c>
      <c r="K1550" s="7">
        <v>13</v>
      </c>
      <c r="L1550" s="7" t="s">
        <v>35</v>
      </c>
      <c r="M1550" s="7">
        <v>1</v>
      </c>
    </row>
    <row r="1551" spans="2:13" ht="15.6" thickTop="1" thickBot="1" x14ac:dyDescent="0.35">
      <c r="B1551" s="8">
        <v>1549</v>
      </c>
      <c r="C1551" s="9" t="s">
        <v>11</v>
      </c>
      <c r="D1551" s="19">
        <v>45483</v>
      </c>
      <c r="E1551" s="9" t="s">
        <v>20</v>
      </c>
      <c r="F1551" s="9" t="s">
        <v>20</v>
      </c>
      <c r="G1551" s="9" t="s">
        <v>31</v>
      </c>
      <c r="H1551" s="9">
        <v>219</v>
      </c>
      <c r="I1551" s="5">
        <v>135</v>
      </c>
      <c r="J1551" s="5">
        <f t="shared" si="24"/>
        <v>29565</v>
      </c>
      <c r="K1551" s="9">
        <v>15</v>
      </c>
      <c r="L1551" s="9" t="s">
        <v>33</v>
      </c>
      <c r="M1551" s="9">
        <v>2</v>
      </c>
    </row>
    <row r="1552" spans="2:13" ht="15.6" thickTop="1" thickBot="1" x14ac:dyDescent="0.35">
      <c r="B1552" s="6">
        <v>1550</v>
      </c>
      <c r="C1552" s="7" t="s">
        <v>10</v>
      </c>
      <c r="D1552" s="18">
        <v>45484</v>
      </c>
      <c r="E1552" s="7" t="s">
        <v>12</v>
      </c>
      <c r="F1552" s="7" t="s">
        <v>23</v>
      </c>
      <c r="G1552" s="7" t="s">
        <v>31</v>
      </c>
      <c r="H1552" s="7">
        <v>217</v>
      </c>
      <c r="I1552" s="5">
        <v>90</v>
      </c>
      <c r="J1552" s="5">
        <f t="shared" si="24"/>
        <v>19530</v>
      </c>
      <c r="K1552" s="7">
        <v>12</v>
      </c>
      <c r="L1552" s="7" t="s">
        <v>35</v>
      </c>
      <c r="M1552" s="7">
        <v>1</v>
      </c>
    </row>
    <row r="1553" spans="2:13" ht="15.6" thickTop="1" thickBot="1" x14ac:dyDescent="0.35">
      <c r="B1553" s="8">
        <v>1551</v>
      </c>
      <c r="C1553" s="9" t="s">
        <v>10</v>
      </c>
      <c r="D1553" s="19">
        <v>45485</v>
      </c>
      <c r="E1553" s="9" t="s">
        <v>16</v>
      </c>
      <c r="F1553" s="9" t="s">
        <v>26</v>
      </c>
      <c r="G1553" s="9" t="s">
        <v>32</v>
      </c>
      <c r="H1553" s="9">
        <v>63</v>
      </c>
      <c r="I1553" s="5">
        <v>225</v>
      </c>
      <c r="J1553" s="5">
        <f t="shared" si="24"/>
        <v>14175</v>
      </c>
      <c r="K1553" s="9">
        <v>17</v>
      </c>
      <c r="L1553" s="9" t="s">
        <v>35</v>
      </c>
      <c r="M1553" s="9">
        <v>5</v>
      </c>
    </row>
    <row r="1554" spans="2:13" ht="15.6" thickTop="1" thickBot="1" x14ac:dyDescent="0.35">
      <c r="B1554" s="6">
        <v>1552</v>
      </c>
      <c r="C1554" s="7" t="s">
        <v>11</v>
      </c>
      <c r="D1554" s="18">
        <v>45486</v>
      </c>
      <c r="E1554" s="7" t="s">
        <v>22</v>
      </c>
      <c r="F1554" s="7" t="s">
        <v>25</v>
      </c>
      <c r="G1554" s="7" t="s">
        <v>30</v>
      </c>
      <c r="H1554" s="7">
        <v>46</v>
      </c>
      <c r="I1554" s="5">
        <v>90</v>
      </c>
      <c r="J1554" s="5">
        <f t="shared" si="24"/>
        <v>4140</v>
      </c>
      <c r="K1554" s="7">
        <v>11</v>
      </c>
      <c r="L1554" s="7" t="s">
        <v>33</v>
      </c>
      <c r="M1554" s="7">
        <v>5</v>
      </c>
    </row>
    <row r="1555" spans="2:13" ht="15.6" thickTop="1" thickBot="1" x14ac:dyDescent="0.35">
      <c r="B1555" s="8">
        <v>1553</v>
      </c>
      <c r="C1555" s="9" t="s">
        <v>10</v>
      </c>
      <c r="D1555" s="19">
        <v>45487</v>
      </c>
      <c r="E1555" s="9" t="s">
        <v>22</v>
      </c>
      <c r="F1555" s="9" t="s">
        <v>25</v>
      </c>
      <c r="G1555" s="9" t="s">
        <v>32</v>
      </c>
      <c r="H1555" s="9">
        <v>62</v>
      </c>
      <c r="I1555" s="5">
        <v>180</v>
      </c>
      <c r="J1555" s="5">
        <f t="shared" si="24"/>
        <v>11160</v>
      </c>
      <c r="K1555" s="9">
        <v>14</v>
      </c>
      <c r="L1555" s="9" t="s">
        <v>33</v>
      </c>
      <c r="M1555" s="9"/>
    </row>
    <row r="1556" spans="2:13" ht="15.6" thickTop="1" thickBot="1" x14ac:dyDescent="0.35">
      <c r="B1556" s="6">
        <v>1554</v>
      </c>
      <c r="C1556" s="7" t="s">
        <v>10</v>
      </c>
      <c r="D1556" s="18">
        <v>45488</v>
      </c>
      <c r="E1556" s="7" t="s">
        <v>18</v>
      </c>
      <c r="F1556" s="7" t="s">
        <v>27</v>
      </c>
      <c r="G1556" s="7" t="s">
        <v>28</v>
      </c>
      <c r="H1556" s="7">
        <v>123</v>
      </c>
      <c r="I1556" s="5">
        <v>45</v>
      </c>
      <c r="J1556" s="5">
        <f t="shared" si="24"/>
        <v>5535</v>
      </c>
      <c r="K1556" s="7">
        <v>10</v>
      </c>
      <c r="L1556" s="7" t="s">
        <v>35</v>
      </c>
      <c r="M1556" s="7">
        <v>5</v>
      </c>
    </row>
    <row r="1557" spans="2:13" ht="15.6" thickTop="1" thickBot="1" x14ac:dyDescent="0.35">
      <c r="B1557" s="8">
        <v>1555</v>
      </c>
      <c r="C1557" s="9" t="s">
        <v>11</v>
      </c>
      <c r="D1557" s="19">
        <v>45489</v>
      </c>
      <c r="E1557" s="9" t="s">
        <v>16</v>
      </c>
      <c r="F1557" s="9" t="s">
        <v>26</v>
      </c>
      <c r="G1557" s="9" t="s">
        <v>31</v>
      </c>
      <c r="H1557" s="9">
        <v>54</v>
      </c>
      <c r="I1557" s="5">
        <v>45</v>
      </c>
      <c r="J1557" s="5">
        <f t="shared" si="24"/>
        <v>2430</v>
      </c>
      <c r="K1557" s="9">
        <v>13</v>
      </c>
      <c r="L1557" s="9" t="s">
        <v>33</v>
      </c>
      <c r="M1557" s="9">
        <v>4</v>
      </c>
    </row>
    <row r="1558" spans="2:13" ht="15.6" thickTop="1" thickBot="1" x14ac:dyDescent="0.35">
      <c r="B1558" s="6">
        <v>1556</v>
      </c>
      <c r="C1558" s="7" t="s">
        <v>10</v>
      </c>
      <c r="D1558" s="18">
        <v>45490</v>
      </c>
      <c r="E1558" s="7" t="s">
        <v>19</v>
      </c>
      <c r="F1558" s="7" t="s">
        <v>23</v>
      </c>
      <c r="G1558" s="7" t="s">
        <v>29</v>
      </c>
      <c r="H1558" s="7">
        <v>85</v>
      </c>
      <c r="I1558" s="5">
        <v>90</v>
      </c>
      <c r="J1558" s="5">
        <f t="shared" si="24"/>
        <v>7650</v>
      </c>
      <c r="K1558" s="7">
        <v>12</v>
      </c>
      <c r="L1558" s="7" t="s">
        <v>35</v>
      </c>
      <c r="M1558" s="7">
        <v>5</v>
      </c>
    </row>
    <row r="1559" spans="2:13" ht="15.6" thickTop="1" thickBot="1" x14ac:dyDescent="0.35">
      <c r="B1559" s="8">
        <v>1557</v>
      </c>
      <c r="C1559" s="9" t="s">
        <v>11</v>
      </c>
      <c r="D1559" s="19">
        <v>45491</v>
      </c>
      <c r="E1559" s="9" t="s">
        <v>18</v>
      </c>
      <c r="F1559" s="9" t="s">
        <v>27</v>
      </c>
      <c r="G1559" s="9" t="s">
        <v>29</v>
      </c>
      <c r="H1559" s="9">
        <v>125</v>
      </c>
      <c r="I1559" s="5">
        <v>180</v>
      </c>
      <c r="J1559" s="5">
        <f t="shared" si="24"/>
        <v>22500</v>
      </c>
      <c r="K1559" s="9">
        <v>16</v>
      </c>
      <c r="L1559" s="9" t="s">
        <v>34</v>
      </c>
      <c r="M1559" s="9">
        <v>2</v>
      </c>
    </row>
    <row r="1560" spans="2:13" ht="15.6" thickTop="1" thickBot="1" x14ac:dyDescent="0.35">
      <c r="B1560" s="6">
        <v>1558</v>
      </c>
      <c r="C1560" s="7" t="s">
        <v>10</v>
      </c>
      <c r="D1560" s="18">
        <v>45492</v>
      </c>
      <c r="E1560" s="7" t="s">
        <v>14</v>
      </c>
      <c r="F1560" s="7" t="s">
        <v>25</v>
      </c>
      <c r="G1560" s="7" t="s">
        <v>28</v>
      </c>
      <c r="H1560" s="7">
        <v>229</v>
      </c>
      <c r="I1560" s="5">
        <v>90</v>
      </c>
      <c r="J1560" s="5">
        <f t="shared" si="24"/>
        <v>20610</v>
      </c>
      <c r="K1560" s="7">
        <v>12</v>
      </c>
      <c r="L1560" s="7" t="s">
        <v>34</v>
      </c>
      <c r="M1560" s="7"/>
    </row>
    <row r="1561" spans="2:13" ht="15.6" thickTop="1" thickBot="1" x14ac:dyDescent="0.35">
      <c r="B1561" s="8">
        <v>1559</v>
      </c>
      <c r="C1561" s="9" t="s">
        <v>10</v>
      </c>
      <c r="D1561" s="19">
        <v>45493</v>
      </c>
      <c r="E1561" s="9" t="s">
        <v>15</v>
      </c>
      <c r="F1561" s="9" t="s">
        <v>25</v>
      </c>
      <c r="G1561" s="9" t="s">
        <v>30</v>
      </c>
      <c r="H1561" s="9">
        <v>70</v>
      </c>
      <c r="I1561" s="5">
        <v>90</v>
      </c>
      <c r="J1561" s="5">
        <f t="shared" si="24"/>
        <v>6300</v>
      </c>
      <c r="K1561" s="9">
        <v>14</v>
      </c>
      <c r="L1561" s="9" t="s">
        <v>33</v>
      </c>
      <c r="M1561" s="9">
        <v>5</v>
      </c>
    </row>
    <row r="1562" spans="2:13" ht="15.6" thickTop="1" thickBot="1" x14ac:dyDescent="0.35">
      <c r="B1562" s="6">
        <v>1560</v>
      </c>
      <c r="C1562" s="7" t="s">
        <v>10</v>
      </c>
      <c r="D1562" s="18">
        <v>45494</v>
      </c>
      <c r="E1562" s="7" t="s">
        <v>15</v>
      </c>
      <c r="F1562" s="7" t="s">
        <v>25</v>
      </c>
      <c r="G1562" s="7" t="s">
        <v>30</v>
      </c>
      <c r="H1562" s="7">
        <v>141</v>
      </c>
      <c r="I1562" s="5">
        <v>180</v>
      </c>
      <c r="J1562" s="5">
        <f t="shared" si="24"/>
        <v>25380</v>
      </c>
      <c r="K1562" s="7">
        <v>10</v>
      </c>
      <c r="L1562" s="7" t="s">
        <v>33</v>
      </c>
      <c r="M1562" s="7">
        <v>5</v>
      </c>
    </row>
    <row r="1563" spans="2:13" ht="15.6" thickTop="1" thickBot="1" x14ac:dyDescent="0.35">
      <c r="B1563" s="8">
        <v>1561</v>
      </c>
      <c r="C1563" s="9" t="s">
        <v>10</v>
      </c>
      <c r="D1563" s="19">
        <v>45495</v>
      </c>
      <c r="E1563" s="9" t="s">
        <v>12</v>
      </c>
      <c r="F1563" s="9" t="s">
        <v>23</v>
      </c>
      <c r="G1563" s="9" t="s">
        <v>32</v>
      </c>
      <c r="H1563" s="9">
        <v>135</v>
      </c>
      <c r="I1563" s="5">
        <v>180</v>
      </c>
      <c r="J1563" s="5">
        <f t="shared" si="24"/>
        <v>24300</v>
      </c>
      <c r="K1563" s="9">
        <v>23</v>
      </c>
      <c r="L1563" s="9" t="s">
        <v>35</v>
      </c>
      <c r="M1563" s="9"/>
    </row>
    <row r="1564" spans="2:13" ht="15.6" thickTop="1" thickBot="1" x14ac:dyDescent="0.35">
      <c r="B1564" s="6">
        <v>1562</v>
      </c>
      <c r="C1564" s="7" t="s">
        <v>10</v>
      </c>
      <c r="D1564" s="18">
        <v>45496</v>
      </c>
      <c r="E1564" s="7" t="s">
        <v>17</v>
      </c>
      <c r="F1564" s="7" t="s">
        <v>24</v>
      </c>
      <c r="G1564" s="7" t="s">
        <v>28</v>
      </c>
      <c r="H1564" s="7">
        <v>149</v>
      </c>
      <c r="I1564" s="5">
        <v>135</v>
      </c>
      <c r="J1564" s="5">
        <f t="shared" si="24"/>
        <v>20115</v>
      </c>
      <c r="K1564" s="7">
        <v>14</v>
      </c>
      <c r="L1564" s="7" t="s">
        <v>34</v>
      </c>
      <c r="M1564" s="7">
        <v>3</v>
      </c>
    </row>
    <row r="1565" spans="2:13" ht="15.6" thickTop="1" thickBot="1" x14ac:dyDescent="0.35">
      <c r="B1565" s="8">
        <v>1563</v>
      </c>
      <c r="C1565" s="9" t="s">
        <v>11</v>
      </c>
      <c r="D1565" s="19">
        <v>45497</v>
      </c>
      <c r="E1565" s="9" t="s">
        <v>15</v>
      </c>
      <c r="F1565" s="9" t="s">
        <v>25</v>
      </c>
      <c r="G1565" s="9" t="s">
        <v>29</v>
      </c>
      <c r="H1565" s="9">
        <v>58</v>
      </c>
      <c r="I1565" s="5">
        <v>135</v>
      </c>
      <c r="J1565" s="5">
        <f t="shared" si="24"/>
        <v>7830</v>
      </c>
      <c r="K1565" s="9">
        <v>20</v>
      </c>
      <c r="L1565" s="9" t="s">
        <v>35</v>
      </c>
      <c r="M1565" s="9">
        <v>4</v>
      </c>
    </row>
    <row r="1566" spans="2:13" ht="15.6" thickTop="1" thickBot="1" x14ac:dyDescent="0.35">
      <c r="B1566" s="6">
        <v>1564</v>
      </c>
      <c r="C1566" s="7" t="s">
        <v>10</v>
      </c>
      <c r="D1566" s="18">
        <v>45498</v>
      </c>
      <c r="E1566" s="7" t="s">
        <v>13</v>
      </c>
      <c r="F1566" s="7" t="s">
        <v>24</v>
      </c>
      <c r="G1566" s="7" t="s">
        <v>30</v>
      </c>
      <c r="H1566" s="7">
        <v>227</v>
      </c>
      <c r="I1566" s="5">
        <v>45</v>
      </c>
      <c r="J1566" s="5">
        <f t="shared" si="24"/>
        <v>10215</v>
      </c>
      <c r="K1566" s="7">
        <v>19</v>
      </c>
      <c r="L1566" s="7" t="s">
        <v>33</v>
      </c>
      <c r="M1566" s="7">
        <v>3</v>
      </c>
    </row>
    <row r="1567" spans="2:13" ht="15.6" thickTop="1" thickBot="1" x14ac:dyDescent="0.35">
      <c r="B1567" s="8">
        <v>1565</v>
      </c>
      <c r="C1567" s="9" t="s">
        <v>10</v>
      </c>
      <c r="D1567" s="19">
        <v>45499</v>
      </c>
      <c r="E1567" s="9" t="s">
        <v>12</v>
      </c>
      <c r="F1567" s="9" t="s">
        <v>23</v>
      </c>
      <c r="G1567" s="9" t="s">
        <v>30</v>
      </c>
      <c r="H1567" s="9">
        <v>141</v>
      </c>
      <c r="I1567" s="5">
        <v>135</v>
      </c>
      <c r="J1567" s="5">
        <f t="shared" si="24"/>
        <v>19035</v>
      </c>
      <c r="K1567" s="9">
        <v>12</v>
      </c>
      <c r="L1567" s="9" t="s">
        <v>35</v>
      </c>
      <c r="M1567" s="9">
        <v>4</v>
      </c>
    </row>
    <row r="1568" spans="2:13" ht="15.6" thickTop="1" thickBot="1" x14ac:dyDescent="0.35">
      <c r="B1568" s="6">
        <v>1566</v>
      </c>
      <c r="C1568" s="7" t="s">
        <v>11</v>
      </c>
      <c r="D1568" s="18">
        <v>45500</v>
      </c>
      <c r="E1568" s="7" t="s">
        <v>12</v>
      </c>
      <c r="F1568" s="7" t="s">
        <v>23</v>
      </c>
      <c r="G1568" s="7" t="s">
        <v>28</v>
      </c>
      <c r="H1568" s="7">
        <v>81</v>
      </c>
      <c r="I1568" s="5">
        <v>45</v>
      </c>
      <c r="J1568" s="5">
        <f t="shared" si="24"/>
        <v>3645</v>
      </c>
      <c r="K1568" s="7">
        <v>19</v>
      </c>
      <c r="L1568" s="7" t="s">
        <v>34</v>
      </c>
      <c r="M1568" s="7">
        <v>5</v>
      </c>
    </row>
    <row r="1569" spans="2:13" ht="15.6" thickTop="1" thickBot="1" x14ac:dyDescent="0.35">
      <c r="B1569" s="8">
        <v>1567</v>
      </c>
      <c r="C1569" s="9" t="s">
        <v>10</v>
      </c>
      <c r="D1569" s="19">
        <v>45501</v>
      </c>
      <c r="E1569" s="9" t="s">
        <v>15</v>
      </c>
      <c r="F1569" s="9" t="s">
        <v>25</v>
      </c>
      <c r="G1569" s="9" t="s">
        <v>28</v>
      </c>
      <c r="H1569" s="9">
        <v>134</v>
      </c>
      <c r="I1569" s="5">
        <v>45</v>
      </c>
      <c r="J1569" s="5">
        <f t="shared" si="24"/>
        <v>6030</v>
      </c>
      <c r="K1569" s="9">
        <v>24</v>
      </c>
      <c r="L1569" s="9" t="s">
        <v>33</v>
      </c>
      <c r="M1569" s="9">
        <v>3</v>
      </c>
    </row>
    <row r="1570" spans="2:13" ht="15.6" thickTop="1" thickBot="1" x14ac:dyDescent="0.35">
      <c r="B1570" s="6">
        <v>1568</v>
      </c>
      <c r="C1570" s="7" t="s">
        <v>10</v>
      </c>
      <c r="D1570" s="18">
        <v>45502</v>
      </c>
      <c r="E1570" s="7" t="s">
        <v>15</v>
      </c>
      <c r="F1570" s="7" t="s">
        <v>25</v>
      </c>
      <c r="G1570" s="7" t="s">
        <v>31</v>
      </c>
      <c r="H1570" s="7">
        <v>69</v>
      </c>
      <c r="I1570" s="5">
        <v>45</v>
      </c>
      <c r="J1570" s="5">
        <f t="shared" si="24"/>
        <v>3105</v>
      </c>
      <c r="K1570" s="7">
        <v>24</v>
      </c>
      <c r="L1570" s="7" t="s">
        <v>35</v>
      </c>
      <c r="M1570" s="7">
        <v>5</v>
      </c>
    </row>
    <row r="1571" spans="2:13" ht="15.6" thickTop="1" thickBot="1" x14ac:dyDescent="0.35">
      <c r="B1571" s="8">
        <v>1569</v>
      </c>
      <c r="C1571" s="9" t="s">
        <v>10</v>
      </c>
      <c r="D1571" s="19">
        <v>45503</v>
      </c>
      <c r="E1571" s="9" t="s">
        <v>18</v>
      </c>
      <c r="F1571" s="9" t="s">
        <v>27</v>
      </c>
      <c r="G1571" s="9" t="s">
        <v>32</v>
      </c>
      <c r="H1571" s="9">
        <v>183</v>
      </c>
      <c r="I1571" s="5">
        <v>45</v>
      </c>
      <c r="J1571" s="5">
        <f t="shared" si="24"/>
        <v>8235</v>
      </c>
      <c r="K1571" s="9">
        <v>21</v>
      </c>
      <c r="L1571" s="9" t="s">
        <v>33</v>
      </c>
      <c r="M1571" s="9">
        <v>4</v>
      </c>
    </row>
    <row r="1572" spans="2:13" ht="15.6" thickTop="1" thickBot="1" x14ac:dyDescent="0.35">
      <c r="B1572" s="6">
        <v>1570</v>
      </c>
      <c r="C1572" s="7" t="s">
        <v>10</v>
      </c>
      <c r="D1572" s="18">
        <v>45504</v>
      </c>
      <c r="E1572" s="7" t="s">
        <v>13</v>
      </c>
      <c r="F1572" s="7" t="s">
        <v>24</v>
      </c>
      <c r="G1572" s="7" t="s">
        <v>31</v>
      </c>
      <c r="H1572" s="7">
        <v>84</v>
      </c>
      <c r="I1572" s="5">
        <v>180</v>
      </c>
      <c r="J1572" s="5">
        <f t="shared" si="24"/>
        <v>15120</v>
      </c>
      <c r="K1572" s="7">
        <v>25</v>
      </c>
      <c r="L1572" s="7" t="s">
        <v>34</v>
      </c>
      <c r="M1572" s="7">
        <v>3</v>
      </c>
    </row>
    <row r="1573" spans="2:13" ht="15.6" thickTop="1" thickBot="1" x14ac:dyDescent="0.35">
      <c r="B1573" s="8">
        <v>1571</v>
      </c>
      <c r="C1573" s="9" t="s">
        <v>10</v>
      </c>
      <c r="D1573" s="19">
        <v>45505</v>
      </c>
      <c r="E1573" s="9" t="s">
        <v>22</v>
      </c>
      <c r="F1573" s="9" t="s">
        <v>25</v>
      </c>
      <c r="G1573" s="9" t="s">
        <v>29</v>
      </c>
      <c r="H1573" s="9">
        <v>249</v>
      </c>
      <c r="I1573" s="5">
        <v>135</v>
      </c>
      <c r="J1573" s="5">
        <f t="shared" si="24"/>
        <v>33615</v>
      </c>
      <c r="K1573" s="9">
        <v>14</v>
      </c>
      <c r="L1573" s="9" t="s">
        <v>33</v>
      </c>
      <c r="M1573" s="9">
        <v>3</v>
      </c>
    </row>
    <row r="1574" spans="2:13" ht="15.6" thickTop="1" thickBot="1" x14ac:dyDescent="0.35">
      <c r="B1574" s="6">
        <v>1572</v>
      </c>
      <c r="C1574" s="7" t="s">
        <v>11</v>
      </c>
      <c r="D1574" s="18">
        <v>45506</v>
      </c>
      <c r="E1574" s="7" t="s">
        <v>20</v>
      </c>
      <c r="F1574" s="7" t="s">
        <v>20</v>
      </c>
      <c r="G1574" s="7" t="s">
        <v>30</v>
      </c>
      <c r="H1574" s="7">
        <v>229</v>
      </c>
      <c r="I1574" s="5">
        <v>225</v>
      </c>
      <c r="J1574" s="5">
        <f t="shared" si="24"/>
        <v>51525</v>
      </c>
      <c r="K1574" s="7">
        <v>17</v>
      </c>
      <c r="L1574" s="7" t="s">
        <v>33</v>
      </c>
      <c r="M1574" s="7">
        <v>2</v>
      </c>
    </row>
    <row r="1575" spans="2:13" ht="15.6" thickTop="1" thickBot="1" x14ac:dyDescent="0.35">
      <c r="B1575" s="8">
        <v>1573</v>
      </c>
      <c r="C1575" s="9" t="s">
        <v>10</v>
      </c>
      <c r="D1575" s="19">
        <v>45507</v>
      </c>
      <c r="E1575" s="9" t="s">
        <v>16</v>
      </c>
      <c r="F1575" s="9" t="s">
        <v>26</v>
      </c>
      <c r="G1575" s="9" t="s">
        <v>29</v>
      </c>
      <c r="H1575" s="9">
        <v>44</v>
      </c>
      <c r="I1575" s="5">
        <v>180</v>
      </c>
      <c r="J1575" s="5">
        <f t="shared" si="24"/>
        <v>7920</v>
      </c>
      <c r="K1575" s="9">
        <v>12</v>
      </c>
      <c r="L1575" s="9" t="s">
        <v>33</v>
      </c>
      <c r="M1575" s="9">
        <v>4</v>
      </c>
    </row>
    <row r="1576" spans="2:13" ht="15.6" thickTop="1" thickBot="1" x14ac:dyDescent="0.35">
      <c r="B1576" s="6">
        <v>1574</v>
      </c>
      <c r="C1576" s="7" t="s">
        <v>10</v>
      </c>
      <c r="D1576" s="18">
        <v>45508</v>
      </c>
      <c r="E1576" s="7" t="s">
        <v>12</v>
      </c>
      <c r="F1576" s="7" t="s">
        <v>23</v>
      </c>
      <c r="G1576" s="7" t="s">
        <v>32</v>
      </c>
      <c r="H1576" s="7">
        <v>198</v>
      </c>
      <c r="I1576" s="5">
        <v>135</v>
      </c>
      <c r="J1576" s="5">
        <f t="shared" si="24"/>
        <v>26730</v>
      </c>
      <c r="K1576" s="7">
        <v>10</v>
      </c>
      <c r="L1576" s="7" t="s">
        <v>33</v>
      </c>
      <c r="M1576" s="7"/>
    </row>
    <row r="1577" spans="2:13" ht="15.6" thickTop="1" thickBot="1" x14ac:dyDescent="0.35">
      <c r="B1577" s="8">
        <v>1575</v>
      </c>
      <c r="C1577" s="9" t="s">
        <v>11</v>
      </c>
      <c r="D1577" s="19">
        <v>45509</v>
      </c>
      <c r="E1577" s="9" t="s">
        <v>21</v>
      </c>
      <c r="F1577" s="9" t="s">
        <v>26</v>
      </c>
      <c r="G1577" s="9" t="s">
        <v>28</v>
      </c>
      <c r="H1577" s="9">
        <v>112</v>
      </c>
      <c r="I1577" s="5">
        <v>90</v>
      </c>
      <c r="J1577" s="5">
        <f t="shared" si="24"/>
        <v>10080</v>
      </c>
      <c r="K1577" s="9">
        <v>18</v>
      </c>
      <c r="L1577" s="9" t="s">
        <v>33</v>
      </c>
      <c r="M1577" s="9">
        <v>2</v>
      </c>
    </row>
    <row r="1578" spans="2:13" ht="15.6" thickTop="1" thickBot="1" x14ac:dyDescent="0.35">
      <c r="B1578" s="6">
        <v>1576</v>
      </c>
      <c r="C1578" s="7" t="s">
        <v>11</v>
      </c>
      <c r="D1578" s="18">
        <v>45510</v>
      </c>
      <c r="E1578" s="7" t="s">
        <v>15</v>
      </c>
      <c r="F1578" s="7" t="s">
        <v>25</v>
      </c>
      <c r="G1578" s="7" t="s">
        <v>28</v>
      </c>
      <c r="H1578" s="7">
        <v>39</v>
      </c>
      <c r="I1578" s="5">
        <v>90</v>
      </c>
      <c r="J1578" s="5">
        <f t="shared" si="24"/>
        <v>3510</v>
      </c>
      <c r="K1578" s="7">
        <v>12</v>
      </c>
      <c r="L1578" s="7" t="s">
        <v>35</v>
      </c>
      <c r="M1578" s="7">
        <v>5</v>
      </c>
    </row>
    <row r="1579" spans="2:13" ht="15.6" thickTop="1" thickBot="1" x14ac:dyDescent="0.35">
      <c r="B1579" s="8">
        <v>1577</v>
      </c>
      <c r="C1579" s="9" t="s">
        <v>10</v>
      </c>
      <c r="D1579" s="19">
        <v>45511</v>
      </c>
      <c r="E1579" s="9" t="s">
        <v>17</v>
      </c>
      <c r="F1579" s="9" t="s">
        <v>24</v>
      </c>
      <c r="G1579" s="9" t="s">
        <v>31</v>
      </c>
      <c r="H1579" s="9">
        <v>187</v>
      </c>
      <c r="I1579" s="5">
        <v>45</v>
      </c>
      <c r="J1579" s="5">
        <f t="shared" si="24"/>
        <v>8415</v>
      </c>
      <c r="K1579" s="9">
        <v>12</v>
      </c>
      <c r="L1579" s="9" t="s">
        <v>34</v>
      </c>
      <c r="M1579" s="9">
        <v>2</v>
      </c>
    </row>
    <row r="1580" spans="2:13" ht="15.6" thickTop="1" thickBot="1" x14ac:dyDescent="0.35">
      <c r="B1580" s="6">
        <v>1578</v>
      </c>
      <c r="C1580" s="7" t="s">
        <v>11</v>
      </c>
      <c r="D1580" s="18">
        <v>45512</v>
      </c>
      <c r="E1580" s="7" t="s">
        <v>20</v>
      </c>
      <c r="F1580" s="7" t="s">
        <v>20</v>
      </c>
      <c r="G1580" s="7" t="s">
        <v>31</v>
      </c>
      <c r="H1580" s="7">
        <v>182</v>
      </c>
      <c r="I1580" s="5">
        <v>180</v>
      </c>
      <c r="J1580" s="5">
        <f t="shared" si="24"/>
        <v>32760</v>
      </c>
      <c r="K1580" s="7">
        <v>17</v>
      </c>
      <c r="L1580" s="7" t="s">
        <v>35</v>
      </c>
      <c r="M1580" s="7">
        <v>3</v>
      </c>
    </row>
    <row r="1581" spans="2:13" ht="15.6" thickTop="1" thickBot="1" x14ac:dyDescent="0.35">
      <c r="B1581" s="8">
        <v>1579</v>
      </c>
      <c r="C1581" s="9" t="s">
        <v>11</v>
      </c>
      <c r="D1581" s="19">
        <v>45513</v>
      </c>
      <c r="E1581" s="9" t="s">
        <v>18</v>
      </c>
      <c r="F1581" s="9" t="s">
        <v>27</v>
      </c>
      <c r="G1581" s="9" t="s">
        <v>29</v>
      </c>
      <c r="H1581" s="9">
        <v>31</v>
      </c>
      <c r="I1581" s="5">
        <v>90</v>
      </c>
      <c r="J1581" s="5">
        <f t="shared" si="24"/>
        <v>2790</v>
      </c>
      <c r="K1581" s="9">
        <v>18</v>
      </c>
      <c r="L1581" s="9" t="s">
        <v>35</v>
      </c>
      <c r="M1581" s="9">
        <v>5</v>
      </c>
    </row>
    <row r="1582" spans="2:13" ht="15.6" thickTop="1" thickBot="1" x14ac:dyDescent="0.35">
      <c r="B1582" s="6">
        <v>1580</v>
      </c>
      <c r="C1582" s="7" t="s">
        <v>11</v>
      </c>
      <c r="D1582" s="18">
        <v>45514</v>
      </c>
      <c r="E1582" s="7" t="s">
        <v>15</v>
      </c>
      <c r="F1582" s="7" t="s">
        <v>25</v>
      </c>
      <c r="G1582" s="7" t="s">
        <v>30</v>
      </c>
      <c r="H1582" s="7">
        <v>236</v>
      </c>
      <c r="I1582" s="5">
        <v>135</v>
      </c>
      <c r="J1582" s="5">
        <f t="shared" si="24"/>
        <v>31860</v>
      </c>
      <c r="K1582" s="7">
        <v>19</v>
      </c>
      <c r="L1582" s="7" t="s">
        <v>34</v>
      </c>
      <c r="M1582" s="7"/>
    </row>
    <row r="1583" spans="2:13" ht="15.6" thickTop="1" thickBot="1" x14ac:dyDescent="0.35">
      <c r="B1583" s="8">
        <v>1581</v>
      </c>
      <c r="C1583" s="9" t="s">
        <v>11</v>
      </c>
      <c r="D1583" s="19">
        <v>45515</v>
      </c>
      <c r="E1583" s="9" t="s">
        <v>17</v>
      </c>
      <c r="F1583" s="9" t="s">
        <v>24</v>
      </c>
      <c r="G1583" s="9" t="s">
        <v>32</v>
      </c>
      <c r="H1583" s="9">
        <v>129</v>
      </c>
      <c r="I1583" s="5">
        <v>225</v>
      </c>
      <c r="J1583" s="5">
        <f t="shared" si="24"/>
        <v>29025</v>
      </c>
      <c r="K1583" s="9">
        <v>8</v>
      </c>
      <c r="L1583" s="9" t="s">
        <v>33</v>
      </c>
      <c r="M1583" s="9"/>
    </row>
    <row r="1584" spans="2:13" ht="15.6" thickTop="1" thickBot="1" x14ac:dyDescent="0.35">
      <c r="B1584" s="6">
        <v>1582</v>
      </c>
      <c r="C1584" s="7" t="s">
        <v>11</v>
      </c>
      <c r="D1584" s="18">
        <v>45516</v>
      </c>
      <c r="E1584" s="7" t="s">
        <v>20</v>
      </c>
      <c r="F1584" s="7" t="s">
        <v>20</v>
      </c>
      <c r="G1584" s="7" t="s">
        <v>29</v>
      </c>
      <c r="H1584" s="7">
        <v>186</v>
      </c>
      <c r="I1584" s="5">
        <v>225</v>
      </c>
      <c r="J1584" s="5">
        <f t="shared" si="24"/>
        <v>41850</v>
      </c>
      <c r="K1584" s="7">
        <v>7</v>
      </c>
      <c r="L1584" s="7" t="s">
        <v>34</v>
      </c>
      <c r="M1584" s="7"/>
    </row>
    <row r="1585" spans="2:13" ht="15.6" thickTop="1" thickBot="1" x14ac:dyDescent="0.35">
      <c r="B1585" s="8">
        <v>1583</v>
      </c>
      <c r="C1585" s="9" t="s">
        <v>10</v>
      </c>
      <c r="D1585" s="19">
        <v>45517</v>
      </c>
      <c r="E1585" s="9" t="s">
        <v>16</v>
      </c>
      <c r="F1585" s="9" t="s">
        <v>26</v>
      </c>
      <c r="G1585" s="9" t="s">
        <v>29</v>
      </c>
      <c r="H1585" s="9">
        <v>226</v>
      </c>
      <c r="I1585" s="5">
        <v>225</v>
      </c>
      <c r="J1585" s="5">
        <f t="shared" si="24"/>
        <v>50850</v>
      </c>
      <c r="K1585" s="9">
        <v>13</v>
      </c>
      <c r="L1585" s="9" t="s">
        <v>33</v>
      </c>
      <c r="M1585" s="9">
        <v>3</v>
      </c>
    </row>
    <row r="1586" spans="2:13" ht="15.6" thickTop="1" thickBot="1" x14ac:dyDescent="0.35">
      <c r="B1586" s="6">
        <v>1584</v>
      </c>
      <c r="C1586" s="7" t="s">
        <v>11</v>
      </c>
      <c r="D1586" s="18">
        <v>45518</v>
      </c>
      <c r="E1586" s="7" t="s">
        <v>16</v>
      </c>
      <c r="F1586" s="7" t="s">
        <v>26</v>
      </c>
      <c r="G1586" s="7" t="s">
        <v>31</v>
      </c>
      <c r="H1586" s="7">
        <v>46</v>
      </c>
      <c r="I1586" s="5">
        <v>135</v>
      </c>
      <c r="J1586" s="5">
        <f t="shared" si="24"/>
        <v>6210</v>
      </c>
      <c r="K1586" s="7">
        <v>19</v>
      </c>
      <c r="L1586" s="7" t="s">
        <v>35</v>
      </c>
      <c r="M1586" s="7">
        <v>4</v>
      </c>
    </row>
    <row r="1587" spans="2:13" ht="15.6" thickTop="1" thickBot="1" x14ac:dyDescent="0.35">
      <c r="B1587" s="8">
        <v>1585</v>
      </c>
      <c r="C1587" s="9" t="s">
        <v>10</v>
      </c>
      <c r="D1587" s="19">
        <v>45519</v>
      </c>
      <c r="E1587" s="9" t="s">
        <v>16</v>
      </c>
      <c r="F1587" s="9" t="s">
        <v>26</v>
      </c>
      <c r="G1587" s="9" t="s">
        <v>28</v>
      </c>
      <c r="H1587" s="9">
        <v>224</v>
      </c>
      <c r="I1587" s="5">
        <v>180</v>
      </c>
      <c r="J1587" s="5">
        <f t="shared" si="24"/>
        <v>40320</v>
      </c>
      <c r="K1587" s="9">
        <v>23</v>
      </c>
      <c r="L1587" s="9" t="s">
        <v>35</v>
      </c>
      <c r="M1587" s="9">
        <v>3</v>
      </c>
    </row>
    <row r="1588" spans="2:13" ht="15.6" thickTop="1" thickBot="1" x14ac:dyDescent="0.35">
      <c r="B1588" s="6">
        <v>1586</v>
      </c>
      <c r="C1588" s="7" t="s">
        <v>10</v>
      </c>
      <c r="D1588" s="18">
        <v>45520</v>
      </c>
      <c r="E1588" s="7" t="s">
        <v>15</v>
      </c>
      <c r="F1588" s="7" t="s">
        <v>25</v>
      </c>
      <c r="G1588" s="7" t="s">
        <v>30</v>
      </c>
      <c r="H1588" s="7">
        <v>200</v>
      </c>
      <c r="I1588" s="5">
        <v>135</v>
      </c>
      <c r="J1588" s="5">
        <f t="shared" si="24"/>
        <v>27000</v>
      </c>
      <c r="K1588" s="7">
        <v>13</v>
      </c>
      <c r="L1588" s="7" t="s">
        <v>34</v>
      </c>
      <c r="M1588" s="7">
        <v>2</v>
      </c>
    </row>
    <row r="1589" spans="2:13" ht="15.6" thickTop="1" thickBot="1" x14ac:dyDescent="0.35">
      <c r="B1589" s="8">
        <v>1587</v>
      </c>
      <c r="C1589" s="9" t="s">
        <v>11</v>
      </c>
      <c r="D1589" s="19">
        <v>45521</v>
      </c>
      <c r="E1589" s="9" t="s">
        <v>20</v>
      </c>
      <c r="F1589" s="9" t="s">
        <v>20</v>
      </c>
      <c r="G1589" s="9" t="s">
        <v>30</v>
      </c>
      <c r="H1589" s="9">
        <v>155</v>
      </c>
      <c r="I1589" s="5">
        <v>225</v>
      </c>
      <c r="J1589" s="5">
        <f t="shared" si="24"/>
        <v>34875</v>
      </c>
      <c r="K1589" s="9">
        <v>17</v>
      </c>
      <c r="L1589" s="9" t="s">
        <v>34</v>
      </c>
      <c r="M1589" s="9">
        <v>2</v>
      </c>
    </row>
    <row r="1590" spans="2:13" ht="15.6" thickTop="1" thickBot="1" x14ac:dyDescent="0.35">
      <c r="B1590" s="6">
        <v>1588</v>
      </c>
      <c r="C1590" s="7" t="s">
        <v>10</v>
      </c>
      <c r="D1590" s="18">
        <v>45522</v>
      </c>
      <c r="E1590" s="7" t="s">
        <v>12</v>
      </c>
      <c r="F1590" s="7" t="s">
        <v>23</v>
      </c>
      <c r="G1590" s="7" t="s">
        <v>28</v>
      </c>
      <c r="H1590" s="7">
        <v>194</v>
      </c>
      <c r="I1590" s="5">
        <v>135</v>
      </c>
      <c r="J1590" s="5">
        <f t="shared" si="24"/>
        <v>26190</v>
      </c>
      <c r="K1590" s="7">
        <v>18</v>
      </c>
      <c r="L1590" s="7" t="s">
        <v>35</v>
      </c>
      <c r="M1590" s="7">
        <v>3</v>
      </c>
    </row>
    <row r="1591" spans="2:13" ht="15.6" thickTop="1" thickBot="1" x14ac:dyDescent="0.35">
      <c r="B1591" s="8">
        <v>1589</v>
      </c>
      <c r="C1591" s="9" t="s">
        <v>11</v>
      </c>
      <c r="D1591" s="19">
        <v>45523</v>
      </c>
      <c r="E1591" s="9" t="s">
        <v>20</v>
      </c>
      <c r="F1591" s="9" t="s">
        <v>20</v>
      </c>
      <c r="G1591" s="9" t="s">
        <v>32</v>
      </c>
      <c r="H1591" s="9">
        <v>204</v>
      </c>
      <c r="I1591" s="5">
        <v>45</v>
      </c>
      <c r="J1591" s="5">
        <f t="shared" si="24"/>
        <v>9180</v>
      </c>
      <c r="K1591" s="9">
        <v>8</v>
      </c>
      <c r="L1591" s="9" t="s">
        <v>35</v>
      </c>
      <c r="M1591" s="9">
        <v>5</v>
      </c>
    </row>
    <row r="1592" spans="2:13" ht="15.6" thickTop="1" thickBot="1" x14ac:dyDescent="0.35">
      <c r="B1592" s="6">
        <v>1590</v>
      </c>
      <c r="C1592" s="7" t="s">
        <v>10</v>
      </c>
      <c r="D1592" s="18">
        <v>45524</v>
      </c>
      <c r="E1592" s="7" t="s">
        <v>19</v>
      </c>
      <c r="F1592" s="7" t="s">
        <v>23</v>
      </c>
      <c r="G1592" s="7" t="s">
        <v>30</v>
      </c>
      <c r="H1592" s="7">
        <v>150</v>
      </c>
      <c r="I1592" s="5">
        <v>90</v>
      </c>
      <c r="J1592" s="5">
        <f t="shared" si="24"/>
        <v>13500</v>
      </c>
      <c r="K1592" s="7">
        <v>15</v>
      </c>
      <c r="L1592" s="7" t="s">
        <v>34</v>
      </c>
      <c r="M1592" s="7">
        <v>3</v>
      </c>
    </row>
    <row r="1593" spans="2:13" ht="15.6" thickTop="1" thickBot="1" x14ac:dyDescent="0.35">
      <c r="B1593" s="8">
        <v>1591</v>
      </c>
      <c r="C1593" s="9" t="s">
        <v>11</v>
      </c>
      <c r="D1593" s="19">
        <v>45525</v>
      </c>
      <c r="E1593" s="9" t="s">
        <v>20</v>
      </c>
      <c r="F1593" s="9" t="s">
        <v>20</v>
      </c>
      <c r="G1593" s="9" t="s">
        <v>29</v>
      </c>
      <c r="H1593" s="9">
        <v>97</v>
      </c>
      <c r="I1593" s="5">
        <v>45</v>
      </c>
      <c r="J1593" s="5">
        <f t="shared" si="24"/>
        <v>4365</v>
      </c>
      <c r="K1593" s="9">
        <v>18</v>
      </c>
      <c r="L1593" s="9" t="s">
        <v>35</v>
      </c>
      <c r="M1593" s="9">
        <v>1</v>
      </c>
    </row>
    <row r="1594" spans="2:13" ht="15.6" thickTop="1" thickBot="1" x14ac:dyDescent="0.35">
      <c r="B1594" s="6">
        <v>1592</v>
      </c>
      <c r="C1594" s="7" t="s">
        <v>10</v>
      </c>
      <c r="D1594" s="18">
        <v>45526</v>
      </c>
      <c r="E1594" s="7" t="s">
        <v>19</v>
      </c>
      <c r="F1594" s="7" t="s">
        <v>23</v>
      </c>
      <c r="G1594" s="7" t="s">
        <v>31</v>
      </c>
      <c r="H1594" s="7">
        <v>215</v>
      </c>
      <c r="I1594" s="5">
        <v>45</v>
      </c>
      <c r="J1594" s="5">
        <f t="shared" si="24"/>
        <v>9675</v>
      </c>
      <c r="K1594" s="7">
        <v>19</v>
      </c>
      <c r="L1594" s="7" t="s">
        <v>33</v>
      </c>
      <c r="M1594" s="7">
        <v>1</v>
      </c>
    </row>
    <row r="1595" spans="2:13" ht="15.6" thickTop="1" thickBot="1" x14ac:dyDescent="0.35">
      <c r="B1595" s="8">
        <v>1593</v>
      </c>
      <c r="C1595" s="9" t="s">
        <v>10</v>
      </c>
      <c r="D1595" s="19">
        <v>45527</v>
      </c>
      <c r="E1595" s="9" t="s">
        <v>17</v>
      </c>
      <c r="F1595" s="9" t="s">
        <v>24</v>
      </c>
      <c r="G1595" s="9" t="s">
        <v>30</v>
      </c>
      <c r="H1595" s="9">
        <v>174</v>
      </c>
      <c r="I1595" s="5">
        <v>45</v>
      </c>
      <c r="J1595" s="5">
        <f t="shared" si="24"/>
        <v>7830</v>
      </c>
      <c r="K1595" s="9">
        <v>14</v>
      </c>
      <c r="L1595" s="9" t="s">
        <v>34</v>
      </c>
      <c r="M1595" s="9">
        <v>1</v>
      </c>
    </row>
    <row r="1596" spans="2:13" ht="15.6" thickTop="1" thickBot="1" x14ac:dyDescent="0.35">
      <c r="B1596" s="6">
        <v>1594</v>
      </c>
      <c r="C1596" s="7" t="s">
        <v>10</v>
      </c>
      <c r="D1596" s="18">
        <v>45528</v>
      </c>
      <c r="E1596" s="7" t="s">
        <v>21</v>
      </c>
      <c r="F1596" s="7" t="s">
        <v>26</v>
      </c>
      <c r="G1596" s="7" t="s">
        <v>32</v>
      </c>
      <c r="H1596" s="7">
        <v>143</v>
      </c>
      <c r="I1596" s="5">
        <v>225</v>
      </c>
      <c r="J1596" s="5">
        <f t="shared" si="24"/>
        <v>32175</v>
      </c>
      <c r="K1596" s="7">
        <v>16</v>
      </c>
      <c r="L1596" s="7" t="s">
        <v>33</v>
      </c>
      <c r="M1596" s="7">
        <v>2</v>
      </c>
    </row>
    <row r="1597" spans="2:13" ht="15.6" thickTop="1" thickBot="1" x14ac:dyDescent="0.35">
      <c r="B1597" s="8">
        <v>1595</v>
      </c>
      <c r="C1597" s="9" t="s">
        <v>11</v>
      </c>
      <c r="D1597" s="19">
        <v>45529</v>
      </c>
      <c r="E1597" s="9" t="s">
        <v>18</v>
      </c>
      <c r="F1597" s="9" t="s">
        <v>27</v>
      </c>
      <c r="G1597" s="9" t="s">
        <v>30</v>
      </c>
      <c r="H1597" s="9">
        <v>124</v>
      </c>
      <c r="I1597" s="5">
        <v>180</v>
      </c>
      <c r="J1597" s="5">
        <f t="shared" si="24"/>
        <v>22320</v>
      </c>
      <c r="K1597" s="9">
        <v>20</v>
      </c>
      <c r="L1597" s="9" t="s">
        <v>35</v>
      </c>
      <c r="M1597" s="9">
        <v>1</v>
      </c>
    </row>
    <row r="1598" spans="2:13" ht="15.6" thickTop="1" thickBot="1" x14ac:dyDescent="0.35">
      <c r="B1598" s="6">
        <v>1596</v>
      </c>
      <c r="C1598" s="7" t="s">
        <v>10</v>
      </c>
      <c r="D1598" s="18">
        <v>45530</v>
      </c>
      <c r="E1598" s="7" t="s">
        <v>17</v>
      </c>
      <c r="F1598" s="7" t="s">
        <v>24</v>
      </c>
      <c r="G1598" s="7" t="s">
        <v>30</v>
      </c>
      <c r="H1598" s="7">
        <v>96</v>
      </c>
      <c r="I1598" s="5">
        <v>225</v>
      </c>
      <c r="J1598" s="5">
        <f t="shared" si="24"/>
        <v>21600</v>
      </c>
      <c r="K1598" s="7">
        <v>15</v>
      </c>
      <c r="L1598" s="7" t="s">
        <v>34</v>
      </c>
      <c r="M1598" s="7">
        <v>3</v>
      </c>
    </row>
    <row r="1599" spans="2:13" ht="15.6" thickTop="1" thickBot="1" x14ac:dyDescent="0.35">
      <c r="B1599" s="8">
        <v>1597</v>
      </c>
      <c r="C1599" s="9" t="s">
        <v>10</v>
      </c>
      <c r="D1599" s="19">
        <v>45531</v>
      </c>
      <c r="E1599" s="9" t="s">
        <v>14</v>
      </c>
      <c r="F1599" s="9" t="s">
        <v>25</v>
      </c>
      <c r="G1599" s="9" t="s">
        <v>32</v>
      </c>
      <c r="H1599" s="9">
        <v>207</v>
      </c>
      <c r="I1599" s="5">
        <v>135</v>
      </c>
      <c r="J1599" s="5">
        <f t="shared" si="24"/>
        <v>27945</v>
      </c>
      <c r="K1599" s="9">
        <v>17</v>
      </c>
      <c r="L1599" s="9" t="s">
        <v>35</v>
      </c>
      <c r="M1599" s="9"/>
    </row>
    <row r="1600" spans="2:13" ht="15.6" thickTop="1" thickBot="1" x14ac:dyDescent="0.35">
      <c r="B1600" s="6">
        <v>1598</v>
      </c>
      <c r="C1600" s="7" t="s">
        <v>10</v>
      </c>
      <c r="D1600" s="18">
        <v>45532</v>
      </c>
      <c r="E1600" s="7" t="s">
        <v>12</v>
      </c>
      <c r="F1600" s="7" t="s">
        <v>23</v>
      </c>
      <c r="G1600" s="7" t="s">
        <v>31</v>
      </c>
      <c r="H1600" s="7">
        <v>241</v>
      </c>
      <c r="I1600" s="5">
        <v>45</v>
      </c>
      <c r="J1600" s="5">
        <f t="shared" si="24"/>
        <v>10845</v>
      </c>
      <c r="K1600" s="7">
        <v>18</v>
      </c>
      <c r="L1600" s="7" t="s">
        <v>34</v>
      </c>
      <c r="M1600" s="7">
        <v>1</v>
      </c>
    </row>
    <row r="1601" spans="2:13" ht="15.6" thickTop="1" thickBot="1" x14ac:dyDescent="0.35">
      <c r="B1601" s="8">
        <v>1599</v>
      </c>
      <c r="C1601" s="9" t="s">
        <v>10</v>
      </c>
      <c r="D1601" s="19">
        <v>45533</v>
      </c>
      <c r="E1601" s="9" t="s">
        <v>22</v>
      </c>
      <c r="F1601" s="9" t="s">
        <v>25</v>
      </c>
      <c r="G1601" s="9" t="s">
        <v>28</v>
      </c>
      <c r="H1601" s="9">
        <v>213</v>
      </c>
      <c r="I1601" s="5">
        <v>45</v>
      </c>
      <c r="J1601" s="5">
        <f t="shared" si="24"/>
        <v>9585</v>
      </c>
      <c r="K1601" s="9">
        <v>23</v>
      </c>
      <c r="L1601" s="9" t="s">
        <v>33</v>
      </c>
      <c r="M1601" s="9">
        <v>1</v>
      </c>
    </row>
    <row r="1602" spans="2:13" ht="15.6" thickTop="1" thickBot="1" x14ac:dyDescent="0.35">
      <c r="B1602" s="6">
        <v>1600</v>
      </c>
      <c r="C1602" s="7" t="s">
        <v>10</v>
      </c>
      <c r="D1602" s="18">
        <v>45534</v>
      </c>
      <c r="E1602" s="7" t="s">
        <v>12</v>
      </c>
      <c r="F1602" s="7" t="s">
        <v>23</v>
      </c>
      <c r="G1602" s="7" t="s">
        <v>30</v>
      </c>
      <c r="H1602" s="7">
        <v>218</v>
      </c>
      <c r="I1602" s="5">
        <v>135</v>
      </c>
      <c r="J1602" s="5">
        <f t="shared" si="24"/>
        <v>29430</v>
      </c>
      <c r="K1602" s="7">
        <v>11</v>
      </c>
      <c r="L1602" s="7" t="s">
        <v>35</v>
      </c>
      <c r="M1602" s="7">
        <v>5</v>
      </c>
    </row>
    <row r="1603" spans="2:13" ht="15.6" thickTop="1" thickBot="1" x14ac:dyDescent="0.35">
      <c r="B1603" s="8">
        <v>1601</v>
      </c>
      <c r="C1603" s="9" t="s">
        <v>10</v>
      </c>
      <c r="D1603" s="19">
        <v>45535</v>
      </c>
      <c r="E1603" s="9" t="s">
        <v>16</v>
      </c>
      <c r="F1603" s="9" t="s">
        <v>26</v>
      </c>
      <c r="G1603" s="9" t="s">
        <v>32</v>
      </c>
      <c r="H1603" s="9">
        <v>69</v>
      </c>
      <c r="I1603" s="5">
        <v>225</v>
      </c>
      <c r="J1603" s="5">
        <f t="shared" si="24"/>
        <v>15525</v>
      </c>
      <c r="K1603" s="9">
        <v>20</v>
      </c>
      <c r="L1603" s="9" t="s">
        <v>33</v>
      </c>
      <c r="M1603" s="9">
        <v>1</v>
      </c>
    </row>
    <row r="1604" spans="2:13" ht="15.6" thickTop="1" thickBot="1" x14ac:dyDescent="0.35">
      <c r="B1604" s="6">
        <v>1602</v>
      </c>
      <c r="C1604" s="7" t="s">
        <v>11</v>
      </c>
      <c r="D1604" s="18">
        <v>45536</v>
      </c>
      <c r="E1604" s="7" t="s">
        <v>13</v>
      </c>
      <c r="F1604" s="7" t="s">
        <v>24</v>
      </c>
      <c r="G1604" s="7" t="s">
        <v>28</v>
      </c>
      <c r="H1604" s="7">
        <v>206</v>
      </c>
      <c r="I1604" s="5">
        <v>45</v>
      </c>
      <c r="J1604" s="5">
        <f t="shared" ref="J1604:J1618" si="25">H1604*I1604</f>
        <v>9270</v>
      </c>
      <c r="K1604" s="7">
        <v>12</v>
      </c>
      <c r="L1604" s="7" t="s">
        <v>34</v>
      </c>
      <c r="M1604" s="7"/>
    </row>
    <row r="1605" spans="2:13" ht="15.6" thickTop="1" thickBot="1" x14ac:dyDescent="0.35">
      <c r="B1605" s="8">
        <v>1603</v>
      </c>
      <c r="C1605" s="9" t="s">
        <v>10</v>
      </c>
      <c r="D1605" s="19">
        <v>45537</v>
      </c>
      <c r="E1605" s="9" t="s">
        <v>14</v>
      </c>
      <c r="F1605" s="9" t="s">
        <v>25</v>
      </c>
      <c r="G1605" s="9" t="s">
        <v>29</v>
      </c>
      <c r="H1605" s="9">
        <v>45</v>
      </c>
      <c r="I1605" s="5">
        <v>45</v>
      </c>
      <c r="J1605" s="5">
        <f t="shared" si="25"/>
        <v>2025</v>
      </c>
      <c r="K1605" s="9">
        <v>18</v>
      </c>
      <c r="L1605" s="9" t="s">
        <v>34</v>
      </c>
      <c r="M1605" s="9">
        <v>1</v>
      </c>
    </row>
    <row r="1606" spans="2:13" ht="15.6" thickTop="1" thickBot="1" x14ac:dyDescent="0.35">
      <c r="B1606" s="6">
        <v>1604</v>
      </c>
      <c r="C1606" s="7" t="s">
        <v>11</v>
      </c>
      <c r="D1606" s="18">
        <v>45538</v>
      </c>
      <c r="E1606" s="7" t="s">
        <v>15</v>
      </c>
      <c r="F1606" s="7" t="s">
        <v>25</v>
      </c>
      <c r="G1606" s="7" t="s">
        <v>30</v>
      </c>
      <c r="H1606" s="7">
        <v>61</v>
      </c>
      <c r="I1606" s="5">
        <v>90</v>
      </c>
      <c r="J1606" s="5">
        <f t="shared" si="25"/>
        <v>5490</v>
      </c>
      <c r="K1606" s="7">
        <v>19</v>
      </c>
      <c r="L1606" s="7" t="s">
        <v>35</v>
      </c>
      <c r="M1606" s="7">
        <v>1</v>
      </c>
    </row>
    <row r="1607" spans="2:13" ht="15.6" thickTop="1" thickBot="1" x14ac:dyDescent="0.35">
      <c r="B1607" s="8">
        <v>1605</v>
      </c>
      <c r="C1607" s="9" t="s">
        <v>10</v>
      </c>
      <c r="D1607" s="19">
        <v>45539</v>
      </c>
      <c r="E1607" s="9" t="s">
        <v>20</v>
      </c>
      <c r="F1607" s="9" t="s">
        <v>20</v>
      </c>
      <c r="G1607" s="9" t="s">
        <v>28</v>
      </c>
      <c r="H1607" s="9">
        <v>161</v>
      </c>
      <c r="I1607" s="5">
        <v>135</v>
      </c>
      <c r="J1607" s="5">
        <f t="shared" si="25"/>
        <v>21735</v>
      </c>
      <c r="K1607" s="9">
        <v>22</v>
      </c>
      <c r="L1607" s="9" t="s">
        <v>34</v>
      </c>
      <c r="M1607" s="9"/>
    </row>
    <row r="1608" spans="2:13" ht="15.6" thickTop="1" thickBot="1" x14ac:dyDescent="0.35">
      <c r="B1608" s="6">
        <v>1606</v>
      </c>
      <c r="C1608" s="7" t="s">
        <v>10</v>
      </c>
      <c r="D1608" s="18">
        <v>45540</v>
      </c>
      <c r="E1608" s="7" t="s">
        <v>18</v>
      </c>
      <c r="F1608" s="7" t="s">
        <v>27</v>
      </c>
      <c r="G1608" s="7" t="s">
        <v>30</v>
      </c>
      <c r="H1608" s="7">
        <v>93</v>
      </c>
      <c r="I1608" s="5">
        <v>90</v>
      </c>
      <c r="J1608" s="5">
        <f t="shared" si="25"/>
        <v>8370</v>
      </c>
      <c r="K1608" s="7">
        <v>18</v>
      </c>
      <c r="L1608" s="7" t="s">
        <v>35</v>
      </c>
      <c r="M1608" s="7">
        <v>2</v>
      </c>
    </row>
    <row r="1609" spans="2:13" ht="15.6" thickTop="1" thickBot="1" x14ac:dyDescent="0.35">
      <c r="B1609" s="8">
        <v>1607</v>
      </c>
      <c r="C1609" s="9" t="s">
        <v>10</v>
      </c>
      <c r="D1609" s="19">
        <v>45541</v>
      </c>
      <c r="E1609" s="9" t="s">
        <v>15</v>
      </c>
      <c r="F1609" s="9" t="s">
        <v>25</v>
      </c>
      <c r="G1609" s="9" t="s">
        <v>28</v>
      </c>
      <c r="H1609" s="9">
        <v>100</v>
      </c>
      <c r="I1609" s="5">
        <v>180</v>
      </c>
      <c r="J1609" s="5">
        <f t="shared" si="25"/>
        <v>18000</v>
      </c>
      <c r="K1609" s="9">
        <v>25</v>
      </c>
      <c r="L1609" s="9" t="s">
        <v>35</v>
      </c>
      <c r="M1609" s="9">
        <v>4</v>
      </c>
    </row>
    <row r="1610" spans="2:13" ht="15.6" thickTop="1" thickBot="1" x14ac:dyDescent="0.35">
      <c r="B1610" s="6">
        <v>1608</v>
      </c>
      <c r="C1610" s="7" t="s">
        <v>10</v>
      </c>
      <c r="D1610" s="18">
        <v>45542</v>
      </c>
      <c r="E1610" s="7" t="s">
        <v>18</v>
      </c>
      <c r="F1610" s="7" t="s">
        <v>27</v>
      </c>
      <c r="G1610" s="7" t="s">
        <v>28</v>
      </c>
      <c r="H1610" s="7">
        <v>154</v>
      </c>
      <c r="I1610" s="5">
        <v>45</v>
      </c>
      <c r="J1610" s="5">
        <f t="shared" si="25"/>
        <v>6930</v>
      </c>
      <c r="K1610" s="7">
        <v>16</v>
      </c>
      <c r="L1610" s="7" t="s">
        <v>34</v>
      </c>
      <c r="M1610" s="7">
        <v>3</v>
      </c>
    </row>
    <row r="1611" spans="2:13" ht="15.6" thickTop="1" thickBot="1" x14ac:dyDescent="0.35">
      <c r="B1611" s="8">
        <v>1609</v>
      </c>
      <c r="C1611" s="9" t="s">
        <v>11</v>
      </c>
      <c r="D1611" s="19">
        <v>45543</v>
      </c>
      <c r="E1611" s="9" t="s">
        <v>21</v>
      </c>
      <c r="F1611" s="9" t="s">
        <v>26</v>
      </c>
      <c r="G1611" s="9" t="s">
        <v>32</v>
      </c>
      <c r="H1611" s="9">
        <v>91</v>
      </c>
      <c r="I1611" s="5">
        <v>225</v>
      </c>
      <c r="J1611" s="5">
        <f t="shared" si="25"/>
        <v>20475</v>
      </c>
      <c r="K1611" s="9">
        <v>12</v>
      </c>
      <c r="L1611" s="9" t="s">
        <v>35</v>
      </c>
      <c r="M1611" s="9">
        <v>2</v>
      </c>
    </row>
    <row r="1612" spans="2:13" ht="15.6" thickTop="1" thickBot="1" x14ac:dyDescent="0.35">
      <c r="B1612" s="6">
        <v>1610</v>
      </c>
      <c r="C1612" s="7" t="s">
        <v>11</v>
      </c>
      <c r="D1612" s="18">
        <v>45544</v>
      </c>
      <c r="E1612" s="7" t="s">
        <v>15</v>
      </c>
      <c r="F1612" s="7" t="s">
        <v>25</v>
      </c>
      <c r="G1612" s="7" t="s">
        <v>30</v>
      </c>
      <c r="H1612" s="7">
        <v>44</v>
      </c>
      <c r="I1612" s="5">
        <v>90</v>
      </c>
      <c r="J1612" s="5">
        <f t="shared" si="25"/>
        <v>3960</v>
      </c>
      <c r="K1612" s="7">
        <v>12</v>
      </c>
      <c r="L1612" s="7" t="s">
        <v>34</v>
      </c>
      <c r="M1612" s="7">
        <v>1</v>
      </c>
    </row>
    <row r="1613" spans="2:13" ht="15.6" thickTop="1" thickBot="1" x14ac:dyDescent="0.35">
      <c r="B1613" s="8">
        <v>1611</v>
      </c>
      <c r="C1613" s="9" t="s">
        <v>11</v>
      </c>
      <c r="D1613" s="19">
        <v>45545</v>
      </c>
      <c r="E1613" s="9" t="s">
        <v>21</v>
      </c>
      <c r="F1613" s="9" t="s">
        <v>26</v>
      </c>
      <c r="G1613" s="9" t="s">
        <v>28</v>
      </c>
      <c r="H1613" s="9">
        <v>40</v>
      </c>
      <c r="I1613" s="5">
        <v>135</v>
      </c>
      <c r="J1613" s="5">
        <f t="shared" si="25"/>
        <v>5400</v>
      </c>
      <c r="K1613" s="9">
        <v>11</v>
      </c>
      <c r="L1613" s="9" t="s">
        <v>35</v>
      </c>
      <c r="M1613" s="9">
        <v>3</v>
      </c>
    </row>
    <row r="1614" spans="2:13" ht="15.6" thickTop="1" thickBot="1" x14ac:dyDescent="0.35">
      <c r="B1614" s="6">
        <v>1612</v>
      </c>
      <c r="C1614" s="7" t="s">
        <v>10</v>
      </c>
      <c r="D1614" s="18">
        <v>45546</v>
      </c>
      <c r="E1614" s="7" t="s">
        <v>22</v>
      </c>
      <c r="F1614" s="7" t="s">
        <v>25</v>
      </c>
      <c r="G1614" s="7" t="s">
        <v>31</v>
      </c>
      <c r="H1614" s="7">
        <v>117</v>
      </c>
      <c r="I1614" s="5">
        <v>225</v>
      </c>
      <c r="J1614" s="5">
        <f t="shared" si="25"/>
        <v>26325</v>
      </c>
      <c r="K1614" s="7">
        <v>22</v>
      </c>
      <c r="L1614" s="7" t="s">
        <v>33</v>
      </c>
      <c r="M1614" s="7">
        <v>1</v>
      </c>
    </row>
    <row r="1615" spans="2:13" ht="15.6" thickTop="1" thickBot="1" x14ac:dyDescent="0.35">
      <c r="B1615" s="8">
        <v>1613</v>
      </c>
      <c r="C1615" s="9" t="s">
        <v>11</v>
      </c>
      <c r="D1615" s="19">
        <v>45547</v>
      </c>
      <c r="E1615" s="9" t="s">
        <v>15</v>
      </c>
      <c r="F1615" s="9" t="s">
        <v>25</v>
      </c>
      <c r="G1615" s="9" t="s">
        <v>29</v>
      </c>
      <c r="H1615" s="9">
        <v>151</v>
      </c>
      <c r="I1615" s="5">
        <v>180</v>
      </c>
      <c r="J1615" s="5">
        <f t="shared" si="25"/>
        <v>27180</v>
      </c>
      <c r="K1615" s="9">
        <v>14</v>
      </c>
      <c r="L1615" s="9" t="s">
        <v>35</v>
      </c>
      <c r="M1615" s="9">
        <v>5</v>
      </c>
    </row>
    <row r="1616" spans="2:13" ht="15.6" thickTop="1" thickBot="1" x14ac:dyDescent="0.35">
      <c r="B1616" s="6">
        <v>1614</v>
      </c>
      <c r="C1616" s="7" t="s">
        <v>10</v>
      </c>
      <c r="D1616" s="18">
        <v>45548</v>
      </c>
      <c r="E1616" s="7" t="s">
        <v>18</v>
      </c>
      <c r="F1616" s="7" t="s">
        <v>27</v>
      </c>
      <c r="G1616" s="7" t="s">
        <v>31</v>
      </c>
      <c r="H1616" s="7">
        <v>158</v>
      </c>
      <c r="I1616" s="5">
        <v>135</v>
      </c>
      <c r="J1616" s="5">
        <f t="shared" si="25"/>
        <v>21330</v>
      </c>
      <c r="K1616" s="7">
        <v>16</v>
      </c>
      <c r="L1616" s="7" t="s">
        <v>34</v>
      </c>
      <c r="M1616" s="7">
        <v>3</v>
      </c>
    </row>
    <row r="1617" spans="2:13" ht="15.6" thickTop="1" thickBot="1" x14ac:dyDescent="0.35">
      <c r="B1617" s="8">
        <v>1615</v>
      </c>
      <c r="C1617" s="9" t="s">
        <v>10</v>
      </c>
      <c r="D1617" s="19">
        <v>45549</v>
      </c>
      <c r="E1617" s="9" t="s">
        <v>17</v>
      </c>
      <c r="F1617" s="9" t="s">
        <v>24</v>
      </c>
      <c r="G1617" s="9" t="s">
        <v>30</v>
      </c>
      <c r="H1617" s="9">
        <v>208</v>
      </c>
      <c r="I1617" s="5">
        <v>135</v>
      </c>
      <c r="J1617" s="5">
        <f t="shared" si="25"/>
        <v>28080</v>
      </c>
      <c r="K1617" s="9">
        <v>18</v>
      </c>
      <c r="L1617" s="9" t="s">
        <v>35</v>
      </c>
      <c r="M1617" s="9"/>
    </row>
    <row r="1618" spans="2:13" ht="15" thickTop="1" x14ac:dyDescent="0.3">
      <c r="B1618" s="6">
        <v>1616</v>
      </c>
      <c r="C1618" s="7" t="s">
        <v>11</v>
      </c>
      <c r="D1618" s="18">
        <v>45550</v>
      </c>
      <c r="E1618" s="7" t="s">
        <v>15</v>
      </c>
      <c r="F1618" s="7" t="s">
        <v>25</v>
      </c>
      <c r="G1618" s="7" t="s">
        <v>29</v>
      </c>
      <c r="H1618" s="7">
        <v>56</v>
      </c>
      <c r="I1618" s="5">
        <v>45</v>
      </c>
      <c r="J1618" s="5">
        <f t="shared" si="25"/>
        <v>2520</v>
      </c>
      <c r="K1618" s="7">
        <v>15</v>
      </c>
      <c r="L1618" s="7" t="s">
        <v>33</v>
      </c>
      <c r="M161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A667-6D3C-40E9-AB3E-79A6DDC8331E}">
  <dimension ref="A3:W15"/>
  <sheetViews>
    <sheetView zoomScale="82" workbookViewId="0">
      <selection activeCell="A12" sqref="A12"/>
    </sheetView>
  </sheetViews>
  <sheetFormatPr defaultRowHeight="14.4" x14ac:dyDescent="0.3"/>
  <cols>
    <col min="1" max="1" width="13" bestFit="1" customWidth="1"/>
    <col min="2" max="2" width="14.88671875" bestFit="1" customWidth="1"/>
    <col min="4" max="4" width="13" bestFit="1" customWidth="1"/>
    <col min="5" max="5" width="26.77734375" bestFit="1" customWidth="1"/>
    <col min="6" max="6" width="9.5546875" customWidth="1"/>
    <col min="7" max="7" width="14.88671875" bestFit="1" customWidth="1"/>
    <col min="8" max="8" width="16" bestFit="1" customWidth="1"/>
    <col min="9" max="9" width="8" bestFit="1" customWidth="1"/>
    <col min="10" max="11" width="10.77734375" bestFit="1" customWidth="1"/>
    <col min="12" max="12" width="13" bestFit="1" customWidth="1"/>
    <col min="13" max="13" width="14.88671875" bestFit="1" customWidth="1"/>
    <col min="14" max="14" width="19.21875" bestFit="1" customWidth="1"/>
    <col min="15" max="15" width="12.5546875" bestFit="1" customWidth="1"/>
    <col min="16" max="16" width="16" bestFit="1" customWidth="1"/>
    <col min="17" max="17" width="13" bestFit="1" customWidth="1"/>
    <col min="18" max="18" width="16" bestFit="1" customWidth="1"/>
    <col min="19" max="19" width="15.5546875" bestFit="1" customWidth="1"/>
    <col min="20" max="20" width="21.6640625" bestFit="1" customWidth="1"/>
    <col min="21" max="21" width="16" bestFit="1" customWidth="1"/>
    <col min="22" max="22" width="7" bestFit="1" customWidth="1"/>
    <col min="23" max="23" width="10.77734375" bestFit="1" customWidth="1"/>
  </cols>
  <sheetData>
    <row r="3" spans="1:23" x14ac:dyDescent="0.3">
      <c r="A3" s="10" t="s">
        <v>38</v>
      </c>
      <c r="B3" t="s">
        <v>43</v>
      </c>
      <c r="D3" s="13" t="s">
        <v>38</v>
      </c>
      <c r="E3" s="14" t="s">
        <v>40</v>
      </c>
      <c r="G3" s="13" t="s">
        <v>43</v>
      </c>
      <c r="H3" s="13" t="s">
        <v>41</v>
      </c>
      <c r="I3" s="14"/>
      <c r="J3" s="14"/>
      <c r="L3" s="13" t="s">
        <v>38</v>
      </c>
      <c r="M3" s="14" t="s">
        <v>43</v>
      </c>
      <c r="Q3" s="13" t="s">
        <v>38</v>
      </c>
      <c r="R3" s="14" t="s">
        <v>44</v>
      </c>
      <c r="T3" s="13" t="s">
        <v>45</v>
      </c>
      <c r="U3" s="13" t="s">
        <v>41</v>
      </c>
      <c r="V3" s="14"/>
      <c r="W3" s="14"/>
    </row>
    <row r="4" spans="1:23" x14ac:dyDescent="0.3">
      <c r="A4" s="11" t="s">
        <v>10</v>
      </c>
      <c r="B4" s="12">
        <v>3343680</v>
      </c>
      <c r="D4" s="15" t="s">
        <v>10</v>
      </c>
      <c r="E4" s="14">
        <v>16.77956989247312</v>
      </c>
      <c r="G4" s="13" t="s">
        <v>38</v>
      </c>
      <c r="H4" s="14" t="s">
        <v>10</v>
      </c>
      <c r="I4" s="14" t="s">
        <v>11</v>
      </c>
      <c r="J4" s="14" t="s">
        <v>39</v>
      </c>
      <c r="L4" s="15" t="s">
        <v>29</v>
      </c>
      <c r="M4" s="16">
        <v>752715</v>
      </c>
      <c r="Q4" s="15" t="s">
        <v>10</v>
      </c>
      <c r="R4" s="14">
        <v>2.9927007299270074</v>
      </c>
      <c r="T4" s="13" t="s">
        <v>38</v>
      </c>
      <c r="U4" s="14" t="s">
        <v>10</v>
      </c>
      <c r="V4" s="14" t="s">
        <v>11</v>
      </c>
      <c r="W4" s="14" t="s">
        <v>39</v>
      </c>
    </row>
    <row r="5" spans="1:23" x14ac:dyDescent="0.3">
      <c r="A5" s="11" t="s">
        <v>11</v>
      </c>
      <c r="B5" s="12">
        <v>1827405</v>
      </c>
      <c r="D5" s="15" t="s">
        <v>11</v>
      </c>
      <c r="E5" s="14">
        <v>13.561904761904762</v>
      </c>
      <c r="G5" s="15" t="s">
        <v>23</v>
      </c>
      <c r="H5" s="16">
        <v>3343680</v>
      </c>
      <c r="I5" s="16">
        <v>1827405</v>
      </c>
      <c r="J5" s="16">
        <v>5171085</v>
      </c>
      <c r="L5" s="15" t="s">
        <v>30</v>
      </c>
      <c r="M5" s="16">
        <v>1086345</v>
      </c>
      <c r="Q5" s="15" t="s">
        <v>11</v>
      </c>
      <c r="R5" s="14">
        <v>3.1627906976744184</v>
      </c>
      <c r="T5" s="15" t="s">
        <v>33</v>
      </c>
      <c r="U5" s="22">
        <v>0.19243986254295534</v>
      </c>
      <c r="V5" s="22">
        <v>9.6219931271477668E-2</v>
      </c>
      <c r="W5" s="22">
        <v>0.28865979381443296</v>
      </c>
    </row>
    <row r="6" spans="1:23" x14ac:dyDescent="0.3">
      <c r="A6" s="11" t="s">
        <v>39</v>
      </c>
      <c r="B6" s="12">
        <v>5171085</v>
      </c>
      <c r="D6" s="15" t="s">
        <v>39</v>
      </c>
      <c r="E6" s="14">
        <v>15.618556701030927</v>
      </c>
      <c r="G6" s="15" t="s">
        <v>39</v>
      </c>
      <c r="H6" s="16">
        <v>3343680</v>
      </c>
      <c r="I6" s="16">
        <v>1827405</v>
      </c>
      <c r="J6" s="16">
        <v>5171085</v>
      </c>
      <c r="L6" s="15" t="s">
        <v>32</v>
      </c>
      <c r="M6" s="16">
        <v>1223055</v>
      </c>
      <c r="Q6" s="15" t="s">
        <v>39</v>
      </c>
      <c r="R6" s="14">
        <v>3.0582959641255605</v>
      </c>
      <c r="T6" s="15" t="s">
        <v>35</v>
      </c>
      <c r="U6" s="22">
        <v>0.25773195876288657</v>
      </c>
      <c r="V6" s="22">
        <v>0.12371134020618557</v>
      </c>
      <c r="W6" s="22">
        <v>0.38144329896907214</v>
      </c>
    </row>
    <row r="7" spans="1:23" x14ac:dyDescent="0.3">
      <c r="L7" s="15" t="s">
        <v>28</v>
      </c>
      <c r="M7" s="16">
        <v>985365</v>
      </c>
      <c r="T7" s="15" t="s">
        <v>34</v>
      </c>
      <c r="U7" s="22">
        <v>0.18900343642611683</v>
      </c>
      <c r="V7" s="22">
        <v>0.14089347079037801</v>
      </c>
      <c r="W7" s="22">
        <v>0.32989690721649484</v>
      </c>
    </row>
    <row r="8" spans="1:23" x14ac:dyDescent="0.3">
      <c r="L8" s="15" t="s">
        <v>31</v>
      </c>
      <c r="M8" s="16">
        <v>1123605</v>
      </c>
      <c r="Q8" s="20" t="s">
        <v>38</v>
      </c>
      <c r="R8" s="20" t="s">
        <v>44</v>
      </c>
      <c r="T8" s="15" t="s">
        <v>39</v>
      </c>
      <c r="U8" s="22">
        <v>0.63917525773195871</v>
      </c>
      <c r="V8" s="22">
        <v>0.36082474226804123</v>
      </c>
      <c r="W8" s="22">
        <v>1</v>
      </c>
    </row>
    <row r="9" spans="1:23" x14ac:dyDescent="0.3">
      <c r="A9">
        <f>IFERROR(GETPIVOTDATA("Revenue",$A$3,"Brand","Blinkit"),0)</f>
        <v>3343680</v>
      </c>
      <c r="B9" t="s">
        <v>46</v>
      </c>
      <c r="L9" s="15" t="s">
        <v>39</v>
      </c>
      <c r="M9" s="16">
        <v>5171085</v>
      </c>
      <c r="Q9" s="15" t="s">
        <v>10</v>
      </c>
      <c r="R9" s="14">
        <f>GETPIVOTDATA("Rating",$Q$3,"Brand",Q9)</f>
        <v>2.9927007299270074</v>
      </c>
      <c r="U9" s="22"/>
      <c r="V9" s="22"/>
      <c r="W9" s="22"/>
    </row>
    <row r="10" spans="1:23" x14ac:dyDescent="0.3">
      <c r="Q10" s="15" t="s">
        <v>11</v>
      </c>
      <c r="R10" s="14">
        <f t="shared" ref="R10" si="0">GETPIVOTDATA("Rating",$Q$3,"Brand",Q10)</f>
        <v>3.1627906976744184</v>
      </c>
      <c r="T10" s="23" t="s">
        <v>45</v>
      </c>
      <c r="U10" s="23" t="s">
        <v>41</v>
      </c>
    </row>
    <row r="11" spans="1:23" x14ac:dyDescent="0.3">
      <c r="A11">
        <f>IFERROR(GETPIVOTDATA("Revenue",$A$3,"Brand","Zepto"),0)</f>
        <v>1827405</v>
      </c>
      <c r="B11" t="s">
        <v>47</v>
      </c>
      <c r="Q11" s="21" t="s">
        <v>39</v>
      </c>
      <c r="R11" s="14">
        <f>GETPIVOTDATA("Rating",$Q$3)</f>
        <v>3.0582959641255605</v>
      </c>
      <c r="T11" s="20" t="s">
        <v>38</v>
      </c>
      <c r="U11" s="20" t="s">
        <v>10</v>
      </c>
      <c r="V11" s="20" t="s">
        <v>11</v>
      </c>
      <c r="W11" s="20" t="s">
        <v>39</v>
      </c>
    </row>
    <row r="12" spans="1:23" x14ac:dyDescent="0.3">
      <c r="G12" s="14"/>
      <c r="T12" s="15" t="s">
        <v>33</v>
      </c>
      <c r="U12" s="22">
        <f>GETPIVOTDATA("PaymentMode",$T$3,"Brand","Blinkit","PaymentMode",T12)</f>
        <v>0.19243986254295534</v>
      </c>
      <c r="V12" s="22">
        <f>GETPIVOTDATA("PaymentMode",$T$3,"Brand","Zepto","PaymentMode",T12)</f>
        <v>9.6219931271477668E-2</v>
      </c>
      <c r="W12" s="22">
        <f>GETPIVOTDATA("PaymentMode",$T$3,"Brand","Blinkit","PaymentMode",T12)</f>
        <v>0.19243986254295534</v>
      </c>
    </row>
    <row r="13" spans="1:23" x14ac:dyDescent="0.3">
      <c r="G13" s="14"/>
      <c r="T13" s="15" t="s">
        <v>35</v>
      </c>
      <c r="U13" s="22">
        <f>GETPIVOTDATA("PaymentMode",$T$3,"Brand","Blinkit","PaymentMode",T13)</f>
        <v>0.25773195876288657</v>
      </c>
      <c r="V13" s="22">
        <f t="shared" ref="V13:V15" si="1">GETPIVOTDATA("PaymentMode",$T$3,"Brand","Zepto","PaymentMode",T13)</f>
        <v>0.12371134020618557</v>
      </c>
      <c r="W13" s="22">
        <f t="shared" ref="W13:W15" si="2">GETPIVOTDATA("PaymentMode",$T$3,"Brand","Blinkit","PaymentMode",T13)</f>
        <v>0.25773195876288657</v>
      </c>
    </row>
    <row r="14" spans="1:23" x14ac:dyDescent="0.3">
      <c r="G14" s="14"/>
      <c r="T14" s="15" t="s">
        <v>34</v>
      </c>
      <c r="U14" s="22">
        <f>GETPIVOTDATA("PaymentMode",$T$3,"Brand","Blinkit","PaymentMode",T14)</f>
        <v>0.18900343642611683</v>
      </c>
      <c r="V14" s="22">
        <f t="shared" si="1"/>
        <v>0.14089347079037801</v>
      </c>
      <c r="W14" s="22">
        <f t="shared" si="2"/>
        <v>0.18900343642611683</v>
      </c>
    </row>
    <row r="15" spans="1:23" x14ac:dyDescent="0.3">
      <c r="T15" s="21" t="s">
        <v>39</v>
      </c>
      <c r="U15" s="22">
        <f>GETPIVOTDATA("PaymentMode",$T$3,"Brand","Blinkit")</f>
        <v>0.63917525773195871</v>
      </c>
      <c r="V15" s="22">
        <f>GETPIVOTDATA("PaymentMode",$T$3,"Brand","Zepto")</f>
        <v>0.36082474226804123</v>
      </c>
      <c r="W15" s="22">
        <f>GETPIVOTDATA("PaymentMode",$T$3)</f>
        <v>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2B5D-368A-42F2-8CFF-2A19CF521A85}">
  <dimension ref="A1"/>
  <sheetViews>
    <sheetView showGridLines="0" showRowColHeaders="0" tabSelected="1" zoomScaleNormal="100" workbookViewId="0">
      <selection activeCell="A25" sqref="A25"/>
    </sheetView>
  </sheetViews>
  <sheetFormatPr defaultRowHeight="14.4" x14ac:dyDescent="0.3"/>
  <cols>
    <col min="1" max="16384" width="8.88671875" style="2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9AAB3C-DA06-4F0E-B3CD-9C2BE34155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 data</vt:lpstr>
      <vt:lpstr>clean 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Shobhit Kumar</cp:lastModifiedBy>
  <dcterms:created xsi:type="dcterms:W3CDTF">2025-04-22T06:39:35Z</dcterms:created>
  <dcterms:modified xsi:type="dcterms:W3CDTF">2026-01-05T16:20:48Z</dcterms:modified>
</cp:coreProperties>
</file>